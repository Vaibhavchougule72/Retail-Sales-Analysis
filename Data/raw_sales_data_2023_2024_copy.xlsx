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Freelancer_Data_Analyst\Portfolio_Projects\1. Sales_Data_Analysis\"/>
    </mc:Choice>
  </mc:AlternateContent>
  <bookViews>
    <workbookView xWindow="0" yWindow="0" windowWidth="15345" windowHeight="4575"/>
  </bookViews>
  <sheets>
    <sheet name="Copy" sheetId="2" r:id="rId1"/>
    <sheet name="Calculations" sheetId="3" r:id="rId2"/>
  </sheets>
  <definedNames>
    <definedName name="_xlnm._FilterDatabase" localSheetId="0" hidden="1">Copy!$A$1:$AF$1501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I26" i="2" s="1"/>
  <c r="H27" i="2"/>
  <c r="H28" i="2"/>
  <c r="H29" i="2"/>
  <c r="H30" i="2"/>
  <c r="I30" i="2" s="1"/>
  <c r="H31" i="2"/>
  <c r="H32" i="2"/>
  <c r="H33" i="2"/>
  <c r="H34" i="2"/>
  <c r="I34" i="2" s="1"/>
  <c r="H35" i="2"/>
  <c r="H36" i="2"/>
  <c r="H37" i="2"/>
  <c r="H38" i="2"/>
  <c r="I38" i="2" s="1"/>
  <c r="H39" i="2"/>
  <c r="H40" i="2"/>
  <c r="H41" i="2"/>
  <c r="H42" i="2"/>
  <c r="I42" i="2" s="1"/>
  <c r="H43" i="2"/>
  <c r="H44" i="2"/>
  <c r="H45" i="2"/>
  <c r="H46" i="2"/>
  <c r="I46" i="2" s="1"/>
  <c r="H47" i="2"/>
  <c r="H48" i="2"/>
  <c r="H49" i="2"/>
  <c r="H50" i="2"/>
  <c r="I50" i="2" s="1"/>
  <c r="H51" i="2"/>
  <c r="H52" i="2"/>
  <c r="H53" i="2"/>
  <c r="H54" i="2"/>
  <c r="I54" i="2" s="1"/>
  <c r="H55" i="2"/>
  <c r="H56" i="2"/>
  <c r="H57" i="2"/>
  <c r="H58" i="2"/>
  <c r="I58" i="2" s="1"/>
  <c r="H59" i="2"/>
  <c r="H60" i="2"/>
  <c r="H61" i="2"/>
  <c r="H62" i="2"/>
  <c r="I62" i="2" s="1"/>
  <c r="H63" i="2"/>
  <c r="H64" i="2"/>
  <c r="H65" i="2"/>
  <c r="H66" i="2"/>
  <c r="I66" i="2" s="1"/>
  <c r="H67" i="2"/>
  <c r="H68" i="2"/>
  <c r="H69" i="2"/>
  <c r="H70" i="2"/>
  <c r="I70" i="2" s="1"/>
  <c r="H71" i="2"/>
  <c r="H72" i="2"/>
  <c r="H73" i="2"/>
  <c r="H74" i="2"/>
  <c r="I74" i="2" s="1"/>
  <c r="H75" i="2"/>
  <c r="H76" i="2"/>
  <c r="H77" i="2"/>
  <c r="H78" i="2"/>
  <c r="I78" i="2" s="1"/>
  <c r="H79" i="2"/>
  <c r="H80" i="2"/>
  <c r="H81" i="2"/>
  <c r="H82" i="2"/>
  <c r="I82" i="2" s="1"/>
  <c r="H83" i="2"/>
  <c r="H84" i="2"/>
  <c r="H85" i="2"/>
  <c r="H86" i="2"/>
  <c r="I86" i="2" s="1"/>
  <c r="H87" i="2"/>
  <c r="H88" i="2"/>
  <c r="H89" i="2"/>
  <c r="H90" i="2"/>
  <c r="I90" i="2" s="1"/>
  <c r="H91" i="2"/>
  <c r="H92" i="2"/>
  <c r="H93" i="2"/>
  <c r="H94" i="2"/>
  <c r="I94" i="2" s="1"/>
  <c r="H95" i="2"/>
  <c r="H96" i="2"/>
  <c r="H97" i="2"/>
  <c r="H98" i="2"/>
  <c r="I98" i="2" s="1"/>
  <c r="H99" i="2"/>
  <c r="H100" i="2"/>
  <c r="H101" i="2"/>
  <c r="H102" i="2"/>
  <c r="I102" i="2" s="1"/>
  <c r="H103" i="2"/>
  <c r="H104" i="2"/>
  <c r="H105" i="2"/>
  <c r="H106" i="2"/>
  <c r="I106" i="2" s="1"/>
  <c r="H107" i="2"/>
  <c r="H108" i="2"/>
  <c r="H109" i="2"/>
  <c r="H110" i="2"/>
  <c r="I110" i="2" s="1"/>
  <c r="H111" i="2"/>
  <c r="H112" i="2"/>
  <c r="H113" i="2"/>
  <c r="H114" i="2"/>
  <c r="I114" i="2" s="1"/>
  <c r="H115" i="2"/>
  <c r="H116" i="2"/>
  <c r="H117" i="2"/>
  <c r="H118" i="2"/>
  <c r="I118" i="2" s="1"/>
  <c r="H119" i="2"/>
  <c r="H120" i="2"/>
  <c r="H121" i="2"/>
  <c r="H122" i="2"/>
  <c r="I122" i="2" s="1"/>
  <c r="H123" i="2"/>
  <c r="H124" i="2"/>
  <c r="H125" i="2"/>
  <c r="H126" i="2"/>
  <c r="I126" i="2" s="1"/>
  <c r="H127" i="2"/>
  <c r="H128" i="2"/>
  <c r="H129" i="2"/>
  <c r="H130" i="2"/>
  <c r="I130" i="2" s="1"/>
  <c r="H131" i="2"/>
  <c r="H132" i="2"/>
  <c r="H133" i="2"/>
  <c r="H134" i="2"/>
  <c r="I134" i="2" s="1"/>
  <c r="H135" i="2"/>
  <c r="H136" i="2"/>
  <c r="H137" i="2"/>
  <c r="H138" i="2"/>
  <c r="I138" i="2" s="1"/>
  <c r="H139" i="2"/>
  <c r="H140" i="2"/>
  <c r="H141" i="2"/>
  <c r="H142" i="2"/>
  <c r="I142" i="2" s="1"/>
  <c r="H143" i="2"/>
  <c r="H144" i="2"/>
  <c r="H145" i="2"/>
  <c r="H146" i="2"/>
  <c r="I146" i="2" s="1"/>
  <c r="H147" i="2"/>
  <c r="H148" i="2"/>
  <c r="H149" i="2"/>
  <c r="H150" i="2"/>
  <c r="I150" i="2" s="1"/>
  <c r="H151" i="2"/>
  <c r="H152" i="2"/>
  <c r="H153" i="2"/>
  <c r="H154" i="2"/>
  <c r="I154" i="2" s="1"/>
  <c r="H155" i="2"/>
  <c r="H156" i="2"/>
  <c r="H157" i="2"/>
  <c r="H158" i="2"/>
  <c r="I158" i="2" s="1"/>
  <c r="H159" i="2"/>
  <c r="H160" i="2"/>
  <c r="H161" i="2"/>
  <c r="H162" i="2"/>
  <c r="I162" i="2" s="1"/>
  <c r="H163" i="2"/>
  <c r="H164" i="2"/>
  <c r="H165" i="2"/>
  <c r="H166" i="2"/>
  <c r="I166" i="2" s="1"/>
  <c r="H167" i="2"/>
  <c r="H168" i="2"/>
  <c r="H169" i="2"/>
  <c r="H170" i="2"/>
  <c r="I170" i="2" s="1"/>
  <c r="H171" i="2"/>
  <c r="H172" i="2"/>
  <c r="H173" i="2"/>
  <c r="H174" i="2"/>
  <c r="I174" i="2" s="1"/>
  <c r="H175" i="2"/>
  <c r="H176" i="2"/>
  <c r="H177" i="2"/>
  <c r="H178" i="2"/>
  <c r="I178" i="2" s="1"/>
  <c r="H179" i="2"/>
  <c r="H180" i="2"/>
  <c r="H181" i="2"/>
  <c r="H182" i="2"/>
  <c r="I182" i="2" s="1"/>
  <c r="H183" i="2"/>
  <c r="H184" i="2"/>
  <c r="H185" i="2"/>
  <c r="H186" i="2"/>
  <c r="I186" i="2" s="1"/>
  <c r="H187" i="2"/>
  <c r="H188" i="2"/>
  <c r="H189" i="2"/>
  <c r="H190" i="2"/>
  <c r="I190" i="2" s="1"/>
  <c r="H191" i="2"/>
  <c r="H192" i="2"/>
  <c r="H193" i="2"/>
  <c r="H194" i="2"/>
  <c r="I194" i="2" s="1"/>
  <c r="H195" i="2"/>
  <c r="H196" i="2"/>
  <c r="H197" i="2"/>
  <c r="H198" i="2"/>
  <c r="I198" i="2" s="1"/>
  <c r="H199" i="2"/>
  <c r="H200" i="2"/>
  <c r="H201" i="2"/>
  <c r="H202" i="2"/>
  <c r="I202" i="2" s="1"/>
  <c r="H203" i="2"/>
  <c r="H204" i="2"/>
  <c r="H205" i="2"/>
  <c r="H206" i="2"/>
  <c r="I206" i="2" s="1"/>
  <c r="H207" i="2"/>
  <c r="H208" i="2"/>
  <c r="H209" i="2"/>
  <c r="H210" i="2"/>
  <c r="I210" i="2" s="1"/>
  <c r="H211" i="2"/>
  <c r="H212" i="2"/>
  <c r="H213" i="2"/>
  <c r="H214" i="2"/>
  <c r="I214" i="2" s="1"/>
  <c r="H215" i="2"/>
  <c r="H216" i="2"/>
  <c r="H217" i="2"/>
  <c r="H218" i="2"/>
  <c r="I218" i="2" s="1"/>
  <c r="H219" i="2"/>
  <c r="H220" i="2"/>
  <c r="H221" i="2"/>
  <c r="H222" i="2"/>
  <c r="I222" i="2" s="1"/>
  <c r="H223" i="2"/>
  <c r="H224" i="2"/>
  <c r="H225" i="2"/>
  <c r="H226" i="2"/>
  <c r="I226" i="2" s="1"/>
  <c r="H227" i="2"/>
  <c r="H228" i="2"/>
  <c r="H229" i="2"/>
  <c r="H230" i="2"/>
  <c r="I230" i="2" s="1"/>
  <c r="H231" i="2"/>
  <c r="H232" i="2"/>
  <c r="H233" i="2"/>
  <c r="H234" i="2"/>
  <c r="I234" i="2" s="1"/>
  <c r="H235" i="2"/>
  <c r="H236" i="2"/>
  <c r="H237" i="2"/>
  <c r="H238" i="2"/>
  <c r="I238" i="2" s="1"/>
  <c r="H239" i="2"/>
  <c r="H240" i="2"/>
  <c r="H241" i="2"/>
  <c r="H242" i="2"/>
  <c r="I242" i="2" s="1"/>
  <c r="H243" i="2"/>
  <c r="H244" i="2"/>
  <c r="H245" i="2"/>
  <c r="H246" i="2"/>
  <c r="I246" i="2" s="1"/>
  <c r="H247" i="2"/>
  <c r="H248" i="2"/>
  <c r="H249" i="2"/>
  <c r="H250" i="2"/>
  <c r="I250" i="2" s="1"/>
  <c r="H251" i="2"/>
  <c r="H252" i="2"/>
  <c r="H253" i="2"/>
  <c r="H254" i="2"/>
  <c r="I254" i="2" s="1"/>
  <c r="H255" i="2"/>
  <c r="H256" i="2"/>
  <c r="H257" i="2"/>
  <c r="H258" i="2"/>
  <c r="I258" i="2" s="1"/>
  <c r="H259" i="2"/>
  <c r="H260" i="2"/>
  <c r="H261" i="2"/>
  <c r="H262" i="2"/>
  <c r="I262" i="2" s="1"/>
  <c r="H263" i="2"/>
  <c r="H264" i="2"/>
  <c r="H265" i="2"/>
  <c r="H266" i="2"/>
  <c r="I266" i="2" s="1"/>
  <c r="H267" i="2"/>
  <c r="H268" i="2"/>
  <c r="H269" i="2"/>
  <c r="H270" i="2"/>
  <c r="I270" i="2" s="1"/>
  <c r="H271" i="2"/>
  <c r="H272" i="2"/>
  <c r="H273" i="2"/>
  <c r="H274" i="2"/>
  <c r="I274" i="2" s="1"/>
  <c r="H275" i="2"/>
  <c r="H276" i="2"/>
  <c r="H277" i="2"/>
  <c r="H278" i="2"/>
  <c r="I278" i="2" s="1"/>
  <c r="H279" i="2"/>
  <c r="H280" i="2"/>
  <c r="H281" i="2"/>
  <c r="H282" i="2"/>
  <c r="I282" i="2" s="1"/>
  <c r="H283" i="2"/>
  <c r="H284" i="2"/>
  <c r="H285" i="2"/>
  <c r="H286" i="2"/>
  <c r="I286" i="2" s="1"/>
  <c r="H287" i="2"/>
  <c r="H288" i="2"/>
  <c r="H289" i="2"/>
  <c r="H290" i="2"/>
  <c r="I290" i="2" s="1"/>
  <c r="H291" i="2"/>
  <c r="H292" i="2"/>
  <c r="H293" i="2"/>
  <c r="H294" i="2"/>
  <c r="I294" i="2" s="1"/>
  <c r="H295" i="2"/>
  <c r="H296" i="2"/>
  <c r="H297" i="2"/>
  <c r="H298" i="2"/>
  <c r="I298" i="2" s="1"/>
  <c r="H299" i="2"/>
  <c r="H300" i="2"/>
  <c r="H301" i="2"/>
  <c r="H302" i="2"/>
  <c r="I302" i="2" s="1"/>
  <c r="H303" i="2"/>
  <c r="H304" i="2"/>
  <c r="H305" i="2"/>
  <c r="H306" i="2"/>
  <c r="I306" i="2" s="1"/>
  <c r="H307" i="2"/>
  <c r="H308" i="2"/>
  <c r="H309" i="2"/>
  <c r="H310" i="2"/>
  <c r="I310" i="2" s="1"/>
  <c r="H311" i="2"/>
  <c r="H312" i="2"/>
  <c r="H313" i="2"/>
  <c r="H314" i="2"/>
  <c r="I314" i="2" s="1"/>
  <c r="H315" i="2"/>
  <c r="H316" i="2"/>
  <c r="H317" i="2"/>
  <c r="H318" i="2"/>
  <c r="I318" i="2" s="1"/>
  <c r="H319" i="2"/>
  <c r="H320" i="2"/>
  <c r="H321" i="2"/>
  <c r="H322" i="2"/>
  <c r="I322" i="2" s="1"/>
  <c r="H323" i="2"/>
  <c r="H324" i="2"/>
  <c r="H325" i="2"/>
  <c r="H326" i="2"/>
  <c r="I326" i="2" s="1"/>
  <c r="H327" i="2"/>
  <c r="H328" i="2"/>
  <c r="H329" i="2"/>
  <c r="H330" i="2"/>
  <c r="I330" i="2" s="1"/>
  <c r="H331" i="2"/>
  <c r="H332" i="2"/>
  <c r="H333" i="2"/>
  <c r="H334" i="2"/>
  <c r="I334" i="2" s="1"/>
  <c r="H335" i="2"/>
  <c r="H336" i="2"/>
  <c r="H337" i="2"/>
  <c r="H338" i="2"/>
  <c r="I338" i="2" s="1"/>
  <c r="H339" i="2"/>
  <c r="H340" i="2"/>
  <c r="H341" i="2"/>
  <c r="H342" i="2"/>
  <c r="I342" i="2" s="1"/>
  <c r="H343" i="2"/>
  <c r="H344" i="2"/>
  <c r="H345" i="2"/>
  <c r="H346" i="2"/>
  <c r="I346" i="2" s="1"/>
  <c r="H347" i="2"/>
  <c r="H348" i="2"/>
  <c r="H349" i="2"/>
  <c r="H350" i="2"/>
  <c r="I350" i="2" s="1"/>
  <c r="H351" i="2"/>
  <c r="H352" i="2"/>
  <c r="H353" i="2"/>
  <c r="H354" i="2"/>
  <c r="I354" i="2" s="1"/>
  <c r="H355" i="2"/>
  <c r="H356" i="2"/>
  <c r="H357" i="2"/>
  <c r="H358" i="2"/>
  <c r="I358" i="2" s="1"/>
  <c r="H359" i="2"/>
  <c r="H360" i="2"/>
  <c r="H361" i="2"/>
  <c r="H362" i="2"/>
  <c r="I362" i="2" s="1"/>
  <c r="H363" i="2"/>
  <c r="H364" i="2"/>
  <c r="H365" i="2"/>
  <c r="H366" i="2"/>
  <c r="I366" i="2" s="1"/>
  <c r="H367" i="2"/>
  <c r="H368" i="2"/>
  <c r="H369" i="2"/>
  <c r="H370" i="2"/>
  <c r="I370" i="2" s="1"/>
  <c r="H371" i="2"/>
  <c r="H372" i="2"/>
  <c r="H373" i="2"/>
  <c r="H374" i="2"/>
  <c r="I374" i="2" s="1"/>
  <c r="H375" i="2"/>
  <c r="H376" i="2"/>
  <c r="H377" i="2"/>
  <c r="H378" i="2"/>
  <c r="I378" i="2" s="1"/>
  <c r="H379" i="2"/>
  <c r="H380" i="2"/>
  <c r="H381" i="2"/>
  <c r="H382" i="2"/>
  <c r="I382" i="2" s="1"/>
  <c r="H383" i="2"/>
  <c r="H384" i="2"/>
  <c r="H385" i="2"/>
  <c r="H386" i="2"/>
  <c r="I386" i="2" s="1"/>
  <c r="H387" i="2"/>
  <c r="H388" i="2"/>
  <c r="H389" i="2"/>
  <c r="H390" i="2"/>
  <c r="I390" i="2" s="1"/>
  <c r="H391" i="2"/>
  <c r="H392" i="2"/>
  <c r="H393" i="2"/>
  <c r="H394" i="2"/>
  <c r="I394" i="2" s="1"/>
  <c r="H395" i="2"/>
  <c r="H396" i="2"/>
  <c r="H397" i="2"/>
  <c r="H398" i="2"/>
  <c r="I398" i="2" s="1"/>
  <c r="H399" i="2"/>
  <c r="H400" i="2"/>
  <c r="H401" i="2"/>
  <c r="H402" i="2"/>
  <c r="I402" i="2" s="1"/>
  <c r="H403" i="2"/>
  <c r="H404" i="2"/>
  <c r="H405" i="2"/>
  <c r="H406" i="2"/>
  <c r="I406" i="2" s="1"/>
  <c r="H407" i="2"/>
  <c r="H408" i="2"/>
  <c r="H409" i="2"/>
  <c r="H410" i="2"/>
  <c r="I410" i="2" s="1"/>
  <c r="H411" i="2"/>
  <c r="H412" i="2"/>
  <c r="H413" i="2"/>
  <c r="H414" i="2"/>
  <c r="I414" i="2" s="1"/>
  <c r="H415" i="2"/>
  <c r="H416" i="2"/>
  <c r="H417" i="2"/>
  <c r="H418" i="2"/>
  <c r="I418" i="2" s="1"/>
  <c r="H419" i="2"/>
  <c r="H420" i="2"/>
  <c r="H421" i="2"/>
  <c r="H422" i="2"/>
  <c r="I422" i="2" s="1"/>
  <c r="H423" i="2"/>
  <c r="H424" i="2"/>
  <c r="H425" i="2"/>
  <c r="H426" i="2"/>
  <c r="I426" i="2" s="1"/>
  <c r="H427" i="2"/>
  <c r="H428" i="2"/>
  <c r="H429" i="2"/>
  <c r="H430" i="2"/>
  <c r="I430" i="2" s="1"/>
  <c r="H431" i="2"/>
  <c r="H432" i="2"/>
  <c r="H433" i="2"/>
  <c r="H434" i="2"/>
  <c r="I434" i="2" s="1"/>
  <c r="H435" i="2"/>
  <c r="H436" i="2"/>
  <c r="H437" i="2"/>
  <c r="H438" i="2"/>
  <c r="I438" i="2" s="1"/>
  <c r="H439" i="2"/>
  <c r="H440" i="2"/>
  <c r="H441" i="2"/>
  <c r="H442" i="2"/>
  <c r="I442" i="2" s="1"/>
  <c r="H443" i="2"/>
  <c r="H444" i="2"/>
  <c r="H445" i="2"/>
  <c r="H446" i="2"/>
  <c r="I446" i="2" s="1"/>
  <c r="H447" i="2"/>
  <c r="H448" i="2"/>
  <c r="H449" i="2"/>
  <c r="H450" i="2"/>
  <c r="I450" i="2" s="1"/>
  <c r="H451" i="2"/>
  <c r="H452" i="2"/>
  <c r="H453" i="2"/>
  <c r="H454" i="2"/>
  <c r="I454" i="2" s="1"/>
  <c r="H455" i="2"/>
  <c r="H456" i="2"/>
  <c r="H457" i="2"/>
  <c r="H458" i="2"/>
  <c r="I458" i="2" s="1"/>
  <c r="H459" i="2"/>
  <c r="H460" i="2"/>
  <c r="H461" i="2"/>
  <c r="H462" i="2"/>
  <c r="I462" i="2" s="1"/>
  <c r="H463" i="2"/>
  <c r="H464" i="2"/>
  <c r="H465" i="2"/>
  <c r="H466" i="2"/>
  <c r="I466" i="2" s="1"/>
  <c r="H467" i="2"/>
  <c r="H468" i="2"/>
  <c r="H469" i="2"/>
  <c r="I469" i="2" s="1"/>
  <c r="H470" i="2"/>
  <c r="I470" i="2" s="1"/>
  <c r="H471" i="2"/>
  <c r="H472" i="2"/>
  <c r="H473" i="2"/>
  <c r="I473" i="2" s="1"/>
  <c r="H474" i="2"/>
  <c r="I474" i="2" s="1"/>
  <c r="H475" i="2"/>
  <c r="H476" i="2"/>
  <c r="H477" i="2"/>
  <c r="I477" i="2" s="1"/>
  <c r="H478" i="2"/>
  <c r="I478" i="2" s="1"/>
  <c r="H479" i="2"/>
  <c r="H480" i="2"/>
  <c r="H481" i="2"/>
  <c r="I481" i="2" s="1"/>
  <c r="H482" i="2"/>
  <c r="I482" i="2" s="1"/>
  <c r="H483" i="2"/>
  <c r="H484" i="2"/>
  <c r="H485" i="2"/>
  <c r="I485" i="2" s="1"/>
  <c r="H486" i="2"/>
  <c r="I486" i="2" s="1"/>
  <c r="H487" i="2"/>
  <c r="H488" i="2"/>
  <c r="H489" i="2"/>
  <c r="I489" i="2" s="1"/>
  <c r="H490" i="2"/>
  <c r="I490" i="2" s="1"/>
  <c r="H491" i="2"/>
  <c r="H492" i="2"/>
  <c r="H493" i="2"/>
  <c r="I493" i="2" s="1"/>
  <c r="H494" i="2"/>
  <c r="I494" i="2" s="1"/>
  <c r="H495" i="2"/>
  <c r="H496" i="2"/>
  <c r="H497" i="2"/>
  <c r="I497" i="2" s="1"/>
  <c r="H498" i="2"/>
  <c r="I498" i="2" s="1"/>
  <c r="H499" i="2"/>
  <c r="H500" i="2"/>
  <c r="H501" i="2"/>
  <c r="I501" i="2" s="1"/>
  <c r="H502" i="2"/>
  <c r="I502" i="2" s="1"/>
  <c r="H503" i="2"/>
  <c r="H504" i="2"/>
  <c r="H505" i="2"/>
  <c r="I505" i="2" s="1"/>
  <c r="H506" i="2"/>
  <c r="I506" i="2" s="1"/>
  <c r="H507" i="2"/>
  <c r="H508" i="2"/>
  <c r="H509" i="2"/>
  <c r="I509" i="2" s="1"/>
  <c r="H510" i="2"/>
  <c r="I510" i="2" s="1"/>
  <c r="H511" i="2"/>
  <c r="H512" i="2"/>
  <c r="H513" i="2"/>
  <c r="I513" i="2" s="1"/>
  <c r="H514" i="2"/>
  <c r="I514" i="2" s="1"/>
  <c r="H515" i="2"/>
  <c r="H516" i="2"/>
  <c r="H517" i="2"/>
  <c r="I517" i="2" s="1"/>
  <c r="H518" i="2"/>
  <c r="I518" i="2" s="1"/>
  <c r="H519" i="2"/>
  <c r="H520" i="2"/>
  <c r="H521" i="2"/>
  <c r="I521" i="2" s="1"/>
  <c r="H522" i="2"/>
  <c r="I522" i="2" s="1"/>
  <c r="H523" i="2"/>
  <c r="H524" i="2"/>
  <c r="H525" i="2"/>
  <c r="I525" i="2" s="1"/>
  <c r="H526" i="2"/>
  <c r="I526" i="2" s="1"/>
  <c r="H527" i="2"/>
  <c r="H528" i="2"/>
  <c r="H529" i="2"/>
  <c r="I529" i="2" s="1"/>
  <c r="H530" i="2"/>
  <c r="I530" i="2" s="1"/>
  <c r="H531" i="2"/>
  <c r="H532" i="2"/>
  <c r="H533" i="2"/>
  <c r="I533" i="2" s="1"/>
  <c r="H534" i="2"/>
  <c r="I534" i="2" s="1"/>
  <c r="H535" i="2"/>
  <c r="H536" i="2"/>
  <c r="H537" i="2"/>
  <c r="I537" i="2" s="1"/>
  <c r="H538" i="2"/>
  <c r="I538" i="2" s="1"/>
  <c r="H539" i="2"/>
  <c r="H540" i="2"/>
  <c r="H541" i="2"/>
  <c r="I541" i="2" s="1"/>
  <c r="H542" i="2"/>
  <c r="I542" i="2" s="1"/>
  <c r="H543" i="2"/>
  <c r="H544" i="2"/>
  <c r="H545" i="2"/>
  <c r="I545" i="2" s="1"/>
  <c r="H546" i="2"/>
  <c r="I546" i="2" s="1"/>
  <c r="H547" i="2"/>
  <c r="H548" i="2"/>
  <c r="H549" i="2"/>
  <c r="I549" i="2" s="1"/>
  <c r="H550" i="2"/>
  <c r="I550" i="2" s="1"/>
  <c r="H551" i="2"/>
  <c r="H552" i="2"/>
  <c r="H553" i="2"/>
  <c r="I553" i="2" s="1"/>
  <c r="H554" i="2"/>
  <c r="I554" i="2" s="1"/>
  <c r="H555" i="2"/>
  <c r="H556" i="2"/>
  <c r="H557" i="2"/>
  <c r="I557" i="2" s="1"/>
  <c r="H558" i="2"/>
  <c r="I558" i="2" s="1"/>
  <c r="H559" i="2"/>
  <c r="H560" i="2"/>
  <c r="H561" i="2"/>
  <c r="I561" i="2" s="1"/>
  <c r="H562" i="2"/>
  <c r="I562" i="2" s="1"/>
  <c r="H563" i="2"/>
  <c r="H564" i="2"/>
  <c r="H565" i="2"/>
  <c r="I565" i="2" s="1"/>
  <c r="H566" i="2"/>
  <c r="I566" i="2" s="1"/>
  <c r="H567" i="2"/>
  <c r="H568" i="2"/>
  <c r="H569" i="2"/>
  <c r="I569" i="2" s="1"/>
  <c r="H570" i="2"/>
  <c r="I570" i="2" s="1"/>
  <c r="H571" i="2"/>
  <c r="H572" i="2"/>
  <c r="H573" i="2"/>
  <c r="I573" i="2" s="1"/>
  <c r="H574" i="2"/>
  <c r="I574" i="2" s="1"/>
  <c r="H575" i="2"/>
  <c r="H576" i="2"/>
  <c r="H577" i="2"/>
  <c r="I577" i="2" s="1"/>
  <c r="H578" i="2"/>
  <c r="I578" i="2" s="1"/>
  <c r="H579" i="2"/>
  <c r="H580" i="2"/>
  <c r="H581" i="2"/>
  <c r="I581" i="2" s="1"/>
  <c r="H582" i="2"/>
  <c r="I582" i="2" s="1"/>
  <c r="H583" i="2"/>
  <c r="H584" i="2"/>
  <c r="H585" i="2"/>
  <c r="I585" i="2" s="1"/>
  <c r="H586" i="2"/>
  <c r="I586" i="2" s="1"/>
  <c r="H587" i="2"/>
  <c r="H588" i="2"/>
  <c r="H589" i="2"/>
  <c r="I589" i="2" s="1"/>
  <c r="H590" i="2"/>
  <c r="H591" i="2"/>
  <c r="H592" i="2"/>
  <c r="H593" i="2"/>
  <c r="I593" i="2" s="1"/>
  <c r="H594" i="2"/>
  <c r="I594" i="2" s="1"/>
  <c r="H595" i="2"/>
  <c r="H596" i="2"/>
  <c r="H597" i="2"/>
  <c r="I597" i="2" s="1"/>
  <c r="H598" i="2"/>
  <c r="I598" i="2" s="1"/>
  <c r="H599" i="2"/>
  <c r="H600" i="2"/>
  <c r="H601" i="2"/>
  <c r="I601" i="2" s="1"/>
  <c r="H602" i="2"/>
  <c r="I602" i="2" s="1"/>
  <c r="H603" i="2"/>
  <c r="H604" i="2"/>
  <c r="H605" i="2"/>
  <c r="I605" i="2" s="1"/>
  <c r="H606" i="2"/>
  <c r="I606" i="2" s="1"/>
  <c r="H607" i="2"/>
  <c r="H608" i="2"/>
  <c r="H609" i="2"/>
  <c r="I609" i="2" s="1"/>
  <c r="H610" i="2"/>
  <c r="I610" i="2" s="1"/>
  <c r="H611" i="2"/>
  <c r="H612" i="2"/>
  <c r="H613" i="2"/>
  <c r="I613" i="2" s="1"/>
  <c r="H614" i="2"/>
  <c r="I614" i="2" s="1"/>
  <c r="H615" i="2"/>
  <c r="H616" i="2"/>
  <c r="H617" i="2"/>
  <c r="I617" i="2" s="1"/>
  <c r="H618" i="2"/>
  <c r="I618" i="2" s="1"/>
  <c r="H619" i="2"/>
  <c r="H620" i="2"/>
  <c r="H621" i="2"/>
  <c r="I621" i="2" s="1"/>
  <c r="H622" i="2"/>
  <c r="I622" i="2" s="1"/>
  <c r="H623" i="2"/>
  <c r="H624" i="2"/>
  <c r="H625" i="2"/>
  <c r="I625" i="2" s="1"/>
  <c r="H626" i="2"/>
  <c r="I626" i="2" s="1"/>
  <c r="H627" i="2"/>
  <c r="H628" i="2"/>
  <c r="H629" i="2"/>
  <c r="I629" i="2" s="1"/>
  <c r="H630" i="2"/>
  <c r="I630" i="2" s="1"/>
  <c r="H631" i="2"/>
  <c r="H632" i="2"/>
  <c r="H633" i="2"/>
  <c r="I633" i="2" s="1"/>
  <c r="H634" i="2"/>
  <c r="I634" i="2" s="1"/>
  <c r="H635" i="2"/>
  <c r="H636" i="2"/>
  <c r="H637" i="2"/>
  <c r="I637" i="2" s="1"/>
  <c r="H638" i="2"/>
  <c r="I638" i="2" s="1"/>
  <c r="H639" i="2"/>
  <c r="H640" i="2"/>
  <c r="H641" i="2"/>
  <c r="I641" i="2" s="1"/>
  <c r="H642" i="2"/>
  <c r="I642" i="2" s="1"/>
  <c r="H643" i="2"/>
  <c r="H644" i="2"/>
  <c r="H645" i="2"/>
  <c r="I645" i="2" s="1"/>
  <c r="H646" i="2"/>
  <c r="I646" i="2" s="1"/>
  <c r="H647" i="2"/>
  <c r="H648" i="2"/>
  <c r="H649" i="2"/>
  <c r="I649" i="2" s="1"/>
  <c r="H650" i="2"/>
  <c r="I650" i="2" s="1"/>
  <c r="H651" i="2"/>
  <c r="H652" i="2"/>
  <c r="H653" i="2"/>
  <c r="I653" i="2" s="1"/>
  <c r="H654" i="2"/>
  <c r="I654" i="2" s="1"/>
  <c r="H655" i="2"/>
  <c r="H656" i="2"/>
  <c r="H657" i="2"/>
  <c r="I657" i="2" s="1"/>
  <c r="H658" i="2"/>
  <c r="I658" i="2" s="1"/>
  <c r="H659" i="2"/>
  <c r="H660" i="2"/>
  <c r="H661" i="2"/>
  <c r="I661" i="2" s="1"/>
  <c r="H662" i="2"/>
  <c r="I662" i="2" s="1"/>
  <c r="H663" i="2"/>
  <c r="H664" i="2"/>
  <c r="H665" i="2"/>
  <c r="I665" i="2" s="1"/>
  <c r="H666" i="2"/>
  <c r="I666" i="2" s="1"/>
  <c r="H667" i="2"/>
  <c r="H668" i="2"/>
  <c r="H669" i="2"/>
  <c r="I669" i="2" s="1"/>
  <c r="H670" i="2"/>
  <c r="I670" i="2" s="1"/>
  <c r="H671" i="2"/>
  <c r="H672" i="2"/>
  <c r="H673" i="2"/>
  <c r="I673" i="2" s="1"/>
  <c r="H674" i="2"/>
  <c r="I674" i="2" s="1"/>
  <c r="H675" i="2"/>
  <c r="H676" i="2"/>
  <c r="H677" i="2"/>
  <c r="I677" i="2" s="1"/>
  <c r="H678" i="2"/>
  <c r="I678" i="2" s="1"/>
  <c r="H679" i="2"/>
  <c r="H680" i="2"/>
  <c r="H681" i="2"/>
  <c r="I681" i="2" s="1"/>
  <c r="H682" i="2"/>
  <c r="I682" i="2" s="1"/>
  <c r="H683" i="2"/>
  <c r="H684" i="2"/>
  <c r="H685" i="2"/>
  <c r="I685" i="2" s="1"/>
  <c r="H686" i="2"/>
  <c r="I686" i="2" s="1"/>
  <c r="H687" i="2"/>
  <c r="H688" i="2"/>
  <c r="H689" i="2"/>
  <c r="I689" i="2" s="1"/>
  <c r="H690" i="2"/>
  <c r="I690" i="2" s="1"/>
  <c r="H691" i="2"/>
  <c r="H692" i="2"/>
  <c r="H693" i="2"/>
  <c r="I693" i="2" s="1"/>
  <c r="H694" i="2"/>
  <c r="I694" i="2" s="1"/>
  <c r="H695" i="2"/>
  <c r="H696" i="2"/>
  <c r="H697" i="2"/>
  <c r="I697" i="2" s="1"/>
  <c r="H698" i="2"/>
  <c r="I698" i="2" s="1"/>
  <c r="H699" i="2"/>
  <c r="H700" i="2"/>
  <c r="H701" i="2"/>
  <c r="I701" i="2" s="1"/>
  <c r="H702" i="2"/>
  <c r="I702" i="2" s="1"/>
  <c r="H703" i="2"/>
  <c r="H704" i="2"/>
  <c r="H705" i="2"/>
  <c r="I705" i="2" s="1"/>
  <c r="H706" i="2"/>
  <c r="I706" i="2" s="1"/>
  <c r="H707" i="2"/>
  <c r="H708" i="2"/>
  <c r="H709" i="2"/>
  <c r="I709" i="2" s="1"/>
  <c r="H710" i="2"/>
  <c r="I710" i="2" s="1"/>
  <c r="H711" i="2"/>
  <c r="H712" i="2"/>
  <c r="H713" i="2"/>
  <c r="I713" i="2" s="1"/>
  <c r="H714" i="2"/>
  <c r="I714" i="2" s="1"/>
  <c r="H715" i="2"/>
  <c r="H716" i="2"/>
  <c r="H717" i="2"/>
  <c r="I717" i="2" s="1"/>
  <c r="H718" i="2"/>
  <c r="H719" i="2"/>
  <c r="H720" i="2"/>
  <c r="H721" i="2"/>
  <c r="I721" i="2" s="1"/>
  <c r="H722" i="2"/>
  <c r="I722" i="2" s="1"/>
  <c r="H723" i="2"/>
  <c r="H724" i="2"/>
  <c r="H725" i="2"/>
  <c r="I725" i="2" s="1"/>
  <c r="H726" i="2"/>
  <c r="I726" i="2" s="1"/>
  <c r="H727" i="2"/>
  <c r="H728" i="2"/>
  <c r="H729" i="2"/>
  <c r="I729" i="2" s="1"/>
  <c r="H730" i="2"/>
  <c r="I730" i="2" s="1"/>
  <c r="H731" i="2"/>
  <c r="H732" i="2"/>
  <c r="H733" i="2"/>
  <c r="I733" i="2" s="1"/>
  <c r="H734" i="2"/>
  <c r="I734" i="2" s="1"/>
  <c r="H735" i="2"/>
  <c r="H736" i="2"/>
  <c r="H737" i="2"/>
  <c r="I737" i="2" s="1"/>
  <c r="H738" i="2"/>
  <c r="I738" i="2" s="1"/>
  <c r="H739" i="2"/>
  <c r="H740" i="2"/>
  <c r="H741" i="2"/>
  <c r="I741" i="2" s="1"/>
  <c r="H742" i="2"/>
  <c r="I742" i="2" s="1"/>
  <c r="H743" i="2"/>
  <c r="H744" i="2"/>
  <c r="H745" i="2"/>
  <c r="I745" i="2" s="1"/>
  <c r="H746" i="2"/>
  <c r="I746" i="2" s="1"/>
  <c r="H747" i="2"/>
  <c r="H748" i="2"/>
  <c r="H749" i="2"/>
  <c r="I749" i="2" s="1"/>
  <c r="H750" i="2"/>
  <c r="I750" i="2" s="1"/>
  <c r="H751" i="2"/>
  <c r="H752" i="2"/>
  <c r="H753" i="2"/>
  <c r="I753" i="2" s="1"/>
  <c r="H754" i="2"/>
  <c r="I754" i="2" s="1"/>
  <c r="H755" i="2"/>
  <c r="H756" i="2"/>
  <c r="H757" i="2"/>
  <c r="I757" i="2" s="1"/>
  <c r="H758" i="2"/>
  <c r="I758" i="2" s="1"/>
  <c r="H759" i="2"/>
  <c r="H760" i="2"/>
  <c r="H761" i="2"/>
  <c r="I761" i="2" s="1"/>
  <c r="H762" i="2"/>
  <c r="I762" i="2" s="1"/>
  <c r="H763" i="2"/>
  <c r="H764" i="2"/>
  <c r="H765" i="2"/>
  <c r="I765" i="2" s="1"/>
  <c r="H766" i="2"/>
  <c r="I766" i="2" s="1"/>
  <c r="H767" i="2"/>
  <c r="H768" i="2"/>
  <c r="H769" i="2"/>
  <c r="I769" i="2" s="1"/>
  <c r="H770" i="2"/>
  <c r="I770" i="2" s="1"/>
  <c r="H771" i="2"/>
  <c r="H772" i="2"/>
  <c r="H773" i="2"/>
  <c r="I773" i="2" s="1"/>
  <c r="H774" i="2"/>
  <c r="I774" i="2" s="1"/>
  <c r="H775" i="2"/>
  <c r="H776" i="2"/>
  <c r="H777" i="2"/>
  <c r="I777" i="2" s="1"/>
  <c r="H778" i="2"/>
  <c r="I778" i="2" s="1"/>
  <c r="H779" i="2"/>
  <c r="H780" i="2"/>
  <c r="H781" i="2"/>
  <c r="I781" i="2" s="1"/>
  <c r="H782" i="2"/>
  <c r="I782" i="2" s="1"/>
  <c r="H783" i="2"/>
  <c r="H784" i="2"/>
  <c r="H785" i="2"/>
  <c r="I785" i="2" s="1"/>
  <c r="H786" i="2"/>
  <c r="I786" i="2" s="1"/>
  <c r="H787" i="2"/>
  <c r="H788" i="2"/>
  <c r="H789" i="2"/>
  <c r="I789" i="2" s="1"/>
  <c r="H790" i="2"/>
  <c r="I790" i="2" s="1"/>
  <c r="H791" i="2"/>
  <c r="H792" i="2"/>
  <c r="H793" i="2"/>
  <c r="I793" i="2" s="1"/>
  <c r="H794" i="2"/>
  <c r="I794" i="2" s="1"/>
  <c r="H795" i="2"/>
  <c r="H796" i="2"/>
  <c r="H797" i="2"/>
  <c r="I797" i="2" s="1"/>
  <c r="H798" i="2"/>
  <c r="I798" i="2" s="1"/>
  <c r="H799" i="2"/>
  <c r="H800" i="2"/>
  <c r="H801" i="2"/>
  <c r="I801" i="2" s="1"/>
  <c r="H802" i="2"/>
  <c r="I802" i="2" s="1"/>
  <c r="H803" i="2"/>
  <c r="H804" i="2"/>
  <c r="H805" i="2"/>
  <c r="I805" i="2" s="1"/>
  <c r="H806" i="2"/>
  <c r="I806" i="2" s="1"/>
  <c r="H807" i="2"/>
  <c r="H808" i="2"/>
  <c r="H809" i="2"/>
  <c r="I809" i="2" s="1"/>
  <c r="H810" i="2"/>
  <c r="I810" i="2" s="1"/>
  <c r="H811" i="2"/>
  <c r="H812" i="2"/>
  <c r="H813" i="2"/>
  <c r="I813" i="2" s="1"/>
  <c r="H814" i="2"/>
  <c r="I814" i="2" s="1"/>
  <c r="H815" i="2"/>
  <c r="H816" i="2"/>
  <c r="H817" i="2"/>
  <c r="I817" i="2" s="1"/>
  <c r="H818" i="2"/>
  <c r="H819" i="2"/>
  <c r="H820" i="2"/>
  <c r="H821" i="2"/>
  <c r="I821" i="2" s="1"/>
  <c r="H822" i="2"/>
  <c r="I822" i="2" s="1"/>
  <c r="H823" i="2"/>
  <c r="H824" i="2"/>
  <c r="H825" i="2"/>
  <c r="I825" i="2" s="1"/>
  <c r="H826" i="2"/>
  <c r="I826" i="2" s="1"/>
  <c r="H827" i="2"/>
  <c r="H828" i="2"/>
  <c r="H829" i="2"/>
  <c r="I829" i="2" s="1"/>
  <c r="H830" i="2"/>
  <c r="I830" i="2" s="1"/>
  <c r="H831" i="2"/>
  <c r="H832" i="2"/>
  <c r="H833" i="2"/>
  <c r="I833" i="2" s="1"/>
  <c r="H834" i="2"/>
  <c r="I834" i="2" s="1"/>
  <c r="H835" i="2"/>
  <c r="H836" i="2"/>
  <c r="H837" i="2"/>
  <c r="I837" i="2" s="1"/>
  <c r="H838" i="2"/>
  <c r="I838" i="2" s="1"/>
  <c r="H839" i="2"/>
  <c r="H840" i="2"/>
  <c r="H841" i="2"/>
  <c r="I841" i="2" s="1"/>
  <c r="H842" i="2"/>
  <c r="I842" i="2" s="1"/>
  <c r="H843" i="2"/>
  <c r="H844" i="2"/>
  <c r="H845" i="2"/>
  <c r="I845" i="2" s="1"/>
  <c r="H846" i="2"/>
  <c r="I846" i="2" s="1"/>
  <c r="H847" i="2"/>
  <c r="H848" i="2"/>
  <c r="H849" i="2"/>
  <c r="I849" i="2" s="1"/>
  <c r="H850" i="2"/>
  <c r="I850" i="2" s="1"/>
  <c r="H851" i="2"/>
  <c r="H852" i="2"/>
  <c r="H853" i="2"/>
  <c r="I853" i="2" s="1"/>
  <c r="H854" i="2"/>
  <c r="I854" i="2" s="1"/>
  <c r="H855" i="2"/>
  <c r="H856" i="2"/>
  <c r="H857" i="2"/>
  <c r="I857" i="2" s="1"/>
  <c r="H858" i="2"/>
  <c r="I858" i="2" s="1"/>
  <c r="H859" i="2"/>
  <c r="H860" i="2"/>
  <c r="H861" i="2"/>
  <c r="H862" i="2"/>
  <c r="I862" i="2" s="1"/>
  <c r="H863" i="2"/>
  <c r="H864" i="2"/>
  <c r="H865" i="2"/>
  <c r="H866" i="2"/>
  <c r="I866" i="2" s="1"/>
  <c r="H867" i="2"/>
  <c r="H868" i="2"/>
  <c r="H869" i="2"/>
  <c r="H870" i="2"/>
  <c r="I870" i="2" s="1"/>
  <c r="H871" i="2"/>
  <c r="H872" i="2"/>
  <c r="H873" i="2"/>
  <c r="H874" i="2"/>
  <c r="I874" i="2" s="1"/>
  <c r="H875" i="2"/>
  <c r="H876" i="2"/>
  <c r="H877" i="2"/>
  <c r="H878" i="2"/>
  <c r="I878" i="2" s="1"/>
  <c r="H879" i="2"/>
  <c r="H880" i="2"/>
  <c r="H881" i="2"/>
  <c r="H882" i="2"/>
  <c r="I882" i="2" s="1"/>
  <c r="H883" i="2"/>
  <c r="H884" i="2"/>
  <c r="H885" i="2"/>
  <c r="H886" i="2"/>
  <c r="I886" i="2" s="1"/>
  <c r="H887" i="2"/>
  <c r="H888" i="2"/>
  <c r="H889" i="2"/>
  <c r="H890" i="2"/>
  <c r="I890" i="2" s="1"/>
  <c r="H891" i="2"/>
  <c r="H892" i="2"/>
  <c r="H893" i="2"/>
  <c r="H894" i="2"/>
  <c r="I894" i="2" s="1"/>
  <c r="H895" i="2"/>
  <c r="H896" i="2"/>
  <c r="H897" i="2"/>
  <c r="H898" i="2"/>
  <c r="I898" i="2" s="1"/>
  <c r="H899" i="2"/>
  <c r="H900" i="2"/>
  <c r="H901" i="2"/>
  <c r="H902" i="2"/>
  <c r="I902" i="2" s="1"/>
  <c r="H903" i="2"/>
  <c r="H904" i="2"/>
  <c r="H905" i="2"/>
  <c r="H906" i="2"/>
  <c r="I906" i="2" s="1"/>
  <c r="H907" i="2"/>
  <c r="H908" i="2"/>
  <c r="H909" i="2"/>
  <c r="H910" i="2"/>
  <c r="I910" i="2" s="1"/>
  <c r="H911" i="2"/>
  <c r="H912" i="2"/>
  <c r="H913" i="2"/>
  <c r="H914" i="2"/>
  <c r="I914" i="2" s="1"/>
  <c r="H915" i="2"/>
  <c r="H916" i="2"/>
  <c r="H917" i="2"/>
  <c r="H918" i="2"/>
  <c r="I918" i="2" s="1"/>
  <c r="H919" i="2"/>
  <c r="H920" i="2"/>
  <c r="H921" i="2"/>
  <c r="H922" i="2"/>
  <c r="I922" i="2" s="1"/>
  <c r="H923" i="2"/>
  <c r="H924" i="2"/>
  <c r="H925" i="2"/>
  <c r="H926" i="2"/>
  <c r="I926" i="2" s="1"/>
  <c r="H927" i="2"/>
  <c r="H928" i="2"/>
  <c r="H929" i="2"/>
  <c r="H930" i="2"/>
  <c r="I930" i="2" s="1"/>
  <c r="H931" i="2"/>
  <c r="H932" i="2"/>
  <c r="H933" i="2"/>
  <c r="H934" i="2"/>
  <c r="I934" i="2" s="1"/>
  <c r="H935" i="2"/>
  <c r="H936" i="2"/>
  <c r="H937" i="2"/>
  <c r="H938" i="2"/>
  <c r="I938" i="2" s="1"/>
  <c r="H939" i="2"/>
  <c r="H940" i="2"/>
  <c r="H941" i="2"/>
  <c r="H942" i="2"/>
  <c r="I942" i="2" s="1"/>
  <c r="H943" i="2"/>
  <c r="H944" i="2"/>
  <c r="H945" i="2"/>
  <c r="H946" i="2"/>
  <c r="I946" i="2" s="1"/>
  <c r="H947" i="2"/>
  <c r="H948" i="2"/>
  <c r="H949" i="2"/>
  <c r="H950" i="2"/>
  <c r="I950" i="2" s="1"/>
  <c r="H951" i="2"/>
  <c r="H952" i="2"/>
  <c r="H953" i="2"/>
  <c r="H954" i="2"/>
  <c r="I954" i="2" s="1"/>
  <c r="H955" i="2"/>
  <c r="H956" i="2"/>
  <c r="H957" i="2"/>
  <c r="H958" i="2"/>
  <c r="I958" i="2" s="1"/>
  <c r="H959" i="2"/>
  <c r="H960" i="2"/>
  <c r="H961" i="2"/>
  <c r="H962" i="2"/>
  <c r="I962" i="2" s="1"/>
  <c r="H963" i="2"/>
  <c r="H964" i="2"/>
  <c r="H965" i="2"/>
  <c r="H966" i="2"/>
  <c r="I966" i="2" s="1"/>
  <c r="H967" i="2"/>
  <c r="H968" i="2"/>
  <c r="H969" i="2"/>
  <c r="I969" i="2" s="1"/>
  <c r="H970" i="2"/>
  <c r="I970" i="2" s="1"/>
  <c r="H971" i="2"/>
  <c r="H972" i="2"/>
  <c r="H973" i="2"/>
  <c r="I973" i="2" s="1"/>
  <c r="H974" i="2"/>
  <c r="I974" i="2" s="1"/>
  <c r="H975" i="2"/>
  <c r="H976" i="2"/>
  <c r="H977" i="2"/>
  <c r="I977" i="2" s="1"/>
  <c r="H978" i="2"/>
  <c r="I978" i="2" s="1"/>
  <c r="H979" i="2"/>
  <c r="H980" i="2"/>
  <c r="H981" i="2"/>
  <c r="I981" i="2" s="1"/>
  <c r="H982" i="2"/>
  <c r="I982" i="2" s="1"/>
  <c r="H983" i="2"/>
  <c r="H984" i="2"/>
  <c r="H985" i="2"/>
  <c r="I985" i="2" s="1"/>
  <c r="H986" i="2"/>
  <c r="I986" i="2" s="1"/>
  <c r="H987" i="2"/>
  <c r="H988" i="2"/>
  <c r="H989" i="2"/>
  <c r="I989" i="2" s="1"/>
  <c r="H990" i="2"/>
  <c r="I990" i="2" s="1"/>
  <c r="H991" i="2"/>
  <c r="H992" i="2"/>
  <c r="H993" i="2"/>
  <c r="I993" i="2" s="1"/>
  <c r="H994" i="2"/>
  <c r="H995" i="2"/>
  <c r="H996" i="2"/>
  <c r="H997" i="2"/>
  <c r="I997" i="2" s="1"/>
  <c r="H998" i="2"/>
  <c r="I998" i="2" s="1"/>
  <c r="H999" i="2"/>
  <c r="H1000" i="2"/>
  <c r="H1001" i="2"/>
  <c r="I1001" i="2" s="1"/>
  <c r="H1002" i="2"/>
  <c r="I1002" i="2" s="1"/>
  <c r="H1003" i="2"/>
  <c r="H1004" i="2"/>
  <c r="H1005" i="2"/>
  <c r="H1006" i="2"/>
  <c r="I1006" i="2" s="1"/>
  <c r="H1007" i="2"/>
  <c r="H1008" i="2"/>
  <c r="H1009" i="2"/>
  <c r="H1010" i="2"/>
  <c r="I1010" i="2" s="1"/>
  <c r="H1011" i="2"/>
  <c r="H1012" i="2"/>
  <c r="H1013" i="2"/>
  <c r="I1013" i="2" s="1"/>
  <c r="H1014" i="2"/>
  <c r="I1014" i="2" s="1"/>
  <c r="H1015" i="2"/>
  <c r="H1016" i="2"/>
  <c r="H1017" i="2"/>
  <c r="I1017" i="2" s="1"/>
  <c r="H1018" i="2"/>
  <c r="I1018" i="2" s="1"/>
  <c r="H1019" i="2"/>
  <c r="H1020" i="2"/>
  <c r="H1021" i="2"/>
  <c r="H1022" i="2"/>
  <c r="I1022" i="2" s="1"/>
  <c r="H1023" i="2"/>
  <c r="H1024" i="2"/>
  <c r="H1025" i="2"/>
  <c r="H1026" i="2"/>
  <c r="I1026" i="2" s="1"/>
  <c r="H1027" i="2"/>
  <c r="H1028" i="2"/>
  <c r="H1029" i="2"/>
  <c r="I1029" i="2" s="1"/>
  <c r="H1030" i="2"/>
  <c r="I1030" i="2" s="1"/>
  <c r="H1031" i="2"/>
  <c r="H1032" i="2"/>
  <c r="H1033" i="2"/>
  <c r="I1033" i="2" s="1"/>
  <c r="H1034" i="2"/>
  <c r="I1034" i="2" s="1"/>
  <c r="H1035" i="2"/>
  <c r="H1036" i="2"/>
  <c r="H1037" i="2"/>
  <c r="I1037" i="2" s="1"/>
  <c r="H1038" i="2"/>
  <c r="I1038" i="2" s="1"/>
  <c r="H1039" i="2"/>
  <c r="H1040" i="2"/>
  <c r="H1041" i="2"/>
  <c r="I1041" i="2" s="1"/>
  <c r="H1042" i="2"/>
  <c r="I1042" i="2" s="1"/>
  <c r="H1043" i="2"/>
  <c r="H1044" i="2"/>
  <c r="H1045" i="2"/>
  <c r="I1045" i="2" s="1"/>
  <c r="H1046" i="2"/>
  <c r="I1046" i="2" s="1"/>
  <c r="H1047" i="2"/>
  <c r="H1048" i="2"/>
  <c r="H1049" i="2"/>
  <c r="I1049" i="2" s="1"/>
  <c r="H1050" i="2"/>
  <c r="I1050" i="2" s="1"/>
  <c r="H1051" i="2"/>
  <c r="H1052" i="2"/>
  <c r="H1053" i="2"/>
  <c r="I1053" i="2" s="1"/>
  <c r="H1054" i="2"/>
  <c r="I1054" i="2" s="1"/>
  <c r="H1055" i="2"/>
  <c r="H1056" i="2"/>
  <c r="H1057" i="2"/>
  <c r="I1057" i="2" s="1"/>
  <c r="H1058" i="2"/>
  <c r="I1058" i="2" s="1"/>
  <c r="H1059" i="2"/>
  <c r="H1060" i="2"/>
  <c r="H1061" i="2"/>
  <c r="I1061" i="2" s="1"/>
  <c r="H1062" i="2"/>
  <c r="I1062" i="2" s="1"/>
  <c r="H1063" i="2"/>
  <c r="H1064" i="2"/>
  <c r="H1065" i="2"/>
  <c r="I1065" i="2" s="1"/>
  <c r="H1066" i="2"/>
  <c r="I1066" i="2" s="1"/>
  <c r="H1067" i="2"/>
  <c r="H1068" i="2"/>
  <c r="H1069" i="2"/>
  <c r="I1069" i="2" s="1"/>
  <c r="H1070" i="2"/>
  <c r="I1070" i="2" s="1"/>
  <c r="H1071" i="2"/>
  <c r="H1072" i="2"/>
  <c r="H1073" i="2"/>
  <c r="I1073" i="2" s="1"/>
  <c r="H1074" i="2"/>
  <c r="I1074" i="2" s="1"/>
  <c r="H1075" i="2"/>
  <c r="H1076" i="2"/>
  <c r="H1077" i="2"/>
  <c r="I1077" i="2" s="1"/>
  <c r="H1078" i="2"/>
  <c r="I1078" i="2" s="1"/>
  <c r="H1079" i="2"/>
  <c r="H1080" i="2"/>
  <c r="H1081" i="2"/>
  <c r="I1081" i="2" s="1"/>
  <c r="H1082" i="2"/>
  <c r="I1082" i="2" s="1"/>
  <c r="H1083" i="2"/>
  <c r="H1084" i="2"/>
  <c r="H1085" i="2"/>
  <c r="I1085" i="2" s="1"/>
  <c r="H1086" i="2"/>
  <c r="I1086" i="2" s="1"/>
  <c r="H1087" i="2"/>
  <c r="H1088" i="2"/>
  <c r="H1089" i="2"/>
  <c r="I1089" i="2" s="1"/>
  <c r="H1090" i="2"/>
  <c r="I1090" i="2" s="1"/>
  <c r="H1091" i="2"/>
  <c r="H1092" i="2"/>
  <c r="H1093" i="2"/>
  <c r="I1093" i="2" s="1"/>
  <c r="H1094" i="2"/>
  <c r="I1094" i="2" s="1"/>
  <c r="H1095" i="2"/>
  <c r="H1096" i="2"/>
  <c r="H1097" i="2"/>
  <c r="I1097" i="2" s="1"/>
  <c r="H1098" i="2"/>
  <c r="I1098" i="2" s="1"/>
  <c r="H1099" i="2"/>
  <c r="H1100" i="2"/>
  <c r="H1101" i="2"/>
  <c r="I1101" i="2" s="1"/>
  <c r="H1102" i="2"/>
  <c r="I1102" i="2" s="1"/>
  <c r="H1103" i="2"/>
  <c r="H1104" i="2"/>
  <c r="H1105" i="2"/>
  <c r="I1105" i="2" s="1"/>
  <c r="H1106" i="2"/>
  <c r="I1106" i="2" s="1"/>
  <c r="H1107" i="2"/>
  <c r="H1108" i="2"/>
  <c r="H1109" i="2"/>
  <c r="I1109" i="2" s="1"/>
  <c r="H1110" i="2"/>
  <c r="I1110" i="2" s="1"/>
  <c r="H1111" i="2"/>
  <c r="H1112" i="2"/>
  <c r="H1113" i="2"/>
  <c r="I1113" i="2" s="1"/>
  <c r="H1114" i="2"/>
  <c r="I1114" i="2" s="1"/>
  <c r="H1115" i="2"/>
  <c r="H1116" i="2"/>
  <c r="H1117" i="2"/>
  <c r="I1117" i="2" s="1"/>
  <c r="H1118" i="2"/>
  <c r="I1118" i="2" s="1"/>
  <c r="H1119" i="2"/>
  <c r="H1120" i="2"/>
  <c r="H1121" i="2"/>
  <c r="H1122" i="2"/>
  <c r="I1122" i="2" s="1"/>
  <c r="H1123" i="2"/>
  <c r="H1124" i="2"/>
  <c r="H1125" i="2"/>
  <c r="H1126" i="2"/>
  <c r="I1126" i="2" s="1"/>
  <c r="H1127" i="2"/>
  <c r="H1128" i="2"/>
  <c r="H1129" i="2"/>
  <c r="H1130" i="2"/>
  <c r="I1130" i="2" s="1"/>
  <c r="H1131" i="2"/>
  <c r="H1132" i="2"/>
  <c r="H1133" i="2"/>
  <c r="H1134" i="2"/>
  <c r="I1134" i="2" s="1"/>
  <c r="H1135" i="2"/>
  <c r="H1136" i="2"/>
  <c r="H1137" i="2"/>
  <c r="H1138" i="2"/>
  <c r="I1138" i="2" s="1"/>
  <c r="H1139" i="2"/>
  <c r="H1140" i="2"/>
  <c r="H1141" i="2"/>
  <c r="H1142" i="2"/>
  <c r="I1142" i="2" s="1"/>
  <c r="H1143" i="2"/>
  <c r="H1144" i="2"/>
  <c r="H1145" i="2"/>
  <c r="H1146" i="2"/>
  <c r="I1146" i="2" s="1"/>
  <c r="H1147" i="2"/>
  <c r="H1148" i="2"/>
  <c r="H1149" i="2"/>
  <c r="H1150" i="2"/>
  <c r="I1150" i="2" s="1"/>
  <c r="H1151" i="2"/>
  <c r="H1152" i="2"/>
  <c r="H1153" i="2"/>
  <c r="H1154" i="2"/>
  <c r="I1154" i="2" s="1"/>
  <c r="H1155" i="2"/>
  <c r="H1156" i="2"/>
  <c r="H1157" i="2"/>
  <c r="H1158" i="2"/>
  <c r="I1158" i="2" s="1"/>
  <c r="H1159" i="2"/>
  <c r="H1160" i="2"/>
  <c r="H1161" i="2"/>
  <c r="H1162" i="2"/>
  <c r="I1162" i="2" s="1"/>
  <c r="H1163" i="2"/>
  <c r="H1164" i="2"/>
  <c r="H1165" i="2"/>
  <c r="H1166" i="2"/>
  <c r="I1166" i="2" s="1"/>
  <c r="H1167" i="2"/>
  <c r="H1168" i="2"/>
  <c r="H1169" i="2"/>
  <c r="H1170" i="2"/>
  <c r="I1170" i="2" s="1"/>
  <c r="H1171" i="2"/>
  <c r="H1172" i="2"/>
  <c r="H1173" i="2"/>
  <c r="H1174" i="2"/>
  <c r="I1174" i="2" s="1"/>
  <c r="H1175" i="2"/>
  <c r="H1176" i="2"/>
  <c r="H1177" i="2"/>
  <c r="H1178" i="2"/>
  <c r="I1178" i="2" s="1"/>
  <c r="H1179" i="2"/>
  <c r="H1180" i="2"/>
  <c r="H1181" i="2"/>
  <c r="H1182" i="2"/>
  <c r="I1182" i="2" s="1"/>
  <c r="H1183" i="2"/>
  <c r="H1184" i="2"/>
  <c r="H1185" i="2"/>
  <c r="H1186" i="2"/>
  <c r="I1186" i="2" s="1"/>
  <c r="H1187" i="2"/>
  <c r="H1188" i="2"/>
  <c r="H1189" i="2"/>
  <c r="H1190" i="2"/>
  <c r="I1190" i="2" s="1"/>
  <c r="H1191" i="2"/>
  <c r="H1192" i="2"/>
  <c r="H1193" i="2"/>
  <c r="H1194" i="2"/>
  <c r="I1194" i="2" s="1"/>
  <c r="H1195" i="2"/>
  <c r="H1196" i="2"/>
  <c r="H1197" i="2"/>
  <c r="H1198" i="2"/>
  <c r="I1198" i="2" s="1"/>
  <c r="H1199" i="2"/>
  <c r="H1200" i="2"/>
  <c r="H1201" i="2"/>
  <c r="H1202" i="2"/>
  <c r="I1202" i="2" s="1"/>
  <c r="H1203" i="2"/>
  <c r="H1204" i="2"/>
  <c r="H1205" i="2"/>
  <c r="H1206" i="2"/>
  <c r="I1206" i="2" s="1"/>
  <c r="H1207" i="2"/>
  <c r="H1208" i="2"/>
  <c r="H1209" i="2"/>
  <c r="H1210" i="2"/>
  <c r="I1210" i="2" s="1"/>
  <c r="H1211" i="2"/>
  <c r="H1212" i="2"/>
  <c r="H1213" i="2"/>
  <c r="H1214" i="2"/>
  <c r="I1214" i="2" s="1"/>
  <c r="H1215" i="2"/>
  <c r="H1216" i="2"/>
  <c r="H1217" i="2"/>
  <c r="H1218" i="2"/>
  <c r="I1218" i="2" s="1"/>
  <c r="H1219" i="2"/>
  <c r="H1220" i="2"/>
  <c r="H1221" i="2"/>
  <c r="H1222" i="2"/>
  <c r="I1222" i="2" s="1"/>
  <c r="H1223" i="2"/>
  <c r="H1224" i="2"/>
  <c r="H1225" i="2"/>
  <c r="H1226" i="2"/>
  <c r="I1226" i="2" s="1"/>
  <c r="H1227" i="2"/>
  <c r="H1228" i="2"/>
  <c r="H1229" i="2"/>
  <c r="H1230" i="2"/>
  <c r="I1230" i="2" s="1"/>
  <c r="H1231" i="2"/>
  <c r="H1232" i="2"/>
  <c r="H1233" i="2"/>
  <c r="H1234" i="2"/>
  <c r="I1234" i="2" s="1"/>
  <c r="H1235" i="2"/>
  <c r="H1236" i="2"/>
  <c r="H1237" i="2"/>
  <c r="H1238" i="2"/>
  <c r="I1238" i="2" s="1"/>
  <c r="H1239" i="2"/>
  <c r="H1240" i="2"/>
  <c r="H1241" i="2"/>
  <c r="H1242" i="2"/>
  <c r="I1242" i="2" s="1"/>
  <c r="H1243" i="2"/>
  <c r="H1244" i="2"/>
  <c r="H1245" i="2"/>
  <c r="H1246" i="2"/>
  <c r="I1246" i="2" s="1"/>
  <c r="H1247" i="2"/>
  <c r="H1248" i="2"/>
  <c r="H1249" i="2"/>
  <c r="H1250" i="2"/>
  <c r="I1250" i="2" s="1"/>
  <c r="H1251" i="2"/>
  <c r="H1252" i="2"/>
  <c r="H1253" i="2"/>
  <c r="H1254" i="2"/>
  <c r="I1254" i="2" s="1"/>
  <c r="H1255" i="2"/>
  <c r="H1256" i="2"/>
  <c r="H1257" i="2"/>
  <c r="H1258" i="2"/>
  <c r="I1258" i="2" s="1"/>
  <c r="H1259" i="2"/>
  <c r="H1260" i="2"/>
  <c r="H1261" i="2"/>
  <c r="H1262" i="2"/>
  <c r="I1262" i="2" s="1"/>
  <c r="H1263" i="2"/>
  <c r="H1264" i="2"/>
  <c r="H1265" i="2"/>
  <c r="H1266" i="2"/>
  <c r="I1266" i="2" s="1"/>
  <c r="H1267" i="2"/>
  <c r="H1268" i="2"/>
  <c r="H1269" i="2"/>
  <c r="H1270" i="2"/>
  <c r="I1270" i="2" s="1"/>
  <c r="H1271" i="2"/>
  <c r="H1272" i="2"/>
  <c r="H1273" i="2"/>
  <c r="H1274" i="2"/>
  <c r="I1274" i="2" s="1"/>
  <c r="H1275" i="2"/>
  <c r="H1276" i="2"/>
  <c r="H1277" i="2"/>
  <c r="H1278" i="2"/>
  <c r="I1278" i="2" s="1"/>
  <c r="H1279" i="2"/>
  <c r="H1280" i="2"/>
  <c r="H1281" i="2"/>
  <c r="H1282" i="2"/>
  <c r="I1282" i="2" s="1"/>
  <c r="H1283" i="2"/>
  <c r="H1284" i="2"/>
  <c r="H1285" i="2"/>
  <c r="H1286" i="2"/>
  <c r="I1286" i="2" s="1"/>
  <c r="H1287" i="2"/>
  <c r="H1288" i="2"/>
  <c r="H1289" i="2"/>
  <c r="H1290" i="2"/>
  <c r="I1290" i="2" s="1"/>
  <c r="H1291" i="2"/>
  <c r="H1292" i="2"/>
  <c r="H1293" i="2"/>
  <c r="H1294" i="2"/>
  <c r="I1294" i="2" s="1"/>
  <c r="H1295" i="2"/>
  <c r="H1296" i="2"/>
  <c r="H1297" i="2"/>
  <c r="H1298" i="2"/>
  <c r="I1298" i="2" s="1"/>
  <c r="H1299" i="2"/>
  <c r="H1300" i="2"/>
  <c r="H1301" i="2"/>
  <c r="H1302" i="2"/>
  <c r="I1302" i="2" s="1"/>
  <c r="H1303" i="2"/>
  <c r="H1304" i="2"/>
  <c r="H1305" i="2"/>
  <c r="H1306" i="2"/>
  <c r="I1306" i="2" s="1"/>
  <c r="H1307" i="2"/>
  <c r="H1308" i="2"/>
  <c r="H1309" i="2"/>
  <c r="H1310" i="2"/>
  <c r="I1310" i="2" s="1"/>
  <c r="H1311" i="2"/>
  <c r="H1312" i="2"/>
  <c r="H1313" i="2"/>
  <c r="H1314" i="2"/>
  <c r="I1314" i="2" s="1"/>
  <c r="H1315" i="2"/>
  <c r="H1316" i="2"/>
  <c r="H1317" i="2"/>
  <c r="H1318" i="2"/>
  <c r="I1318" i="2" s="1"/>
  <c r="H1319" i="2"/>
  <c r="H1320" i="2"/>
  <c r="H1321" i="2"/>
  <c r="H1322" i="2"/>
  <c r="I1322" i="2" s="1"/>
  <c r="H1323" i="2"/>
  <c r="H1324" i="2"/>
  <c r="H1325" i="2"/>
  <c r="H1326" i="2"/>
  <c r="I1326" i="2" s="1"/>
  <c r="H1327" i="2"/>
  <c r="H1328" i="2"/>
  <c r="H1329" i="2"/>
  <c r="H1330" i="2"/>
  <c r="I1330" i="2" s="1"/>
  <c r="H1331" i="2"/>
  <c r="H1332" i="2"/>
  <c r="H1333" i="2"/>
  <c r="H1334" i="2"/>
  <c r="I1334" i="2" s="1"/>
  <c r="H1335" i="2"/>
  <c r="H1336" i="2"/>
  <c r="H1337" i="2"/>
  <c r="H1338" i="2"/>
  <c r="I1338" i="2" s="1"/>
  <c r="H1339" i="2"/>
  <c r="H1340" i="2"/>
  <c r="H1341" i="2"/>
  <c r="H1342" i="2"/>
  <c r="I1342" i="2" s="1"/>
  <c r="H1343" i="2"/>
  <c r="H1344" i="2"/>
  <c r="H1345" i="2"/>
  <c r="H1346" i="2"/>
  <c r="I1346" i="2" s="1"/>
  <c r="H1347" i="2"/>
  <c r="H1348" i="2"/>
  <c r="H1349" i="2"/>
  <c r="H1350" i="2"/>
  <c r="I1350" i="2" s="1"/>
  <c r="H1351" i="2"/>
  <c r="H1352" i="2"/>
  <c r="H1353" i="2"/>
  <c r="H1354" i="2"/>
  <c r="I1354" i="2" s="1"/>
  <c r="H1355" i="2"/>
  <c r="H1356" i="2"/>
  <c r="H1357" i="2"/>
  <c r="H1358" i="2"/>
  <c r="I1358" i="2" s="1"/>
  <c r="H1359" i="2"/>
  <c r="H1360" i="2"/>
  <c r="H1361" i="2"/>
  <c r="H1362" i="2"/>
  <c r="I1362" i="2" s="1"/>
  <c r="H1363" i="2"/>
  <c r="H1364" i="2"/>
  <c r="H1365" i="2"/>
  <c r="H1366" i="2"/>
  <c r="I1366" i="2" s="1"/>
  <c r="H1367" i="2"/>
  <c r="H1368" i="2"/>
  <c r="H1369" i="2"/>
  <c r="I1369" i="2" s="1"/>
  <c r="H1370" i="2"/>
  <c r="H1371" i="2"/>
  <c r="H1372" i="2"/>
  <c r="H1373" i="2"/>
  <c r="I1373" i="2" s="1"/>
  <c r="H1374" i="2"/>
  <c r="H1375" i="2"/>
  <c r="H1376" i="2"/>
  <c r="H1377" i="2"/>
  <c r="I1377" i="2" s="1"/>
  <c r="H1378" i="2"/>
  <c r="I1378" i="2" s="1"/>
  <c r="H1379" i="2"/>
  <c r="H1380" i="2"/>
  <c r="H1381" i="2"/>
  <c r="I1381" i="2" s="1"/>
  <c r="H1382" i="2"/>
  <c r="H1383" i="2"/>
  <c r="H1384" i="2"/>
  <c r="H1385" i="2"/>
  <c r="I1385" i="2" s="1"/>
  <c r="H1386" i="2"/>
  <c r="H1387" i="2"/>
  <c r="H1388" i="2"/>
  <c r="H1389" i="2"/>
  <c r="I1389" i="2" s="1"/>
  <c r="H1390" i="2"/>
  <c r="H1391" i="2"/>
  <c r="H1392" i="2"/>
  <c r="H1393" i="2"/>
  <c r="I1393" i="2" s="1"/>
  <c r="H1394" i="2"/>
  <c r="H1395" i="2"/>
  <c r="H1396" i="2"/>
  <c r="H1397" i="2"/>
  <c r="I1397" i="2" s="1"/>
  <c r="H1398" i="2"/>
  <c r="H1399" i="2"/>
  <c r="H1400" i="2"/>
  <c r="H1401" i="2"/>
  <c r="I1401" i="2" s="1"/>
  <c r="H1402" i="2"/>
  <c r="H1403" i="2"/>
  <c r="H1404" i="2"/>
  <c r="H1405" i="2"/>
  <c r="I1405" i="2" s="1"/>
  <c r="H1406" i="2"/>
  <c r="H1407" i="2"/>
  <c r="H1408" i="2"/>
  <c r="H1409" i="2"/>
  <c r="I1409" i="2" s="1"/>
  <c r="H1410" i="2"/>
  <c r="H1411" i="2"/>
  <c r="H1412" i="2"/>
  <c r="H1413" i="2"/>
  <c r="I1413" i="2" s="1"/>
  <c r="H1414" i="2"/>
  <c r="H1415" i="2"/>
  <c r="H1416" i="2"/>
  <c r="H1417" i="2"/>
  <c r="I1417" i="2" s="1"/>
  <c r="H1418" i="2"/>
  <c r="H1419" i="2"/>
  <c r="H1420" i="2"/>
  <c r="H1421" i="2"/>
  <c r="I1421" i="2" s="1"/>
  <c r="H1422" i="2"/>
  <c r="H1423" i="2"/>
  <c r="H1424" i="2"/>
  <c r="H1425" i="2"/>
  <c r="I1425" i="2" s="1"/>
  <c r="H1426" i="2"/>
  <c r="H1427" i="2"/>
  <c r="H1428" i="2"/>
  <c r="H1429" i="2"/>
  <c r="I1429" i="2" s="1"/>
  <c r="H1430" i="2"/>
  <c r="H1431" i="2"/>
  <c r="H1432" i="2"/>
  <c r="H1433" i="2"/>
  <c r="I1433" i="2" s="1"/>
  <c r="H1434" i="2"/>
  <c r="H1435" i="2"/>
  <c r="H1436" i="2"/>
  <c r="H1437" i="2"/>
  <c r="I1437" i="2" s="1"/>
  <c r="H1438" i="2"/>
  <c r="H1439" i="2"/>
  <c r="H1440" i="2"/>
  <c r="H1441" i="2"/>
  <c r="I1441" i="2" s="1"/>
  <c r="H1442" i="2"/>
  <c r="H1443" i="2"/>
  <c r="H1444" i="2"/>
  <c r="H1445" i="2"/>
  <c r="I1445" i="2" s="1"/>
  <c r="H1446" i="2"/>
  <c r="I1446" i="2" s="1"/>
  <c r="H1447" i="2"/>
  <c r="H1448" i="2"/>
  <c r="H1449" i="2"/>
  <c r="I1449" i="2" s="1"/>
  <c r="H1450" i="2"/>
  <c r="I1450" i="2" s="1"/>
  <c r="H1451" i="2"/>
  <c r="H1452" i="2"/>
  <c r="H1453" i="2"/>
  <c r="I1453" i="2" s="1"/>
  <c r="H1454" i="2"/>
  <c r="I1454" i="2" s="1"/>
  <c r="H1455" i="2"/>
  <c r="H1456" i="2"/>
  <c r="H1457" i="2"/>
  <c r="I1457" i="2" s="1"/>
  <c r="H1458" i="2"/>
  <c r="I1458" i="2" s="1"/>
  <c r="H1459" i="2"/>
  <c r="H1460" i="2"/>
  <c r="H1461" i="2"/>
  <c r="H1462" i="2"/>
  <c r="I1462" i="2" s="1"/>
  <c r="H1463" i="2"/>
  <c r="H1464" i="2"/>
  <c r="H1465" i="2"/>
  <c r="H1466" i="2"/>
  <c r="I1466" i="2" s="1"/>
  <c r="H1467" i="2"/>
  <c r="H1468" i="2"/>
  <c r="H1469" i="2"/>
  <c r="H1470" i="2"/>
  <c r="I1470" i="2" s="1"/>
  <c r="H1471" i="2"/>
  <c r="H1472" i="2"/>
  <c r="H1473" i="2"/>
  <c r="H1474" i="2"/>
  <c r="I1474" i="2" s="1"/>
  <c r="H1475" i="2"/>
  <c r="H1476" i="2"/>
  <c r="H1477" i="2"/>
  <c r="H1478" i="2"/>
  <c r="I1478" i="2" s="1"/>
  <c r="H1479" i="2"/>
  <c r="H1480" i="2"/>
  <c r="H1481" i="2"/>
  <c r="H1482" i="2"/>
  <c r="I1482" i="2" s="1"/>
  <c r="H1483" i="2"/>
  <c r="H1484" i="2"/>
  <c r="H1485" i="2"/>
  <c r="H1486" i="2"/>
  <c r="I1486" i="2" s="1"/>
  <c r="H1487" i="2"/>
  <c r="H1488" i="2"/>
  <c r="H1489" i="2"/>
  <c r="H1490" i="2"/>
  <c r="I1490" i="2" s="1"/>
  <c r="H1491" i="2"/>
  <c r="H1492" i="2"/>
  <c r="H1493" i="2"/>
  <c r="H1494" i="2"/>
  <c r="I1494" i="2" s="1"/>
  <c r="H1495" i="2"/>
  <c r="H1496" i="2"/>
  <c r="H1497" i="2"/>
  <c r="H1498" i="2"/>
  <c r="I1498" i="2" s="1"/>
  <c r="H1499" i="2"/>
  <c r="H1500" i="2"/>
  <c r="H1501" i="2"/>
  <c r="H2" i="2"/>
  <c r="D2" i="2"/>
  <c r="F2" i="2"/>
  <c r="G2" i="2"/>
  <c r="I2" i="2"/>
  <c r="Z2" i="2"/>
  <c r="AA2" i="2"/>
  <c r="AB2" i="2"/>
  <c r="AC2" i="2"/>
  <c r="AD2" i="2"/>
  <c r="AE2" i="2"/>
  <c r="AF2" i="2"/>
  <c r="D3" i="2"/>
  <c r="F3" i="2"/>
  <c r="G3" i="2"/>
  <c r="I3" i="2"/>
  <c r="Z3" i="2"/>
  <c r="AA3" i="2"/>
  <c r="AB3" i="2"/>
  <c r="AC3" i="2"/>
  <c r="AD3" i="2"/>
  <c r="AE3" i="2"/>
  <c r="AF3" i="2"/>
  <c r="D4" i="2"/>
  <c r="F4" i="2"/>
  <c r="G4" i="2"/>
  <c r="I4" i="2"/>
  <c r="Z4" i="2"/>
  <c r="AA4" i="2"/>
  <c r="AB4" i="2"/>
  <c r="AC4" i="2"/>
  <c r="AD4" i="2"/>
  <c r="AE4" i="2"/>
  <c r="AF4" i="2"/>
  <c r="D5" i="2"/>
  <c r="F5" i="2"/>
  <c r="G5" i="2"/>
  <c r="I5" i="2"/>
  <c r="Z5" i="2"/>
  <c r="AA5" i="2"/>
  <c r="AB5" i="2"/>
  <c r="AC5" i="2"/>
  <c r="AD5" i="2"/>
  <c r="AE5" i="2"/>
  <c r="AF5" i="2"/>
  <c r="D6" i="2"/>
  <c r="F6" i="2"/>
  <c r="G6" i="2"/>
  <c r="I6" i="2"/>
  <c r="Z6" i="2"/>
  <c r="AA6" i="2"/>
  <c r="AB6" i="2"/>
  <c r="AC6" i="2"/>
  <c r="AD6" i="2"/>
  <c r="AE6" i="2"/>
  <c r="AF6" i="2"/>
  <c r="D7" i="2"/>
  <c r="F7" i="2"/>
  <c r="G7" i="2"/>
  <c r="I7" i="2"/>
  <c r="Z7" i="2"/>
  <c r="AA7" i="2"/>
  <c r="AB7" i="2"/>
  <c r="AC7" i="2"/>
  <c r="AD7" i="2"/>
  <c r="AE7" i="2"/>
  <c r="AF7" i="2"/>
  <c r="D8" i="2"/>
  <c r="F8" i="2"/>
  <c r="G8" i="2"/>
  <c r="I8" i="2"/>
  <c r="Z8" i="2"/>
  <c r="AA8" i="2"/>
  <c r="AB8" i="2"/>
  <c r="AC8" i="2"/>
  <c r="AD8" i="2"/>
  <c r="AE8" i="2"/>
  <c r="AF8" i="2"/>
  <c r="D9" i="2"/>
  <c r="F9" i="2"/>
  <c r="G9" i="2"/>
  <c r="I9" i="2"/>
  <c r="Z9" i="2"/>
  <c r="AA9" i="2"/>
  <c r="AB9" i="2"/>
  <c r="AC9" i="2"/>
  <c r="AD9" i="2"/>
  <c r="AE9" i="2"/>
  <c r="AF9" i="2"/>
  <c r="D10" i="2"/>
  <c r="F10" i="2"/>
  <c r="G10" i="2"/>
  <c r="I10" i="2"/>
  <c r="Z10" i="2"/>
  <c r="AA10" i="2"/>
  <c r="AB10" i="2"/>
  <c r="AC10" i="2"/>
  <c r="AD10" i="2"/>
  <c r="AE10" i="2"/>
  <c r="AF10" i="2"/>
  <c r="D11" i="2"/>
  <c r="F11" i="2"/>
  <c r="G11" i="2"/>
  <c r="I11" i="2"/>
  <c r="Z11" i="2"/>
  <c r="AA11" i="2"/>
  <c r="AB11" i="2"/>
  <c r="AC11" i="2"/>
  <c r="AD11" i="2"/>
  <c r="AE11" i="2"/>
  <c r="AF11" i="2"/>
  <c r="D12" i="2"/>
  <c r="F12" i="2"/>
  <c r="G12" i="2"/>
  <c r="I12" i="2"/>
  <c r="Z12" i="2"/>
  <c r="AA12" i="2"/>
  <c r="AB12" i="2"/>
  <c r="AC12" i="2"/>
  <c r="AD12" i="2"/>
  <c r="AE12" i="2"/>
  <c r="AF12" i="2"/>
  <c r="D13" i="2"/>
  <c r="F13" i="2"/>
  <c r="G13" i="2"/>
  <c r="I13" i="2"/>
  <c r="Z13" i="2"/>
  <c r="AA13" i="2"/>
  <c r="AB13" i="2"/>
  <c r="AC13" i="2"/>
  <c r="AD13" i="2"/>
  <c r="AE13" i="2"/>
  <c r="AF13" i="2"/>
  <c r="D14" i="2"/>
  <c r="F14" i="2"/>
  <c r="G14" i="2"/>
  <c r="I14" i="2"/>
  <c r="Z14" i="2"/>
  <c r="AA14" i="2"/>
  <c r="AB14" i="2"/>
  <c r="AC14" i="2"/>
  <c r="AD14" i="2"/>
  <c r="AE14" i="2"/>
  <c r="AF14" i="2"/>
  <c r="D15" i="2"/>
  <c r="F15" i="2"/>
  <c r="G15" i="2"/>
  <c r="I15" i="2"/>
  <c r="Z15" i="2"/>
  <c r="AA15" i="2"/>
  <c r="AB15" i="2"/>
  <c r="AC15" i="2"/>
  <c r="AD15" i="2"/>
  <c r="AE15" i="2"/>
  <c r="AF15" i="2"/>
  <c r="D16" i="2"/>
  <c r="F16" i="2"/>
  <c r="G16" i="2"/>
  <c r="I16" i="2"/>
  <c r="Z16" i="2"/>
  <c r="AA16" i="2"/>
  <c r="AB16" i="2"/>
  <c r="AC16" i="2"/>
  <c r="AD16" i="2"/>
  <c r="AE16" i="2"/>
  <c r="AF16" i="2"/>
  <c r="D17" i="2"/>
  <c r="F17" i="2"/>
  <c r="G17" i="2"/>
  <c r="I17" i="2"/>
  <c r="Z17" i="2"/>
  <c r="AA17" i="2"/>
  <c r="AB17" i="2"/>
  <c r="AC17" i="2"/>
  <c r="AD17" i="2"/>
  <c r="AE17" i="2"/>
  <c r="AF17" i="2"/>
  <c r="D18" i="2"/>
  <c r="F18" i="2"/>
  <c r="G18" i="2"/>
  <c r="I18" i="2"/>
  <c r="Z18" i="2"/>
  <c r="AA18" i="2"/>
  <c r="AB18" i="2"/>
  <c r="AC18" i="2"/>
  <c r="AD18" i="2"/>
  <c r="AE18" i="2"/>
  <c r="AF18" i="2"/>
  <c r="D19" i="2"/>
  <c r="F19" i="2"/>
  <c r="G19" i="2"/>
  <c r="I19" i="2"/>
  <c r="Z19" i="2"/>
  <c r="AA19" i="2"/>
  <c r="AB19" i="2"/>
  <c r="AC19" i="2"/>
  <c r="AD19" i="2"/>
  <c r="AE19" i="2"/>
  <c r="AF19" i="2"/>
  <c r="D20" i="2"/>
  <c r="F20" i="2"/>
  <c r="G20" i="2"/>
  <c r="I20" i="2"/>
  <c r="Z20" i="2"/>
  <c r="AA20" i="2"/>
  <c r="AB20" i="2"/>
  <c r="AC20" i="2"/>
  <c r="AD20" i="2"/>
  <c r="AE20" i="2"/>
  <c r="AF20" i="2"/>
  <c r="D21" i="2"/>
  <c r="F21" i="2"/>
  <c r="G21" i="2"/>
  <c r="I21" i="2"/>
  <c r="Z21" i="2"/>
  <c r="AA21" i="2"/>
  <c r="AB21" i="2"/>
  <c r="AC21" i="2"/>
  <c r="AD21" i="2"/>
  <c r="AE21" i="2"/>
  <c r="AF21" i="2"/>
  <c r="D22" i="2"/>
  <c r="F22" i="2"/>
  <c r="G22" i="2"/>
  <c r="I22" i="2"/>
  <c r="Z22" i="2"/>
  <c r="AA22" i="2"/>
  <c r="AB22" i="2"/>
  <c r="AC22" i="2"/>
  <c r="AD22" i="2"/>
  <c r="AE22" i="2"/>
  <c r="AF22" i="2"/>
  <c r="D23" i="2"/>
  <c r="F23" i="2"/>
  <c r="G23" i="2"/>
  <c r="I23" i="2"/>
  <c r="Z23" i="2"/>
  <c r="AA23" i="2"/>
  <c r="AB23" i="2"/>
  <c r="AC23" i="2"/>
  <c r="AD23" i="2"/>
  <c r="AE23" i="2"/>
  <c r="AF23" i="2"/>
  <c r="D24" i="2"/>
  <c r="F24" i="2"/>
  <c r="G24" i="2"/>
  <c r="I24" i="2"/>
  <c r="Z24" i="2"/>
  <c r="AA24" i="2"/>
  <c r="AB24" i="2"/>
  <c r="AC24" i="2"/>
  <c r="AD24" i="2"/>
  <c r="AE24" i="2"/>
  <c r="AF24" i="2"/>
  <c r="D25" i="2"/>
  <c r="F25" i="2"/>
  <c r="G25" i="2"/>
  <c r="I25" i="2"/>
  <c r="Z25" i="2"/>
  <c r="AA25" i="2"/>
  <c r="AB25" i="2"/>
  <c r="AC25" i="2"/>
  <c r="AD25" i="2"/>
  <c r="AE25" i="2"/>
  <c r="AF25" i="2"/>
  <c r="C26" i="2"/>
  <c r="D26" i="2" s="1"/>
  <c r="F26" i="2"/>
  <c r="G26" i="2"/>
  <c r="Z26" i="2"/>
  <c r="AA26" i="2"/>
  <c r="AB26" i="2"/>
  <c r="AC26" i="2"/>
  <c r="AD26" i="2"/>
  <c r="AE26" i="2"/>
  <c r="AF26" i="2"/>
  <c r="D27" i="2"/>
  <c r="F27" i="2"/>
  <c r="G27" i="2"/>
  <c r="I27" i="2"/>
  <c r="Z27" i="2"/>
  <c r="AA27" i="2"/>
  <c r="AB27" i="2"/>
  <c r="AC27" i="2"/>
  <c r="AD27" i="2"/>
  <c r="AE27" i="2"/>
  <c r="AF27" i="2"/>
  <c r="D28" i="2"/>
  <c r="F28" i="2"/>
  <c r="G28" i="2"/>
  <c r="I28" i="2"/>
  <c r="Z28" i="2"/>
  <c r="AA28" i="2"/>
  <c r="AB28" i="2"/>
  <c r="AC28" i="2"/>
  <c r="AD28" i="2"/>
  <c r="AE28" i="2"/>
  <c r="AF28" i="2"/>
  <c r="D29" i="2"/>
  <c r="F29" i="2"/>
  <c r="G29" i="2"/>
  <c r="I29" i="2"/>
  <c r="Z29" i="2"/>
  <c r="AA29" i="2"/>
  <c r="AB29" i="2"/>
  <c r="AC29" i="2"/>
  <c r="AD29" i="2"/>
  <c r="AE29" i="2"/>
  <c r="AF29" i="2"/>
  <c r="D30" i="2"/>
  <c r="F30" i="2"/>
  <c r="G30" i="2"/>
  <c r="Z30" i="2"/>
  <c r="AA30" i="2"/>
  <c r="AB30" i="2"/>
  <c r="AC30" i="2"/>
  <c r="AD30" i="2"/>
  <c r="AE30" i="2"/>
  <c r="AF30" i="2"/>
  <c r="D31" i="2"/>
  <c r="F31" i="2"/>
  <c r="G31" i="2"/>
  <c r="I31" i="2"/>
  <c r="Z31" i="2"/>
  <c r="AA31" i="2"/>
  <c r="AB31" i="2"/>
  <c r="AC31" i="2"/>
  <c r="AD31" i="2"/>
  <c r="AE31" i="2"/>
  <c r="AF31" i="2"/>
  <c r="D32" i="2"/>
  <c r="F32" i="2"/>
  <c r="G32" i="2"/>
  <c r="I32" i="2"/>
  <c r="Z32" i="2"/>
  <c r="AA32" i="2"/>
  <c r="AB32" i="2"/>
  <c r="AC32" i="2"/>
  <c r="AD32" i="2"/>
  <c r="AE32" i="2"/>
  <c r="AF32" i="2"/>
  <c r="D33" i="2"/>
  <c r="F33" i="2"/>
  <c r="G33" i="2"/>
  <c r="I33" i="2"/>
  <c r="Z33" i="2"/>
  <c r="AA33" i="2"/>
  <c r="AB33" i="2"/>
  <c r="AC33" i="2"/>
  <c r="AD33" i="2"/>
  <c r="AE33" i="2"/>
  <c r="AF33" i="2"/>
  <c r="D34" i="2"/>
  <c r="F34" i="2"/>
  <c r="G34" i="2"/>
  <c r="Z34" i="2"/>
  <c r="AA34" i="2"/>
  <c r="AB34" i="2"/>
  <c r="AC34" i="2"/>
  <c r="AD34" i="2"/>
  <c r="AE34" i="2"/>
  <c r="AF34" i="2"/>
  <c r="D35" i="2"/>
  <c r="F35" i="2"/>
  <c r="G35" i="2"/>
  <c r="I35" i="2"/>
  <c r="Z35" i="2"/>
  <c r="AA35" i="2"/>
  <c r="AB35" i="2"/>
  <c r="AC35" i="2"/>
  <c r="AD35" i="2"/>
  <c r="AE35" i="2"/>
  <c r="AF35" i="2"/>
  <c r="D36" i="2"/>
  <c r="F36" i="2"/>
  <c r="G36" i="2"/>
  <c r="I36" i="2"/>
  <c r="Z36" i="2"/>
  <c r="AA36" i="2"/>
  <c r="AB36" i="2"/>
  <c r="AC36" i="2"/>
  <c r="AD36" i="2"/>
  <c r="AE36" i="2"/>
  <c r="AF36" i="2"/>
  <c r="D37" i="2"/>
  <c r="F37" i="2"/>
  <c r="G37" i="2"/>
  <c r="I37" i="2"/>
  <c r="Z37" i="2"/>
  <c r="AA37" i="2"/>
  <c r="AB37" i="2"/>
  <c r="AC37" i="2"/>
  <c r="AD37" i="2"/>
  <c r="AE37" i="2"/>
  <c r="AF37" i="2"/>
  <c r="D38" i="2"/>
  <c r="F38" i="2"/>
  <c r="G38" i="2"/>
  <c r="Z38" i="2"/>
  <c r="AA38" i="2"/>
  <c r="AB38" i="2"/>
  <c r="AC38" i="2"/>
  <c r="AD38" i="2"/>
  <c r="AE38" i="2"/>
  <c r="AF38" i="2"/>
  <c r="D39" i="2"/>
  <c r="F39" i="2"/>
  <c r="G39" i="2"/>
  <c r="I39" i="2"/>
  <c r="Z39" i="2"/>
  <c r="AA39" i="2"/>
  <c r="AB39" i="2"/>
  <c r="AC39" i="2"/>
  <c r="AD39" i="2"/>
  <c r="AE39" i="2"/>
  <c r="AF39" i="2"/>
  <c r="D40" i="2"/>
  <c r="F40" i="2"/>
  <c r="G40" i="2"/>
  <c r="I40" i="2"/>
  <c r="Z40" i="2"/>
  <c r="AA40" i="2"/>
  <c r="AB40" i="2"/>
  <c r="AC40" i="2"/>
  <c r="AD40" i="2"/>
  <c r="AE40" i="2"/>
  <c r="AF40" i="2"/>
  <c r="D41" i="2"/>
  <c r="F41" i="2"/>
  <c r="G41" i="2"/>
  <c r="I41" i="2"/>
  <c r="Z41" i="2"/>
  <c r="AA41" i="2"/>
  <c r="AB41" i="2"/>
  <c r="AC41" i="2"/>
  <c r="AD41" i="2"/>
  <c r="AE41" i="2"/>
  <c r="AF41" i="2"/>
  <c r="D42" i="2"/>
  <c r="F42" i="2"/>
  <c r="G42" i="2"/>
  <c r="Z42" i="2"/>
  <c r="AA42" i="2"/>
  <c r="AB42" i="2"/>
  <c r="AC42" i="2"/>
  <c r="AD42" i="2"/>
  <c r="AE42" i="2"/>
  <c r="AF42" i="2"/>
  <c r="D43" i="2"/>
  <c r="F43" i="2"/>
  <c r="G43" i="2"/>
  <c r="I43" i="2"/>
  <c r="Z43" i="2"/>
  <c r="AA43" i="2"/>
  <c r="AB43" i="2"/>
  <c r="AC43" i="2"/>
  <c r="AD43" i="2"/>
  <c r="AE43" i="2"/>
  <c r="AF43" i="2"/>
  <c r="D44" i="2"/>
  <c r="F44" i="2"/>
  <c r="G44" i="2"/>
  <c r="I44" i="2"/>
  <c r="Z44" i="2"/>
  <c r="AA44" i="2"/>
  <c r="AB44" i="2"/>
  <c r="AC44" i="2"/>
  <c r="AD44" i="2"/>
  <c r="AE44" i="2"/>
  <c r="AF44" i="2"/>
  <c r="D45" i="2"/>
  <c r="F45" i="2"/>
  <c r="G45" i="2"/>
  <c r="I45" i="2"/>
  <c r="Z45" i="2"/>
  <c r="AA45" i="2"/>
  <c r="AB45" i="2"/>
  <c r="AC45" i="2"/>
  <c r="AD45" i="2"/>
  <c r="AE45" i="2"/>
  <c r="AF45" i="2"/>
  <c r="D46" i="2"/>
  <c r="F46" i="2"/>
  <c r="G46" i="2"/>
  <c r="Z46" i="2"/>
  <c r="AA46" i="2"/>
  <c r="AB46" i="2"/>
  <c r="AC46" i="2"/>
  <c r="AD46" i="2"/>
  <c r="AE46" i="2"/>
  <c r="AF46" i="2"/>
  <c r="D47" i="2"/>
  <c r="F47" i="2"/>
  <c r="G47" i="2"/>
  <c r="I47" i="2"/>
  <c r="Z47" i="2"/>
  <c r="AA47" i="2"/>
  <c r="AB47" i="2"/>
  <c r="AC47" i="2"/>
  <c r="AD47" i="2"/>
  <c r="AE47" i="2"/>
  <c r="AF47" i="2"/>
  <c r="D48" i="2"/>
  <c r="F48" i="2"/>
  <c r="G48" i="2"/>
  <c r="I48" i="2"/>
  <c r="Z48" i="2"/>
  <c r="AA48" i="2"/>
  <c r="AB48" i="2"/>
  <c r="AC48" i="2"/>
  <c r="AD48" i="2"/>
  <c r="AE48" i="2"/>
  <c r="AF48" i="2"/>
  <c r="D49" i="2"/>
  <c r="F49" i="2"/>
  <c r="G49" i="2"/>
  <c r="I49" i="2"/>
  <c r="Z49" i="2"/>
  <c r="AA49" i="2"/>
  <c r="AB49" i="2"/>
  <c r="AC49" i="2"/>
  <c r="AD49" i="2"/>
  <c r="AE49" i="2"/>
  <c r="AF49" i="2"/>
  <c r="D50" i="2"/>
  <c r="F50" i="2"/>
  <c r="G50" i="2"/>
  <c r="Z50" i="2"/>
  <c r="AA50" i="2"/>
  <c r="AB50" i="2"/>
  <c r="AC50" i="2"/>
  <c r="AD50" i="2"/>
  <c r="AE50" i="2"/>
  <c r="AF50" i="2"/>
  <c r="D51" i="2"/>
  <c r="F51" i="2"/>
  <c r="G51" i="2"/>
  <c r="I51" i="2"/>
  <c r="Z51" i="2"/>
  <c r="AA51" i="2"/>
  <c r="AB51" i="2"/>
  <c r="AC51" i="2"/>
  <c r="AD51" i="2"/>
  <c r="AE51" i="2"/>
  <c r="AF51" i="2"/>
  <c r="D52" i="2"/>
  <c r="F52" i="2"/>
  <c r="G52" i="2"/>
  <c r="I52" i="2"/>
  <c r="Z52" i="2"/>
  <c r="AA52" i="2"/>
  <c r="AB52" i="2"/>
  <c r="AC52" i="2"/>
  <c r="AD52" i="2"/>
  <c r="AE52" i="2"/>
  <c r="AF52" i="2"/>
  <c r="D53" i="2"/>
  <c r="F53" i="2"/>
  <c r="G53" i="2"/>
  <c r="I53" i="2"/>
  <c r="Z53" i="2"/>
  <c r="AA53" i="2"/>
  <c r="AB53" i="2"/>
  <c r="AC53" i="2"/>
  <c r="AD53" i="2"/>
  <c r="AE53" i="2"/>
  <c r="AF53" i="2"/>
  <c r="D54" i="2"/>
  <c r="F54" i="2"/>
  <c r="G54" i="2"/>
  <c r="Z54" i="2"/>
  <c r="AA54" i="2"/>
  <c r="AB54" i="2"/>
  <c r="AC54" i="2"/>
  <c r="AD54" i="2"/>
  <c r="AE54" i="2"/>
  <c r="AF54" i="2"/>
  <c r="D55" i="2"/>
  <c r="F55" i="2"/>
  <c r="G55" i="2"/>
  <c r="I55" i="2"/>
  <c r="Z55" i="2"/>
  <c r="AA55" i="2"/>
  <c r="AB55" i="2"/>
  <c r="AC55" i="2"/>
  <c r="AD55" i="2"/>
  <c r="AE55" i="2"/>
  <c r="AF55" i="2"/>
  <c r="D56" i="2"/>
  <c r="F56" i="2"/>
  <c r="G56" i="2"/>
  <c r="I56" i="2"/>
  <c r="Z56" i="2"/>
  <c r="AA56" i="2"/>
  <c r="AB56" i="2"/>
  <c r="AC56" i="2"/>
  <c r="AD56" i="2"/>
  <c r="AE56" i="2"/>
  <c r="AF56" i="2"/>
  <c r="D57" i="2"/>
  <c r="F57" i="2"/>
  <c r="G57" i="2"/>
  <c r="I57" i="2"/>
  <c r="Z57" i="2"/>
  <c r="AA57" i="2"/>
  <c r="AB57" i="2"/>
  <c r="AC57" i="2"/>
  <c r="AD57" i="2"/>
  <c r="AE57" i="2"/>
  <c r="AF57" i="2"/>
  <c r="D58" i="2"/>
  <c r="F58" i="2"/>
  <c r="G58" i="2"/>
  <c r="Z58" i="2"/>
  <c r="AA58" i="2"/>
  <c r="AB58" i="2"/>
  <c r="AC58" i="2"/>
  <c r="AD58" i="2"/>
  <c r="AE58" i="2"/>
  <c r="AF58" i="2"/>
  <c r="C59" i="2"/>
  <c r="D59" i="2" s="1"/>
  <c r="F59" i="2"/>
  <c r="G59" i="2"/>
  <c r="I59" i="2"/>
  <c r="Z59" i="2"/>
  <c r="AA59" i="2"/>
  <c r="AB59" i="2"/>
  <c r="AC59" i="2"/>
  <c r="AD59" i="2"/>
  <c r="AE59" i="2"/>
  <c r="AF59" i="2"/>
  <c r="D60" i="2"/>
  <c r="F60" i="2"/>
  <c r="G60" i="2"/>
  <c r="I60" i="2"/>
  <c r="Z60" i="2"/>
  <c r="AA60" i="2"/>
  <c r="AB60" i="2"/>
  <c r="AC60" i="2"/>
  <c r="AD60" i="2"/>
  <c r="AE60" i="2"/>
  <c r="AF60" i="2"/>
  <c r="D61" i="2"/>
  <c r="F61" i="2"/>
  <c r="G61" i="2"/>
  <c r="I61" i="2"/>
  <c r="Z61" i="2"/>
  <c r="AA61" i="2"/>
  <c r="AB61" i="2"/>
  <c r="AC61" i="2"/>
  <c r="AD61" i="2"/>
  <c r="AE61" i="2"/>
  <c r="AF61" i="2"/>
  <c r="D62" i="2"/>
  <c r="F62" i="2"/>
  <c r="G62" i="2"/>
  <c r="Z62" i="2"/>
  <c r="AA62" i="2"/>
  <c r="AB62" i="2"/>
  <c r="AC62" i="2"/>
  <c r="AD62" i="2"/>
  <c r="AE62" i="2"/>
  <c r="AF62" i="2"/>
  <c r="D63" i="2"/>
  <c r="F63" i="2"/>
  <c r="G63" i="2"/>
  <c r="I63" i="2"/>
  <c r="Z63" i="2"/>
  <c r="AA63" i="2"/>
  <c r="AB63" i="2"/>
  <c r="AC63" i="2"/>
  <c r="AD63" i="2"/>
  <c r="AE63" i="2"/>
  <c r="AF63" i="2"/>
  <c r="D64" i="2"/>
  <c r="F64" i="2"/>
  <c r="G64" i="2"/>
  <c r="I64" i="2"/>
  <c r="Z64" i="2"/>
  <c r="AA64" i="2"/>
  <c r="AB64" i="2"/>
  <c r="AC64" i="2"/>
  <c r="AD64" i="2"/>
  <c r="AE64" i="2"/>
  <c r="AF64" i="2"/>
  <c r="D65" i="2"/>
  <c r="F65" i="2"/>
  <c r="G65" i="2"/>
  <c r="I65" i="2"/>
  <c r="Z65" i="2"/>
  <c r="AA65" i="2"/>
  <c r="AB65" i="2"/>
  <c r="AC65" i="2"/>
  <c r="AD65" i="2"/>
  <c r="AE65" i="2"/>
  <c r="AF65" i="2"/>
  <c r="D66" i="2"/>
  <c r="F66" i="2"/>
  <c r="G66" i="2"/>
  <c r="Z66" i="2"/>
  <c r="AA66" i="2"/>
  <c r="AB66" i="2"/>
  <c r="AC66" i="2"/>
  <c r="AD66" i="2"/>
  <c r="AE66" i="2"/>
  <c r="AF66" i="2"/>
  <c r="D67" i="2"/>
  <c r="F67" i="2"/>
  <c r="G67" i="2"/>
  <c r="I67" i="2"/>
  <c r="Z67" i="2"/>
  <c r="AA67" i="2"/>
  <c r="AB67" i="2"/>
  <c r="AC67" i="2"/>
  <c r="AD67" i="2"/>
  <c r="AE67" i="2"/>
  <c r="AF67" i="2"/>
  <c r="D68" i="2"/>
  <c r="F68" i="2"/>
  <c r="G68" i="2"/>
  <c r="I68" i="2"/>
  <c r="Z68" i="2"/>
  <c r="AA68" i="2"/>
  <c r="AB68" i="2"/>
  <c r="AC68" i="2"/>
  <c r="AD68" i="2"/>
  <c r="AE68" i="2"/>
  <c r="AF68" i="2"/>
  <c r="D69" i="2"/>
  <c r="F69" i="2"/>
  <c r="G69" i="2"/>
  <c r="I69" i="2"/>
  <c r="Z69" i="2"/>
  <c r="AA69" i="2"/>
  <c r="AB69" i="2"/>
  <c r="AC69" i="2"/>
  <c r="AD69" i="2"/>
  <c r="AE69" i="2"/>
  <c r="AF69" i="2"/>
  <c r="D70" i="2"/>
  <c r="F70" i="2"/>
  <c r="G70" i="2"/>
  <c r="Z70" i="2"/>
  <c r="AA70" i="2"/>
  <c r="AB70" i="2"/>
  <c r="AC70" i="2"/>
  <c r="AD70" i="2"/>
  <c r="AE70" i="2"/>
  <c r="AF70" i="2"/>
  <c r="D71" i="2"/>
  <c r="F71" i="2"/>
  <c r="G71" i="2"/>
  <c r="I71" i="2"/>
  <c r="Z71" i="2"/>
  <c r="AA71" i="2"/>
  <c r="AB71" i="2"/>
  <c r="AC71" i="2"/>
  <c r="AD71" i="2"/>
  <c r="AE71" i="2"/>
  <c r="AF71" i="2"/>
  <c r="D72" i="2"/>
  <c r="F72" i="2"/>
  <c r="G72" i="2"/>
  <c r="I72" i="2"/>
  <c r="Z72" i="2"/>
  <c r="AA72" i="2"/>
  <c r="AB72" i="2"/>
  <c r="AC72" i="2"/>
  <c r="AD72" i="2"/>
  <c r="AE72" i="2"/>
  <c r="AF72" i="2"/>
  <c r="D73" i="2"/>
  <c r="F73" i="2"/>
  <c r="G73" i="2"/>
  <c r="I73" i="2"/>
  <c r="Z73" i="2"/>
  <c r="AA73" i="2"/>
  <c r="AB73" i="2"/>
  <c r="AC73" i="2"/>
  <c r="AD73" i="2"/>
  <c r="AE73" i="2"/>
  <c r="AF73" i="2"/>
  <c r="D74" i="2"/>
  <c r="F74" i="2"/>
  <c r="G74" i="2"/>
  <c r="Z74" i="2"/>
  <c r="AA74" i="2"/>
  <c r="AB74" i="2"/>
  <c r="AC74" i="2"/>
  <c r="AD74" i="2"/>
  <c r="AE74" i="2"/>
  <c r="AF74" i="2"/>
  <c r="D75" i="2"/>
  <c r="F75" i="2"/>
  <c r="G75" i="2"/>
  <c r="I75" i="2"/>
  <c r="Z75" i="2"/>
  <c r="AA75" i="2"/>
  <c r="AB75" i="2"/>
  <c r="AC75" i="2"/>
  <c r="AD75" i="2"/>
  <c r="AE75" i="2"/>
  <c r="AF75" i="2"/>
  <c r="D76" i="2"/>
  <c r="F76" i="2"/>
  <c r="G76" i="2"/>
  <c r="I76" i="2"/>
  <c r="Z76" i="2"/>
  <c r="AA76" i="2"/>
  <c r="AB76" i="2"/>
  <c r="AC76" i="2"/>
  <c r="AD76" i="2"/>
  <c r="AE76" i="2"/>
  <c r="AF76" i="2"/>
  <c r="D77" i="2"/>
  <c r="F77" i="2"/>
  <c r="G77" i="2"/>
  <c r="I77" i="2"/>
  <c r="Z77" i="2"/>
  <c r="AA77" i="2"/>
  <c r="AB77" i="2"/>
  <c r="AC77" i="2"/>
  <c r="AD77" i="2"/>
  <c r="AE77" i="2"/>
  <c r="AF77" i="2"/>
  <c r="D78" i="2"/>
  <c r="F78" i="2"/>
  <c r="G78" i="2"/>
  <c r="Z78" i="2"/>
  <c r="AA78" i="2"/>
  <c r="AB78" i="2"/>
  <c r="AC78" i="2"/>
  <c r="AD78" i="2"/>
  <c r="AE78" i="2"/>
  <c r="AF78" i="2"/>
  <c r="D79" i="2"/>
  <c r="F79" i="2"/>
  <c r="G79" i="2"/>
  <c r="I79" i="2"/>
  <c r="Z79" i="2"/>
  <c r="AA79" i="2"/>
  <c r="AB79" i="2"/>
  <c r="AC79" i="2"/>
  <c r="AD79" i="2"/>
  <c r="AE79" i="2"/>
  <c r="AF79" i="2"/>
  <c r="D80" i="2"/>
  <c r="F80" i="2"/>
  <c r="G80" i="2"/>
  <c r="I80" i="2"/>
  <c r="Z80" i="2"/>
  <c r="AA80" i="2"/>
  <c r="AB80" i="2"/>
  <c r="AC80" i="2"/>
  <c r="AD80" i="2"/>
  <c r="AE80" i="2"/>
  <c r="AF80" i="2"/>
  <c r="D81" i="2"/>
  <c r="F81" i="2"/>
  <c r="G81" i="2"/>
  <c r="I81" i="2"/>
  <c r="Z81" i="2"/>
  <c r="AA81" i="2"/>
  <c r="AB81" i="2"/>
  <c r="AC81" i="2"/>
  <c r="AD81" i="2"/>
  <c r="AE81" i="2"/>
  <c r="AF81" i="2"/>
  <c r="D82" i="2"/>
  <c r="F82" i="2"/>
  <c r="G82" i="2"/>
  <c r="Z82" i="2"/>
  <c r="AA82" i="2"/>
  <c r="AB82" i="2"/>
  <c r="AC82" i="2"/>
  <c r="AD82" i="2"/>
  <c r="AE82" i="2"/>
  <c r="AF82" i="2"/>
  <c r="D83" i="2"/>
  <c r="F83" i="2"/>
  <c r="G83" i="2"/>
  <c r="I83" i="2"/>
  <c r="Z83" i="2"/>
  <c r="AA83" i="2"/>
  <c r="AB83" i="2"/>
  <c r="AC83" i="2"/>
  <c r="AD83" i="2"/>
  <c r="AE83" i="2"/>
  <c r="AF83" i="2"/>
  <c r="D84" i="2"/>
  <c r="F84" i="2"/>
  <c r="G84" i="2"/>
  <c r="I84" i="2"/>
  <c r="Z84" i="2"/>
  <c r="AA84" i="2"/>
  <c r="AB84" i="2"/>
  <c r="AC84" i="2"/>
  <c r="AD84" i="2"/>
  <c r="AE84" i="2"/>
  <c r="AF84" i="2"/>
  <c r="D85" i="2"/>
  <c r="F85" i="2"/>
  <c r="G85" i="2"/>
  <c r="I85" i="2"/>
  <c r="Z85" i="2"/>
  <c r="AA85" i="2"/>
  <c r="AB85" i="2"/>
  <c r="AC85" i="2"/>
  <c r="AD85" i="2"/>
  <c r="AE85" i="2"/>
  <c r="AF85" i="2"/>
  <c r="D86" i="2"/>
  <c r="F86" i="2"/>
  <c r="G86" i="2"/>
  <c r="Z86" i="2"/>
  <c r="AA86" i="2"/>
  <c r="AB86" i="2"/>
  <c r="AC86" i="2"/>
  <c r="AD86" i="2"/>
  <c r="AE86" i="2"/>
  <c r="AF86" i="2"/>
  <c r="D87" i="2"/>
  <c r="F87" i="2"/>
  <c r="G87" i="2"/>
  <c r="I87" i="2"/>
  <c r="Z87" i="2"/>
  <c r="AA87" i="2"/>
  <c r="AB87" i="2"/>
  <c r="AC87" i="2"/>
  <c r="AD87" i="2"/>
  <c r="AE87" i="2"/>
  <c r="AF87" i="2"/>
  <c r="D88" i="2"/>
  <c r="F88" i="2"/>
  <c r="G88" i="2"/>
  <c r="I88" i="2"/>
  <c r="Z88" i="2"/>
  <c r="AA88" i="2"/>
  <c r="AB88" i="2"/>
  <c r="AC88" i="2"/>
  <c r="AD88" i="2"/>
  <c r="AE88" i="2"/>
  <c r="AF88" i="2"/>
  <c r="D89" i="2"/>
  <c r="F89" i="2"/>
  <c r="G89" i="2"/>
  <c r="I89" i="2"/>
  <c r="Z89" i="2"/>
  <c r="AA89" i="2"/>
  <c r="AB89" i="2"/>
  <c r="AC89" i="2"/>
  <c r="AD89" i="2"/>
  <c r="AE89" i="2"/>
  <c r="AF89" i="2"/>
  <c r="D90" i="2"/>
  <c r="F90" i="2"/>
  <c r="G90" i="2"/>
  <c r="Z90" i="2"/>
  <c r="AA90" i="2"/>
  <c r="AB90" i="2"/>
  <c r="AC90" i="2"/>
  <c r="AD90" i="2"/>
  <c r="AE90" i="2"/>
  <c r="AF90" i="2"/>
  <c r="D91" i="2"/>
  <c r="F91" i="2"/>
  <c r="G91" i="2"/>
  <c r="I91" i="2"/>
  <c r="Z91" i="2"/>
  <c r="AA91" i="2"/>
  <c r="AB91" i="2"/>
  <c r="AC91" i="2"/>
  <c r="AD91" i="2"/>
  <c r="AE91" i="2"/>
  <c r="AF91" i="2"/>
  <c r="D92" i="2"/>
  <c r="F92" i="2"/>
  <c r="G92" i="2"/>
  <c r="I92" i="2"/>
  <c r="Z92" i="2"/>
  <c r="AA92" i="2"/>
  <c r="AB92" i="2"/>
  <c r="AC92" i="2"/>
  <c r="AD92" i="2"/>
  <c r="AE92" i="2"/>
  <c r="AF92" i="2"/>
  <c r="D93" i="2"/>
  <c r="F93" i="2"/>
  <c r="G93" i="2"/>
  <c r="I93" i="2"/>
  <c r="Z93" i="2"/>
  <c r="AA93" i="2"/>
  <c r="AB93" i="2"/>
  <c r="AC93" i="2"/>
  <c r="AD93" i="2"/>
  <c r="AE93" i="2"/>
  <c r="AF93" i="2"/>
  <c r="D94" i="2"/>
  <c r="F94" i="2"/>
  <c r="G94" i="2"/>
  <c r="Z94" i="2"/>
  <c r="AA94" i="2"/>
  <c r="AB94" i="2"/>
  <c r="AC94" i="2"/>
  <c r="AD94" i="2"/>
  <c r="AE94" i="2"/>
  <c r="AF94" i="2"/>
  <c r="D95" i="2"/>
  <c r="F95" i="2"/>
  <c r="G95" i="2"/>
  <c r="I95" i="2"/>
  <c r="Z95" i="2"/>
  <c r="AA95" i="2"/>
  <c r="AB95" i="2"/>
  <c r="AC95" i="2"/>
  <c r="AD95" i="2"/>
  <c r="AE95" i="2"/>
  <c r="AF95" i="2"/>
  <c r="D96" i="2"/>
  <c r="F96" i="2"/>
  <c r="G96" i="2"/>
  <c r="I96" i="2"/>
  <c r="Z96" i="2"/>
  <c r="AA96" i="2"/>
  <c r="AB96" i="2"/>
  <c r="AC96" i="2"/>
  <c r="AD96" i="2"/>
  <c r="AE96" i="2"/>
  <c r="AF96" i="2"/>
  <c r="D97" i="2"/>
  <c r="F97" i="2"/>
  <c r="G97" i="2"/>
  <c r="I97" i="2"/>
  <c r="Z97" i="2"/>
  <c r="AA97" i="2"/>
  <c r="AB97" i="2"/>
  <c r="AC97" i="2"/>
  <c r="AD97" i="2"/>
  <c r="AE97" i="2"/>
  <c r="AF97" i="2"/>
  <c r="D98" i="2"/>
  <c r="F98" i="2"/>
  <c r="G98" i="2"/>
  <c r="Z98" i="2"/>
  <c r="AA98" i="2"/>
  <c r="AB98" i="2"/>
  <c r="AC98" i="2"/>
  <c r="AD98" i="2"/>
  <c r="AE98" i="2"/>
  <c r="AF98" i="2"/>
  <c r="D99" i="2"/>
  <c r="F99" i="2"/>
  <c r="G99" i="2"/>
  <c r="I99" i="2"/>
  <c r="Z99" i="2"/>
  <c r="AA99" i="2"/>
  <c r="AB99" i="2"/>
  <c r="AC99" i="2"/>
  <c r="AD99" i="2"/>
  <c r="AE99" i="2"/>
  <c r="AF99" i="2"/>
  <c r="D100" i="2"/>
  <c r="F100" i="2"/>
  <c r="G100" i="2"/>
  <c r="I100" i="2"/>
  <c r="Z100" i="2"/>
  <c r="AA100" i="2"/>
  <c r="AB100" i="2"/>
  <c r="AC100" i="2"/>
  <c r="AD100" i="2"/>
  <c r="AE100" i="2"/>
  <c r="AF100" i="2"/>
  <c r="D101" i="2"/>
  <c r="F101" i="2"/>
  <c r="G101" i="2"/>
  <c r="I101" i="2"/>
  <c r="Z101" i="2"/>
  <c r="AA101" i="2"/>
  <c r="AB101" i="2"/>
  <c r="AC101" i="2"/>
  <c r="AD101" i="2"/>
  <c r="AE101" i="2"/>
  <c r="AF101" i="2"/>
  <c r="D102" i="2"/>
  <c r="F102" i="2"/>
  <c r="G102" i="2"/>
  <c r="Z102" i="2"/>
  <c r="AA102" i="2"/>
  <c r="AB102" i="2"/>
  <c r="AC102" i="2"/>
  <c r="AD102" i="2"/>
  <c r="AE102" i="2"/>
  <c r="AF102" i="2"/>
  <c r="D103" i="2"/>
  <c r="F103" i="2"/>
  <c r="G103" i="2"/>
  <c r="I103" i="2"/>
  <c r="Z103" i="2"/>
  <c r="AA103" i="2"/>
  <c r="AB103" i="2"/>
  <c r="AC103" i="2"/>
  <c r="AD103" i="2"/>
  <c r="AE103" i="2"/>
  <c r="AF103" i="2"/>
  <c r="D104" i="2"/>
  <c r="F104" i="2"/>
  <c r="G104" i="2"/>
  <c r="I104" i="2"/>
  <c r="Z104" i="2"/>
  <c r="AA104" i="2"/>
  <c r="AB104" i="2"/>
  <c r="AC104" i="2"/>
  <c r="AD104" i="2"/>
  <c r="AE104" i="2"/>
  <c r="AF104" i="2"/>
  <c r="D105" i="2"/>
  <c r="F105" i="2"/>
  <c r="G105" i="2"/>
  <c r="I105" i="2"/>
  <c r="Z105" i="2"/>
  <c r="AA105" i="2"/>
  <c r="AB105" i="2"/>
  <c r="AC105" i="2"/>
  <c r="AD105" i="2"/>
  <c r="AE105" i="2"/>
  <c r="AF105" i="2"/>
  <c r="D106" i="2"/>
  <c r="F106" i="2"/>
  <c r="G106" i="2"/>
  <c r="Z106" i="2"/>
  <c r="AA106" i="2"/>
  <c r="AB106" i="2"/>
  <c r="AC106" i="2"/>
  <c r="AD106" i="2"/>
  <c r="AE106" i="2"/>
  <c r="AF106" i="2"/>
  <c r="D107" i="2"/>
  <c r="F107" i="2"/>
  <c r="G107" i="2"/>
  <c r="I107" i="2"/>
  <c r="Z107" i="2"/>
  <c r="AA107" i="2"/>
  <c r="AB107" i="2"/>
  <c r="AC107" i="2"/>
  <c r="AD107" i="2"/>
  <c r="AE107" i="2"/>
  <c r="AF107" i="2"/>
  <c r="D108" i="2"/>
  <c r="F108" i="2"/>
  <c r="G108" i="2"/>
  <c r="I108" i="2"/>
  <c r="Z108" i="2"/>
  <c r="AA108" i="2"/>
  <c r="AB108" i="2"/>
  <c r="AC108" i="2"/>
  <c r="AD108" i="2"/>
  <c r="AE108" i="2"/>
  <c r="AF108" i="2"/>
  <c r="D109" i="2"/>
  <c r="F109" i="2"/>
  <c r="G109" i="2"/>
  <c r="I109" i="2"/>
  <c r="Z109" i="2"/>
  <c r="AA109" i="2"/>
  <c r="AB109" i="2"/>
  <c r="AC109" i="2"/>
  <c r="AD109" i="2"/>
  <c r="AE109" i="2"/>
  <c r="AF109" i="2"/>
  <c r="D110" i="2"/>
  <c r="F110" i="2"/>
  <c r="G110" i="2"/>
  <c r="Z110" i="2"/>
  <c r="AA110" i="2"/>
  <c r="AB110" i="2"/>
  <c r="AC110" i="2"/>
  <c r="AD110" i="2"/>
  <c r="AE110" i="2"/>
  <c r="AF110" i="2"/>
  <c r="D111" i="2"/>
  <c r="F111" i="2"/>
  <c r="G111" i="2"/>
  <c r="I111" i="2"/>
  <c r="Z111" i="2"/>
  <c r="AA111" i="2"/>
  <c r="AB111" i="2"/>
  <c r="AC111" i="2"/>
  <c r="AD111" i="2"/>
  <c r="AE111" i="2"/>
  <c r="AF111" i="2"/>
  <c r="D112" i="2"/>
  <c r="F112" i="2"/>
  <c r="G112" i="2"/>
  <c r="I112" i="2"/>
  <c r="Z112" i="2"/>
  <c r="AA112" i="2"/>
  <c r="AB112" i="2"/>
  <c r="AC112" i="2"/>
  <c r="AD112" i="2"/>
  <c r="AE112" i="2"/>
  <c r="AF112" i="2"/>
  <c r="D113" i="2"/>
  <c r="F113" i="2"/>
  <c r="G113" i="2"/>
  <c r="I113" i="2"/>
  <c r="Z113" i="2"/>
  <c r="AA113" i="2"/>
  <c r="AB113" i="2"/>
  <c r="AC113" i="2"/>
  <c r="AD113" i="2"/>
  <c r="AE113" i="2"/>
  <c r="AF113" i="2"/>
  <c r="D114" i="2"/>
  <c r="F114" i="2"/>
  <c r="G114" i="2"/>
  <c r="Z114" i="2"/>
  <c r="AA114" i="2"/>
  <c r="AB114" i="2"/>
  <c r="AC114" i="2"/>
  <c r="AD114" i="2"/>
  <c r="AE114" i="2"/>
  <c r="AF114" i="2"/>
  <c r="D115" i="2"/>
  <c r="F115" i="2"/>
  <c r="G115" i="2"/>
  <c r="I115" i="2"/>
  <c r="Z115" i="2"/>
  <c r="AA115" i="2"/>
  <c r="AB115" i="2"/>
  <c r="AC115" i="2"/>
  <c r="AD115" i="2"/>
  <c r="AE115" i="2"/>
  <c r="AF115" i="2"/>
  <c r="D116" i="2"/>
  <c r="F116" i="2"/>
  <c r="G116" i="2"/>
  <c r="I116" i="2"/>
  <c r="Z116" i="2"/>
  <c r="AA116" i="2"/>
  <c r="AB116" i="2"/>
  <c r="AC116" i="2"/>
  <c r="AD116" i="2"/>
  <c r="AE116" i="2"/>
  <c r="AF116" i="2"/>
  <c r="D117" i="2"/>
  <c r="F117" i="2"/>
  <c r="G117" i="2"/>
  <c r="I117" i="2"/>
  <c r="Z117" i="2"/>
  <c r="AA117" i="2"/>
  <c r="AB117" i="2"/>
  <c r="AC117" i="2"/>
  <c r="AD117" i="2"/>
  <c r="AE117" i="2"/>
  <c r="AF117" i="2"/>
  <c r="D118" i="2"/>
  <c r="F118" i="2"/>
  <c r="G118" i="2"/>
  <c r="Z118" i="2"/>
  <c r="AA118" i="2"/>
  <c r="AB118" i="2"/>
  <c r="AC118" i="2"/>
  <c r="AD118" i="2"/>
  <c r="AE118" i="2"/>
  <c r="AF118" i="2"/>
  <c r="D119" i="2"/>
  <c r="F119" i="2"/>
  <c r="G119" i="2"/>
  <c r="I119" i="2"/>
  <c r="Z119" i="2"/>
  <c r="AA119" i="2"/>
  <c r="AB119" i="2"/>
  <c r="AC119" i="2"/>
  <c r="AD119" i="2"/>
  <c r="AE119" i="2"/>
  <c r="AF119" i="2"/>
  <c r="D120" i="2"/>
  <c r="F120" i="2"/>
  <c r="G120" i="2"/>
  <c r="I120" i="2"/>
  <c r="Z120" i="2"/>
  <c r="AA120" i="2"/>
  <c r="AB120" i="2"/>
  <c r="AC120" i="2"/>
  <c r="AD120" i="2"/>
  <c r="AE120" i="2"/>
  <c r="AF120" i="2"/>
  <c r="D121" i="2"/>
  <c r="F121" i="2"/>
  <c r="G121" i="2"/>
  <c r="I121" i="2"/>
  <c r="Z121" i="2"/>
  <c r="AA121" i="2"/>
  <c r="AB121" i="2"/>
  <c r="AC121" i="2"/>
  <c r="AD121" i="2"/>
  <c r="AE121" i="2"/>
  <c r="AF121" i="2"/>
  <c r="D122" i="2"/>
  <c r="F122" i="2"/>
  <c r="G122" i="2"/>
  <c r="Z122" i="2"/>
  <c r="AA122" i="2"/>
  <c r="AB122" i="2"/>
  <c r="AC122" i="2"/>
  <c r="AD122" i="2"/>
  <c r="AE122" i="2"/>
  <c r="AF122" i="2"/>
  <c r="D123" i="2"/>
  <c r="F123" i="2"/>
  <c r="G123" i="2"/>
  <c r="I123" i="2"/>
  <c r="Z123" i="2"/>
  <c r="AA123" i="2"/>
  <c r="AB123" i="2"/>
  <c r="AC123" i="2"/>
  <c r="AD123" i="2"/>
  <c r="AE123" i="2"/>
  <c r="AF123" i="2"/>
  <c r="D124" i="2"/>
  <c r="F124" i="2"/>
  <c r="G124" i="2"/>
  <c r="I124" i="2"/>
  <c r="Z124" i="2"/>
  <c r="AA124" i="2"/>
  <c r="AB124" i="2"/>
  <c r="AC124" i="2"/>
  <c r="AD124" i="2"/>
  <c r="AE124" i="2"/>
  <c r="AF124" i="2"/>
  <c r="D125" i="2"/>
  <c r="F125" i="2"/>
  <c r="G125" i="2"/>
  <c r="I125" i="2"/>
  <c r="Z125" i="2"/>
  <c r="AA125" i="2"/>
  <c r="AB125" i="2"/>
  <c r="AC125" i="2"/>
  <c r="AD125" i="2"/>
  <c r="AE125" i="2"/>
  <c r="AF125" i="2"/>
  <c r="D126" i="2"/>
  <c r="F126" i="2"/>
  <c r="G126" i="2"/>
  <c r="Z126" i="2"/>
  <c r="AA126" i="2"/>
  <c r="AB126" i="2"/>
  <c r="AC126" i="2"/>
  <c r="AD126" i="2"/>
  <c r="AE126" i="2"/>
  <c r="AF126" i="2"/>
  <c r="C127" i="2"/>
  <c r="D127" i="2" s="1"/>
  <c r="F127" i="2"/>
  <c r="G127" i="2"/>
  <c r="I127" i="2"/>
  <c r="Z127" i="2"/>
  <c r="AA127" i="2"/>
  <c r="AB127" i="2"/>
  <c r="AC127" i="2"/>
  <c r="AD127" i="2"/>
  <c r="AE127" i="2"/>
  <c r="AF127" i="2"/>
  <c r="D128" i="2"/>
  <c r="F128" i="2"/>
  <c r="G128" i="2"/>
  <c r="I128" i="2"/>
  <c r="Z128" i="2"/>
  <c r="AA128" i="2"/>
  <c r="AB128" i="2"/>
  <c r="AC128" i="2"/>
  <c r="AD128" i="2"/>
  <c r="AE128" i="2"/>
  <c r="AF128" i="2"/>
  <c r="D129" i="2"/>
  <c r="F129" i="2"/>
  <c r="G129" i="2"/>
  <c r="I129" i="2"/>
  <c r="Z129" i="2"/>
  <c r="AA129" i="2"/>
  <c r="AB129" i="2"/>
  <c r="AC129" i="2"/>
  <c r="AD129" i="2"/>
  <c r="AE129" i="2"/>
  <c r="AF129" i="2"/>
  <c r="D130" i="2"/>
  <c r="F130" i="2"/>
  <c r="G130" i="2"/>
  <c r="Z130" i="2"/>
  <c r="AA130" i="2"/>
  <c r="AB130" i="2"/>
  <c r="AC130" i="2"/>
  <c r="AD130" i="2"/>
  <c r="AE130" i="2"/>
  <c r="AF130" i="2"/>
  <c r="D131" i="2"/>
  <c r="F131" i="2"/>
  <c r="G131" i="2"/>
  <c r="I131" i="2"/>
  <c r="Z131" i="2"/>
  <c r="AA131" i="2"/>
  <c r="AB131" i="2"/>
  <c r="AC131" i="2"/>
  <c r="AD131" i="2"/>
  <c r="AE131" i="2"/>
  <c r="AF131" i="2"/>
  <c r="D132" i="2"/>
  <c r="F132" i="2"/>
  <c r="G132" i="2"/>
  <c r="I132" i="2"/>
  <c r="Z132" i="2"/>
  <c r="AA132" i="2"/>
  <c r="AB132" i="2"/>
  <c r="AC132" i="2"/>
  <c r="AD132" i="2"/>
  <c r="AE132" i="2"/>
  <c r="AF132" i="2"/>
  <c r="D133" i="2"/>
  <c r="F133" i="2"/>
  <c r="G133" i="2"/>
  <c r="I133" i="2"/>
  <c r="Z133" i="2"/>
  <c r="AA133" i="2"/>
  <c r="AB133" i="2"/>
  <c r="AC133" i="2"/>
  <c r="AD133" i="2"/>
  <c r="AE133" i="2"/>
  <c r="AF133" i="2"/>
  <c r="D134" i="2"/>
  <c r="F134" i="2"/>
  <c r="G134" i="2"/>
  <c r="Z134" i="2"/>
  <c r="AA134" i="2"/>
  <c r="AB134" i="2"/>
  <c r="AC134" i="2"/>
  <c r="AD134" i="2"/>
  <c r="AE134" i="2"/>
  <c r="AF134" i="2"/>
  <c r="D135" i="2"/>
  <c r="F135" i="2"/>
  <c r="G135" i="2"/>
  <c r="I135" i="2"/>
  <c r="Z135" i="2"/>
  <c r="AA135" i="2"/>
  <c r="AB135" i="2"/>
  <c r="AC135" i="2"/>
  <c r="AD135" i="2"/>
  <c r="AE135" i="2"/>
  <c r="AF135" i="2"/>
  <c r="D136" i="2"/>
  <c r="F136" i="2"/>
  <c r="G136" i="2"/>
  <c r="I136" i="2"/>
  <c r="Z136" i="2"/>
  <c r="AA136" i="2"/>
  <c r="AB136" i="2"/>
  <c r="AC136" i="2"/>
  <c r="AD136" i="2"/>
  <c r="AE136" i="2"/>
  <c r="AF136" i="2"/>
  <c r="D137" i="2"/>
  <c r="F137" i="2"/>
  <c r="G137" i="2"/>
  <c r="I137" i="2"/>
  <c r="Z137" i="2"/>
  <c r="AA137" i="2"/>
  <c r="AB137" i="2"/>
  <c r="AC137" i="2"/>
  <c r="AD137" i="2"/>
  <c r="AE137" i="2"/>
  <c r="AF137" i="2"/>
  <c r="D138" i="2"/>
  <c r="F138" i="2"/>
  <c r="G138" i="2"/>
  <c r="Z138" i="2"/>
  <c r="AA138" i="2"/>
  <c r="AB138" i="2"/>
  <c r="AC138" i="2"/>
  <c r="AD138" i="2"/>
  <c r="AE138" i="2"/>
  <c r="AF138" i="2"/>
  <c r="D139" i="2"/>
  <c r="F139" i="2"/>
  <c r="G139" i="2"/>
  <c r="I139" i="2"/>
  <c r="Z139" i="2"/>
  <c r="AA139" i="2"/>
  <c r="AB139" i="2"/>
  <c r="AC139" i="2"/>
  <c r="AD139" i="2"/>
  <c r="AE139" i="2"/>
  <c r="AF139" i="2"/>
  <c r="D140" i="2"/>
  <c r="F140" i="2"/>
  <c r="G140" i="2"/>
  <c r="I140" i="2"/>
  <c r="Z140" i="2"/>
  <c r="AA140" i="2"/>
  <c r="AB140" i="2"/>
  <c r="AC140" i="2"/>
  <c r="AD140" i="2"/>
  <c r="AE140" i="2"/>
  <c r="AF140" i="2"/>
  <c r="D141" i="2"/>
  <c r="F141" i="2"/>
  <c r="G141" i="2"/>
  <c r="I141" i="2"/>
  <c r="Z141" i="2"/>
  <c r="AA141" i="2"/>
  <c r="AB141" i="2"/>
  <c r="AC141" i="2"/>
  <c r="AD141" i="2"/>
  <c r="AE141" i="2"/>
  <c r="AF141" i="2"/>
  <c r="D142" i="2"/>
  <c r="F142" i="2"/>
  <c r="G142" i="2"/>
  <c r="Z142" i="2"/>
  <c r="AA142" i="2"/>
  <c r="AB142" i="2"/>
  <c r="AC142" i="2"/>
  <c r="AD142" i="2"/>
  <c r="AE142" i="2"/>
  <c r="AF142" i="2"/>
  <c r="D143" i="2"/>
  <c r="F143" i="2"/>
  <c r="G143" i="2"/>
  <c r="I143" i="2"/>
  <c r="Z143" i="2"/>
  <c r="AA143" i="2"/>
  <c r="AB143" i="2"/>
  <c r="AC143" i="2"/>
  <c r="AD143" i="2"/>
  <c r="AE143" i="2"/>
  <c r="AF143" i="2"/>
  <c r="D144" i="2"/>
  <c r="F144" i="2"/>
  <c r="G144" i="2"/>
  <c r="I144" i="2"/>
  <c r="Z144" i="2"/>
  <c r="AA144" i="2"/>
  <c r="AB144" i="2"/>
  <c r="AC144" i="2"/>
  <c r="AD144" i="2"/>
  <c r="AE144" i="2"/>
  <c r="AF144" i="2"/>
  <c r="D145" i="2"/>
  <c r="F145" i="2"/>
  <c r="G145" i="2"/>
  <c r="I145" i="2"/>
  <c r="Z145" i="2"/>
  <c r="AA145" i="2"/>
  <c r="AB145" i="2"/>
  <c r="AC145" i="2"/>
  <c r="AD145" i="2"/>
  <c r="AE145" i="2"/>
  <c r="AF145" i="2"/>
  <c r="D146" i="2"/>
  <c r="F146" i="2"/>
  <c r="G146" i="2"/>
  <c r="Z146" i="2"/>
  <c r="AA146" i="2"/>
  <c r="AB146" i="2"/>
  <c r="AC146" i="2"/>
  <c r="AD146" i="2"/>
  <c r="AE146" i="2"/>
  <c r="AF146" i="2"/>
  <c r="D147" i="2"/>
  <c r="F147" i="2"/>
  <c r="G147" i="2"/>
  <c r="I147" i="2"/>
  <c r="Z147" i="2"/>
  <c r="AA147" i="2"/>
  <c r="AB147" i="2"/>
  <c r="AC147" i="2"/>
  <c r="AD147" i="2"/>
  <c r="AE147" i="2"/>
  <c r="AF147" i="2"/>
  <c r="D148" i="2"/>
  <c r="F148" i="2"/>
  <c r="G148" i="2"/>
  <c r="I148" i="2"/>
  <c r="Z148" i="2"/>
  <c r="AA148" i="2"/>
  <c r="AB148" i="2"/>
  <c r="AC148" i="2"/>
  <c r="AD148" i="2"/>
  <c r="AE148" i="2"/>
  <c r="AF148" i="2"/>
  <c r="D149" i="2"/>
  <c r="F149" i="2"/>
  <c r="G149" i="2"/>
  <c r="I149" i="2"/>
  <c r="Z149" i="2"/>
  <c r="AA149" i="2"/>
  <c r="AB149" i="2"/>
  <c r="AC149" i="2"/>
  <c r="AD149" i="2"/>
  <c r="AE149" i="2"/>
  <c r="AF149" i="2"/>
  <c r="D150" i="2"/>
  <c r="F150" i="2"/>
  <c r="G150" i="2"/>
  <c r="Z150" i="2"/>
  <c r="AA150" i="2"/>
  <c r="AB150" i="2"/>
  <c r="AC150" i="2"/>
  <c r="AD150" i="2"/>
  <c r="AE150" i="2"/>
  <c r="AF150" i="2"/>
  <c r="D151" i="2"/>
  <c r="F151" i="2"/>
  <c r="G151" i="2"/>
  <c r="I151" i="2"/>
  <c r="Z151" i="2"/>
  <c r="AA151" i="2"/>
  <c r="AB151" i="2"/>
  <c r="AC151" i="2"/>
  <c r="AD151" i="2"/>
  <c r="AE151" i="2"/>
  <c r="AF151" i="2"/>
  <c r="D152" i="2"/>
  <c r="F152" i="2"/>
  <c r="G152" i="2"/>
  <c r="I152" i="2"/>
  <c r="Z152" i="2"/>
  <c r="AA152" i="2"/>
  <c r="AB152" i="2"/>
  <c r="AC152" i="2"/>
  <c r="AD152" i="2"/>
  <c r="AE152" i="2"/>
  <c r="AF152" i="2"/>
  <c r="D153" i="2"/>
  <c r="F153" i="2"/>
  <c r="G153" i="2"/>
  <c r="I153" i="2"/>
  <c r="Z153" i="2"/>
  <c r="AA153" i="2"/>
  <c r="AB153" i="2"/>
  <c r="AC153" i="2"/>
  <c r="AD153" i="2"/>
  <c r="AE153" i="2"/>
  <c r="AF153" i="2"/>
  <c r="C154" i="2"/>
  <c r="D154" i="2" s="1"/>
  <c r="F154" i="2"/>
  <c r="G154" i="2"/>
  <c r="Z154" i="2"/>
  <c r="AA154" i="2"/>
  <c r="AB154" i="2"/>
  <c r="AC154" i="2"/>
  <c r="AD154" i="2"/>
  <c r="AE154" i="2"/>
  <c r="AF154" i="2"/>
  <c r="D155" i="2"/>
  <c r="F155" i="2"/>
  <c r="G155" i="2"/>
  <c r="I155" i="2"/>
  <c r="Z155" i="2"/>
  <c r="AA155" i="2"/>
  <c r="AB155" i="2"/>
  <c r="AC155" i="2"/>
  <c r="AD155" i="2"/>
  <c r="AE155" i="2"/>
  <c r="AF155" i="2"/>
  <c r="D156" i="2"/>
  <c r="F156" i="2"/>
  <c r="G156" i="2"/>
  <c r="I156" i="2"/>
  <c r="Z156" i="2"/>
  <c r="AA156" i="2"/>
  <c r="AB156" i="2"/>
  <c r="AC156" i="2"/>
  <c r="AD156" i="2"/>
  <c r="AE156" i="2"/>
  <c r="AF156" i="2"/>
  <c r="D157" i="2"/>
  <c r="F157" i="2"/>
  <c r="G157" i="2"/>
  <c r="I157" i="2"/>
  <c r="Z157" i="2"/>
  <c r="AA157" i="2"/>
  <c r="AB157" i="2"/>
  <c r="AC157" i="2"/>
  <c r="AD157" i="2"/>
  <c r="AE157" i="2"/>
  <c r="AF157" i="2"/>
  <c r="D158" i="2"/>
  <c r="F158" i="2"/>
  <c r="G158" i="2"/>
  <c r="Z158" i="2"/>
  <c r="AA158" i="2"/>
  <c r="AB158" i="2"/>
  <c r="AC158" i="2"/>
  <c r="AD158" i="2"/>
  <c r="AE158" i="2"/>
  <c r="AF158" i="2"/>
  <c r="D159" i="2"/>
  <c r="F159" i="2"/>
  <c r="G159" i="2"/>
  <c r="I159" i="2"/>
  <c r="Z159" i="2"/>
  <c r="AA159" i="2"/>
  <c r="AB159" i="2"/>
  <c r="AC159" i="2"/>
  <c r="AD159" i="2"/>
  <c r="AE159" i="2"/>
  <c r="AF159" i="2"/>
  <c r="C160" i="2"/>
  <c r="D160" i="2" s="1"/>
  <c r="F160" i="2"/>
  <c r="G160" i="2"/>
  <c r="I160" i="2"/>
  <c r="Z160" i="2"/>
  <c r="AA160" i="2"/>
  <c r="AB160" i="2"/>
  <c r="AC160" i="2"/>
  <c r="AD160" i="2"/>
  <c r="AE160" i="2"/>
  <c r="AF160" i="2"/>
  <c r="D161" i="2"/>
  <c r="F161" i="2"/>
  <c r="G161" i="2"/>
  <c r="I161" i="2"/>
  <c r="Z161" i="2"/>
  <c r="AA161" i="2"/>
  <c r="AB161" i="2"/>
  <c r="AC161" i="2"/>
  <c r="AD161" i="2"/>
  <c r="AE161" i="2"/>
  <c r="AF161" i="2"/>
  <c r="D162" i="2"/>
  <c r="F162" i="2"/>
  <c r="G162" i="2"/>
  <c r="Z162" i="2"/>
  <c r="AA162" i="2"/>
  <c r="AB162" i="2"/>
  <c r="AC162" i="2"/>
  <c r="AD162" i="2"/>
  <c r="AE162" i="2"/>
  <c r="AF162" i="2"/>
  <c r="D163" i="2"/>
  <c r="F163" i="2"/>
  <c r="G163" i="2"/>
  <c r="I163" i="2"/>
  <c r="Z163" i="2"/>
  <c r="AA163" i="2"/>
  <c r="AB163" i="2"/>
  <c r="AC163" i="2"/>
  <c r="AD163" i="2"/>
  <c r="AE163" i="2"/>
  <c r="AF163" i="2"/>
  <c r="D164" i="2"/>
  <c r="F164" i="2"/>
  <c r="G164" i="2"/>
  <c r="I164" i="2"/>
  <c r="Z164" i="2"/>
  <c r="AA164" i="2"/>
  <c r="AB164" i="2"/>
  <c r="AC164" i="2"/>
  <c r="AD164" i="2"/>
  <c r="AE164" i="2"/>
  <c r="AF164" i="2"/>
  <c r="D165" i="2"/>
  <c r="F165" i="2"/>
  <c r="G165" i="2"/>
  <c r="I165" i="2"/>
  <c r="Z165" i="2"/>
  <c r="AA165" i="2"/>
  <c r="AB165" i="2"/>
  <c r="AC165" i="2"/>
  <c r="AD165" i="2"/>
  <c r="AE165" i="2"/>
  <c r="AF165" i="2"/>
  <c r="D166" i="2"/>
  <c r="F166" i="2"/>
  <c r="G166" i="2"/>
  <c r="Z166" i="2"/>
  <c r="AA166" i="2"/>
  <c r="AB166" i="2"/>
  <c r="AC166" i="2"/>
  <c r="AD166" i="2"/>
  <c r="AE166" i="2"/>
  <c r="AF166" i="2"/>
  <c r="D167" i="2"/>
  <c r="F167" i="2"/>
  <c r="G167" i="2"/>
  <c r="I167" i="2"/>
  <c r="Z167" i="2"/>
  <c r="AA167" i="2"/>
  <c r="AB167" i="2"/>
  <c r="AC167" i="2"/>
  <c r="AD167" i="2"/>
  <c r="AE167" i="2"/>
  <c r="AF167" i="2"/>
  <c r="D168" i="2"/>
  <c r="F168" i="2"/>
  <c r="G168" i="2"/>
  <c r="I168" i="2"/>
  <c r="Z168" i="2"/>
  <c r="AA168" i="2"/>
  <c r="AB168" i="2"/>
  <c r="AC168" i="2"/>
  <c r="AD168" i="2"/>
  <c r="AE168" i="2"/>
  <c r="AF168" i="2"/>
  <c r="D169" i="2"/>
  <c r="F169" i="2"/>
  <c r="G169" i="2"/>
  <c r="I169" i="2"/>
  <c r="Z169" i="2"/>
  <c r="AA169" i="2"/>
  <c r="AB169" i="2"/>
  <c r="AC169" i="2"/>
  <c r="AD169" i="2"/>
  <c r="AE169" i="2"/>
  <c r="AF169" i="2"/>
  <c r="D170" i="2"/>
  <c r="F170" i="2"/>
  <c r="G170" i="2"/>
  <c r="Z170" i="2"/>
  <c r="AA170" i="2"/>
  <c r="AB170" i="2"/>
  <c r="AC170" i="2"/>
  <c r="AD170" i="2"/>
  <c r="AE170" i="2"/>
  <c r="AF170" i="2"/>
  <c r="D171" i="2"/>
  <c r="F171" i="2"/>
  <c r="G171" i="2"/>
  <c r="I171" i="2"/>
  <c r="Z171" i="2"/>
  <c r="AA171" i="2"/>
  <c r="AB171" i="2"/>
  <c r="AC171" i="2"/>
  <c r="AD171" i="2"/>
  <c r="AE171" i="2"/>
  <c r="AF171" i="2"/>
  <c r="D172" i="2"/>
  <c r="F172" i="2"/>
  <c r="G172" i="2"/>
  <c r="I172" i="2"/>
  <c r="Z172" i="2"/>
  <c r="AA172" i="2"/>
  <c r="AB172" i="2"/>
  <c r="AC172" i="2"/>
  <c r="AD172" i="2"/>
  <c r="AE172" i="2"/>
  <c r="AF172" i="2"/>
  <c r="D173" i="2"/>
  <c r="F173" i="2"/>
  <c r="G173" i="2"/>
  <c r="I173" i="2"/>
  <c r="Z173" i="2"/>
  <c r="AA173" i="2"/>
  <c r="AB173" i="2"/>
  <c r="AC173" i="2"/>
  <c r="AD173" i="2"/>
  <c r="AE173" i="2"/>
  <c r="AF173" i="2"/>
  <c r="D174" i="2"/>
  <c r="F174" i="2"/>
  <c r="G174" i="2"/>
  <c r="Z174" i="2"/>
  <c r="AA174" i="2"/>
  <c r="AB174" i="2"/>
  <c r="AC174" i="2"/>
  <c r="AD174" i="2"/>
  <c r="AE174" i="2"/>
  <c r="AF174" i="2"/>
  <c r="D175" i="2"/>
  <c r="F175" i="2"/>
  <c r="G175" i="2"/>
  <c r="I175" i="2"/>
  <c r="Z175" i="2"/>
  <c r="AA175" i="2"/>
  <c r="AB175" i="2"/>
  <c r="AC175" i="2"/>
  <c r="AD175" i="2"/>
  <c r="AE175" i="2"/>
  <c r="AF175" i="2"/>
  <c r="D176" i="2"/>
  <c r="F176" i="2"/>
  <c r="G176" i="2"/>
  <c r="I176" i="2"/>
  <c r="Z176" i="2"/>
  <c r="AA176" i="2"/>
  <c r="AB176" i="2"/>
  <c r="AC176" i="2"/>
  <c r="AD176" i="2"/>
  <c r="AE176" i="2"/>
  <c r="AF176" i="2"/>
  <c r="D177" i="2"/>
  <c r="F177" i="2"/>
  <c r="G177" i="2"/>
  <c r="I177" i="2"/>
  <c r="Z177" i="2"/>
  <c r="AA177" i="2"/>
  <c r="AB177" i="2"/>
  <c r="AC177" i="2"/>
  <c r="AD177" i="2"/>
  <c r="AE177" i="2"/>
  <c r="AF177" i="2"/>
  <c r="D178" i="2"/>
  <c r="F178" i="2"/>
  <c r="G178" i="2"/>
  <c r="Z178" i="2"/>
  <c r="AA178" i="2"/>
  <c r="AB178" i="2"/>
  <c r="AC178" i="2"/>
  <c r="AD178" i="2"/>
  <c r="AE178" i="2"/>
  <c r="AF178" i="2"/>
  <c r="D179" i="2"/>
  <c r="F179" i="2"/>
  <c r="G179" i="2"/>
  <c r="I179" i="2"/>
  <c r="Z179" i="2"/>
  <c r="AA179" i="2"/>
  <c r="AB179" i="2"/>
  <c r="AC179" i="2"/>
  <c r="AD179" i="2"/>
  <c r="AE179" i="2"/>
  <c r="AF179" i="2"/>
  <c r="D180" i="2"/>
  <c r="F180" i="2"/>
  <c r="G180" i="2"/>
  <c r="I180" i="2"/>
  <c r="Z180" i="2"/>
  <c r="AA180" i="2"/>
  <c r="AB180" i="2"/>
  <c r="AC180" i="2"/>
  <c r="AD180" i="2"/>
  <c r="AE180" i="2"/>
  <c r="AF180" i="2"/>
  <c r="D181" i="2"/>
  <c r="F181" i="2"/>
  <c r="G181" i="2"/>
  <c r="I181" i="2"/>
  <c r="Z181" i="2"/>
  <c r="AA181" i="2"/>
  <c r="AB181" i="2"/>
  <c r="AC181" i="2"/>
  <c r="AD181" i="2"/>
  <c r="AE181" i="2"/>
  <c r="AF181" i="2"/>
  <c r="D182" i="2"/>
  <c r="F182" i="2"/>
  <c r="G182" i="2"/>
  <c r="Z182" i="2"/>
  <c r="AA182" i="2"/>
  <c r="AB182" i="2"/>
  <c r="AC182" i="2"/>
  <c r="AD182" i="2"/>
  <c r="AE182" i="2"/>
  <c r="AF182" i="2"/>
  <c r="D183" i="2"/>
  <c r="F183" i="2"/>
  <c r="G183" i="2"/>
  <c r="I183" i="2"/>
  <c r="Z183" i="2"/>
  <c r="AA183" i="2"/>
  <c r="AB183" i="2"/>
  <c r="AC183" i="2"/>
  <c r="AD183" i="2"/>
  <c r="AE183" i="2"/>
  <c r="AF183" i="2"/>
  <c r="D184" i="2"/>
  <c r="F184" i="2"/>
  <c r="G184" i="2"/>
  <c r="I184" i="2"/>
  <c r="Z184" i="2"/>
  <c r="AA184" i="2"/>
  <c r="AB184" i="2"/>
  <c r="AC184" i="2"/>
  <c r="AD184" i="2"/>
  <c r="AE184" i="2"/>
  <c r="AF184" i="2"/>
  <c r="D185" i="2"/>
  <c r="F185" i="2"/>
  <c r="G185" i="2"/>
  <c r="I185" i="2"/>
  <c r="Z185" i="2"/>
  <c r="AA185" i="2"/>
  <c r="AB185" i="2"/>
  <c r="AC185" i="2"/>
  <c r="AD185" i="2"/>
  <c r="AE185" i="2"/>
  <c r="AF185" i="2"/>
  <c r="D186" i="2"/>
  <c r="F186" i="2"/>
  <c r="G186" i="2"/>
  <c r="Z186" i="2"/>
  <c r="AA186" i="2"/>
  <c r="AB186" i="2"/>
  <c r="AC186" i="2"/>
  <c r="AD186" i="2"/>
  <c r="AE186" i="2"/>
  <c r="AF186" i="2"/>
  <c r="D187" i="2"/>
  <c r="F187" i="2"/>
  <c r="G187" i="2"/>
  <c r="I187" i="2"/>
  <c r="Z187" i="2"/>
  <c r="AA187" i="2"/>
  <c r="AB187" i="2"/>
  <c r="AC187" i="2"/>
  <c r="AD187" i="2"/>
  <c r="AE187" i="2"/>
  <c r="AF187" i="2"/>
  <c r="D188" i="2"/>
  <c r="F188" i="2"/>
  <c r="G188" i="2"/>
  <c r="I188" i="2"/>
  <c r="Z188" i="2"/>
  <c r="AA188" i="2"/>
  <c r="AB188" i="2"/>
  <c r="AC188" i="2"/>
  <c r="AD188" i="2"/>
  <c r="AE188" i="2"/>
  <c r="AF188" i="2"/>
  <c r="D189" i="2"/>
  <c r="F189" i="2"/>
  <c r="G189" i="2"/>
  <c r="I189" i="2"/>
  <c r="Z189" i="2"/>
  <c r="AA189" i="2"/>
  <c r="AB189" i="2"/>
  <c r="AC189" i="2"/>
  <c r="AD189" i="2"/>
  <c r="AE189" i="2"/>
  <c r="AF189" i="2"/>
  <c r="D190" i="2"/>
  <c r="F190" i="2"/>
  <c r="G190" i="2"/>
  <c r="Z190" i="2"/>
  <c r="AA190" i="2"/>
  <c r="AB190" i="2"/>
  <c r="AC190" i="2"/>
  <c r="AD190" i="2"/>
  <c r="AE190" i="2"/>
  <c r="AF190" i="2"/>
  <c r="D191" i="2"/>
  <c r="F191" i="2"/>
  <c r="G191" i="2"/>
  <c r="I191" i="2"/>
  <c r="Z191" i="2"/>
  <c r="AA191" i="2"/>
  <c r="AB191" i="2"/>
  <c r="AC191" i="2"/>
  <c r="AD191" i="2"/>
  <c r="AE191" i="2"/>
  <c r="AF191" i="2"/>
  <c r="D192" i="2"/>
  <c r="F192" i="2"/>
  <c r="G192" i="2"/>
  <c r="I192" i="2"/>
  <c r="Z192" i="2"/>
  <c r="AA192" i="2"/>
  <c r="AB192" i="2"/>
  <c r="AC192" i="2"/>
  <c r="AD192" i="2"/>
  <c r="AE192" i="2"/>
  <c r="AF192" i="2"/>
  <c r="D193" i="2"/>
  <c r="F193" i="2"/>
  <c r="G193" i="2"/>
  <c r="I193" i="2"/>
  <c r="Z193" i="2"/>
  <c r="AA193" i="2"/>
  <c r="AB193" i="2"/>
  <c r="AC193" i="2"/>
  <c r="AD193" i="2"/>
  <c r="AE193" i="2"/>
  <c r="AF193" i="2"/>
  <c r="D194" i="2"/>
  <c r="F194" i="2"/>
  <c r="G194" i="2"/>
  <c r="Z194" i="2"/>
  <c r="AA194" i="2"/>
  <c r="AB194" i="2"/>
  <c r="AC194" i="2"/>
  <c r="AD194" i="2"/>
  <c r="AE194" i="2"/>
  <c r="AF194" i="2"/>
  <c r="D195" i="2"/>
  <c r="F195" i="2"/>
  <c r="G195" i="2"/>
  <c r="I195" i="2"/>
  <c r="Z195" i="2"/>
  <c r="AA195" i="2"/>
  <c r="AB195" i="2"/>
  <c r="AC195" i="2"/>
  <c r="AD195" i="2"/>
  <c r="AE195" i="2"/>
  <c r="AF195" i="2"/>
  <c r="D196" i="2"/>
  <c r="F196" i="2"/>
  <c r="G196" i="2"/>
  <c r="I196" i="2"/>
  <c r="Z196" i="2"/>
  <c r="AA196" i="2"/>
  <c r="AB196" i="2"/>
  <c r="AC196" i="2"/>
  <c r="AD196" i="2"/>
  <c r="AE196" i="2"/>
  <c r="AF196" i="2"/>
  <c r="D197" i="2"/>
  <c r="F197" i="2"/>
  <c r="G197" i="2"/>
  <c r="I197" i="2"/>
  <c r="Z197" i="2"/>
  <c r="AA197" i="2"/>
  <c r="AB197" i="2"/>
  <c r="AC197" i="2"/>
  <c r="AD197" i="2"/>
  <c r="AE197" i="2"/>
  <c r="AF197" i="2"/>
  <c r="D198" i="2"/>
  <c r="F198" i="2"/>
  <c r="G198" i="2"/>
  <c r="Z198" i="2"/>
  <c r="AA198" i="2"/>
  <c r="AB198" i="2"/>
  <c r="AC198" i="2"/>
  <c r="AD198" i="2"/>
  <c r="AE198" i="2"/>
  <c r="AF198" i="2"/>
  <c r="D199" i="2"/>
  <c r="F199" i="2"/>
  <c r="G199" i="2"/>
  <c r="I199" i="2"/>
  <c r="Z199" i="2"/>
  <c r="AA199" i="2"/>
  <c r="AB199" i="2"/>
  <c r="AC199" i="2"/>
  <c r="AD199" i="2"/>
  <c r="AE199" i="2"/>
  <c r="AF199" i="2"/>
  <c r="D200" i="2"/>
  <c r="F200" i="2"/>
  <c r="G200" i="2"/>
  <c r="I200" i="2"/>
  <c r="Z200" i="2"/>
  <c r="AA200" i="2"/>
  <c r="AB200" i="2"/>
  <c r="AC200" i="2"/>
  <c r="AD200" i="2"/>
  <c r="AE200" i="2"/>
  <c r="AF200" i="2"/>
  <c r="D201" i="2"/>
  <c r="F201" i="2"/>
  <c r="G201" i="2"/>
  <c r="I201" i="2"/>
  <c r="Z201" i="2"/>
  <c r="AA201" i="2"/>
  <c r="AB201" i="2"/>
  <c r="AC201" i="2"/>
  <c r="AD201" i="2"/>
  <c r="AE201" i="2"/>
  <c r="AF201" i="2"/>
  <c r="D202" i="2"/>
  <c r="F202" i="2"/>
  <c r="G202" i="2"/>
  <c r="Z202" i="2"/>
  <c r="AA202" i="2"/>
  <c r="AB202" i="2"/>
  <c r="AC202" i="2"/>
  <c r="AD202" i="2"/>
  <c r="AE202" i="2"/>
  <c r="AF202" i="2"/>
  <c r="D203" i="2"/>
  <c r="F203" i="2"/>
  <c r="G203" i="2"/>
  <c r="I203" i="2"/>
  <c r="Z203" i="2"/>
  <c r="AA203" i="2"/>
  <c r="AB203" i="2"/>
  <c r="AC203" i="2"/>
  <c r="AD203" i="2"/>
  <c r="AE203" i="2"/>
  <c r="AF203" i="2"/>
  <c r="D204" i="2"/>
  <c r="F204" i="2"/>
  <c r="G204" i="2"/>
  <c r="I204" i="2"/>
  <c r="Z204" i="2"/>
  <c r="AA204" i="2"/>
  <c r="AB204" i="2"/>
  <c r="AC204" i="2"/>
  <c r="AD204" i="2"/>
  <c r="AE204" i="2"/>
  <c r="AF204" i="2"/>
  <c r="D205" i="2"/>
  <c r="F205" i="2"/>
  <c r="G205" i="2"/>
  <c r="I205" i="2"/>
  <c r="Z205" i="2"/>
  <c r="AA205" i="2"/>
  <c r="AB205" i="2"/>
  <c r="AC205" i="2"/>
  <c r="AD205" i="2"/>
  <c r="AE205" i="2"/>
  <c r="AF205" i="2"/>
  <c r="D206" i="2"/>
  <c r="F206" i="2"/>
  <c r="G206" i="2"/>
  <c r="Z206" i="2"/>
  <c r="AA206" i="2"/>
  <c r="AB206" i="2"/>
  <c r="AC206" i="2"/>
  <c r="AD206" i="2"/>
  <c r="AE206" i="2"/>
  <c r="AF206" i="2"/>
  <c r="D207" i="2"/>
  <c r="F207" i="2"/>
  <c r="G207" i="2"/>
  <c r="I207" i="2"/>
  <c r="Z207" i="2"/>
  <c r="AA207" i="2"/>
  <c r="AB207" i="2"/>
  <c r="AC207" i="2"/>
  <c r="AD207" i="2"/>
  <c r="AE207" i="2"/>
  <c r="AF207" i="2"/>
  <c r="D208" i="2"/>
  <c r="F208" i="2"/>
  <c r="G208" i="2"/>
  <c r="I208" i="2"/>
  <c r="Z208" i="2"/>
  <c r="AA208" i="2"/>
  <c r="AB208" i="2"/>
  <c r="AC208" i="2"/>
  <c r="AD208" i="2"/>
  <c r="AE208" i="2"/>
  <c r="AF208" i="2"/>
  <c r="D209" i="2"/>
  <c r="F209" i="2"/>
  <c r="G209" i="2"/>
  <c r="I209" i="2"/>
  <c r="Z209" i="2"/>
  <c r="AA209" i="2"/>
  <c r="AB209" i="2"/>
  <c r="AC209" i="2"/>
  <c r="AD209" i="2"/>
  <c r="AE209" i="2"/>
  <c r="AF209" i="2"/>
  <c r="D210" i="2"/>
  <c r="F210" i="2"/>
  <c r="G210" i="2"/>
  <c r="Z210" i="2"/>
  <c r="AA210" i="2"/>
  <c r="AB210" i="2"/>
  <c r="AC210" i="2"/>
  <c r="AD210" i="2"/>
  <c r="AE210" i="2"/>
  <c r="AF210" i="2"/>
  <c r="D211" i="2"/>
  <c r="F211" i="2"/>
  <c r="G211" i="2"/>
  <c r="I211" i="2"/>
  <c r="Z211" i="2"/>
  <c r="AA211" i="2"/>
  <c r="AB211" i="2"/>
  <c r="AC211" i="2"/>
  <c r="AD211" i="2"/>
  <c r="AE211" i="2"/>
  <c r="AF211" i="2"/>
  <c r="D212" i="2"/>
  <c r="F212" i="2"/>
  <c r="G212" i="2"/>
  <c r="I212" i="2"/>
  <c r="Z212" i="2"/>
  <c r="AA212" i="2"/>
  <c r="AB212" i="2"/>
  <c r="AC212" i="2"/>
  <c r="AD212" i="2"/>
  <c r="AE212" i="2"/>
  <c r="AF212" i="2"/>
  <c r="D213" i="2"/>
  <c r="F213" i="2"/>
  <c r="G213" i="2"/>
  <c r="I213" i="2"/>
  <c r="Z213" i="2"/>
  <c r="AA213" i="2"/>
  <c r="AB213" i="2"/>
  <c r="AC213" i="2"/>
  <c r="AD213" i="2"/>
  <c r="AE213" i="2"/>
  <c r="AF213" i="2"/>
  <c r="D214" i="2"/>
  <c r="F214" i="2"/>
  <c r="G214" i="2"/>
  <c r="Z214" i="2"/>
  <c r="AA214" i="2"/>
  <c r="AB214" i="2"/>
  <c r="AC214" i="2"/>
  <c r="AD214" i="2"/>
  <c r="AE214" i="2"/>
  <c r="AF214" i="2"/>
  <c r="D215" i="2"/>
  <c r="F215" i="2"/>
  <c r="G215" i="2"/>
  <c r="I215" i="2"/>
  <c r="Z215" i="2"/>
  <c r="AA215" i="2"/>
  <c r="AB215" i="2"/>
  <c r="AC215" i="2"/>
  <c r="AD215" i="2"/>
  <c r="AE215" i="2"/>
  <c r="AF215" i="2"/>
  <c r="D216" i="2"/>
  <c r="F216" i="2"/>
  <c r="G216" i="2"/>
  <c r="I216" i="2"/>
  <c r="Z216" i="2"/>
  <c r="AA216" i="2"/>
  <c r="AB216" i="2"/>
  <c r="AC216" i="2"/>
  <c r="AD216" i="2"/>
  <c r="AE216" i="2"/>
  <c r="AF216" i="2"/>
  <c r="D217" i="2"/>
  <c r="F217" i="2"/>
  <c r="G217" i="2"/>
  <c r="I217" i="2"/>
  <c r="Z217" i="2"/>
  <c r="AA217" i="2"/>
  <c r="AB217" i="2"/>
  <c r="AC217" i="2"/>
  <c r="AD217" i="2"/>
  <c r="AE217" i="2"/>
  <c r="AF217" i="2"/>
  <c r="D218" i="2"/>
  <c r="F218" i="2"/>
  <c r="G218" i="2"/>
  <c r="Z218" i="2"/>
  <c r="AA218" i="2"/>
  <c r="AB218" i="2"/>
  <c r="AC218" i="2"/>
  <c r="AD218" i="2"/>
  <c r="AE218" i="2"/>
  <c r="AF218" i="2"/>
  <c r="D219" i="2"/>
  <c r="F219" i="2"/>
  <c r="G219" i="2"/>
  <c r="I219" i="2"/>
  <c r="Z219" i="2"/>
  <c r="AA219" i="2"/>
  <c r="AB219" i="2"/>
  <c r="AC219" i="2"/>
  <c r="AD219" i="2"/>
  <c r="AE219" i="2"/>
  <c r="AF219" i="2"/>
  <c r="D220" i="2"/>
  <c r="F220" i="2"/>
  <c r="G220" i="2"/>
  <c r="I220" i="2"/>
  <c r="Z220" i="2"/>
  <c r="AA220" i="2"/>
  <c r="AB220" i="2"/>
  <c r="AC220" i="2"/>
  <c r="AD220" i="2"/>
  <c r="AE220" i="2"/>
  <c r="AF220" i="2"/>
  <c r="D221" i="2"/>
  <c r="F221" i="2"/>
  <c r="G221" i="2"/>
  <c r="I221" i="2"/>
  <c r="Z221" i="2"/>
  <c r="AA221" i="2"/>
  <c r="AB221" i="2"/>
  <c r="AC221" i="2"/>
  <c r="AD221" i="2"/>
  <c r="AE221" i="2"/>
  <c r="AF221" i="2"/>
  <c r="D222" i="2"/>
  <c r="F222" i="2"/>
  <c r="G222" i="2"/>
  <c r="Z222" i="2"/>
  <c r="AA222" i="2"/>
  <c r="AB222" i="2"/>
  <c r="AC222" i="2"/>
  <c r="AD222" i="2"/>
  <c r="AE222" i="2"/>
  <c r="AF222" i="2"/>
  <c r="D223" i="2"/>
  <c r="F223" i="2"/>
  <c r="G223" i="2"/>
  <c r="I223" i="2"/>
  <c r="Z223" i="2"/>
  <c r="AA223" i="2"/>
  <c r="AB223" i="2"/>
  <c r="AC223" i="2"/>
  <c r="AD223" i="2"/>
  <c r="AE223" i="2"/>
  <c r="AF223" i="2"/>
  <c r="D224" i="2"/>
  <c r="F224" i="2"/>
  <c r="G224" i="2"/>
  <c r="I224" i="2"/>
  <c r="Z224" i="2"/>
  <c r="AA224" i="2"/>
  <c r="AB224" i="2"/>
  <c r="AC224" i="2"/>
  <c r="AD224" i="2"/>
  <c r="AE224" i="2"/>
  <c r="AF224" i="2"/>
  <c r="D225" i="2"/>
  <c r="F225" i="2"/>
  <c r="G225" i="2"/>
  <c r="I225" i="2"/>
  <c r="Z225" i="2"/>
  <c r="AA225" i="2"/>
  <c r="AB225" i="2"/>
  <c r="AC225" i="2"/>
  <c r="AD225" i="2"/>
  <c r="AE225" i="2"/>
  <c r="AF225" i="2"/>
  <c r="D226" i="2"/>
  <c r="F226" i="2"/>
  <c r="G226" i="2"/>
  <c r="Z226" i="2"/>
  <c r="AA226" i="2"/>
  <c r="AB226" i="2"/>
  <c r="AC226" i="2"/>
  <c r="AD226" i="2"/>
  <c r="AE226" i="2"/>
  <c r="AF226" i="2"/>
  <c r="D227" i="2"/>
  <c r="F227" i="2"/>
  <c r="G227" i="2"/>
  <c r="I227" i="2"/>
  <c r="Z227" i="2"/>
  <c r="AA227" i="2"/>
  <c r="AB227" i="2"/>
  <c r="AC227" i="2"/>
  <c r="AD227" i="2"/>
  <c r="AE227" i="2"/>
  <c r="AF227" i="2"/>
  <c r="D228" i="2"/>
  <c r="F228" i="2"/>
  <c r="G228" i="2"/>
  <c r="I228" i="2"/>
  <c r="Z228" i="2"/>
  <c r="AA228" i="2"/>
  <c r="AB228" i="2"/>
  <c r="AC228" i="2"/>
  <c r="AD228" i="2"/>
  <c r="AE228" i="2"/>
  <c r="AF228" i="2"/>
  <c r="D229" i="2"/>
  <c r="F229" i="2"/>
  <c r="G229" i="2"/>
  <c r="I229" i="2"/>
  <c r="Z229" i="2"/>
  <c r="AA229" i="2"/>
  <c r="AB229" i="2"/>
  <c r="AC229" i="2"/>
  <c r="AD229" i="2"/>
  <c r="AE229" i="2"/>
  <c r="AF229" i="2"/>
  <c r="D230" i="2"/>
  <c r="F230" i="2"/>
  <c r="G230" i="2"/>
  <c r="Z230" i="2"/>
  <c r="AA230" i="2"/>
  <c r="AB230" i="2"/>
  <c r="AC230" i="2"/>
  <c r="AD230" i="2"/>
  <c r="AE230" i="2"/>
  <c r="AF230" i="2"/>
  <c r="D231" i="2"/>
  <c r="F231" i="2"/>
  <c r="G231" i="2"/>
  <c r="I231" i="2"/>
  <c r="Z231" i="2"/>
  <c r="AA231" i="2"/>
  <c r="AB231" i="2"/>
  <c r="AC231" i="2"/>
  <c r="AD231" i="2"/>
  <c r="AE231" i="2"/>
  <c r="AF231" i="2"/>
  <c r="D232" i="2"/>
  <c r="F232" i="2"/>
  <c r="G232" i="2"/>
  <c r="I232" i="2"/>
  <c r="Z232" i="2"/>
  <c r="AA232" i="2"/>
  <c r="AB232" i="2"/>
  <c r="AC232" i="2"/>
  <c r="AD232" i="2"/>
  <c r="AE232" i="2"/>
  <c r="AF232" i="2"/>
  <c r="D233" i="2"/>
  <c r="F233" i="2"/>
  <c r="G233" i="2"/>
  <c r="I233" i="2"/>
  <c r="Z233" i="2"/>
  <c r="AA233" i="2"/>
  <c r="AB233" i="2"/>
  <c r="AC233" i="2"/>
  <c r="AD233" i="2"/>
  <c r="AE233" i="2"/>
  <c r="AF233" i="2"/>
  <c r="D234" i="2"/>
  <c r="F234" i="2"/>
  <c r="G234" i="2"/>
  <c r="Z234" i="2"/>
  <c r="AA234" i="2"/>
  <c r="AB234" i="2"/>
  <c r="AC234" i="2"/>
  <c r="AD234" i="2"/>
  <c r="AE234" i="2"/>
  <c r="AF234" i="2"/>
  <c r="D235" i="2"/>
  <c r="F235" i="2"/>
  <c r="G235" i="2"/>
  <c r="I235" i="2"/>
  <c r="Z235" i="2"/>
  <c r="AA235" i="2"/>
  <c r="AB235" i="2"/>
  <c r="AC235" i="2"/>
  <c r="AD235" i="2"/>
  <c r="AE235" i="2"/>
  <c r="AF235" i="2"/>
  <c r="D236" i="2"/>
  <c r="F236" i="2"/>
  <c r="G236" i="2"/>
  <c r="I236" i="2"/>
  <c r="Z236" i="2"/>
  <c r="AA236" i="2"/>
  <c r="AB236" i="2"/>
  <c r="AC236" i="2"/>
  <c r="AD236" i="2"/>
  <c r="AE236" i="2"/>
  <c r="AF236" i="2"/>
  <c r="D237" i="2"/>
  <c r="F237" i="2"/>
  <c r="G237" i="2"/>
  <c r="I237" i="2"/>
  <c r="Z237" i="2"/>
  <c r="AA237" i="2"/>
  <c r="AB237" i="2"/>
  <c r="AC237" i="2"/>
  <c r="AD237" i="2"/>
  <c r="AE237" i="2"/>
  <c r="AF237" i="2"/>
  <c r="D238" i="2"/>
  <c r="F238" i="2"/>
  <c r="G238" i="2"/>
  <c r="Z238" i="2"/>
  <c r="AA238" i="2"/>
  <c r="AB238" i="2"/>
  <c r="AC238" i="2"/>
  <c r="AD238" i="2"/>
  <c r="AE238" i="2"/>
  <c r="AF238" i="2"/>
  <c r="D239" i="2"/>
  <c r="F239" i="2"/>
  <c r="G239" i="2"/>
  <c r="I239" i="2"/>
  <c r="Z239" i="2"/>
  <c r="AA239" i="2"/>
  <c r="AB239" i="2"/>
  <c r="AC239" i="2"/>
  <c r="AD239" i="2"/>
  <c r="AE239" i="2"/>
  <c r="AF239" i="2"/>
  <c r="D240" i="2"/>
  <c r="F240" i="2"/>
  <c r="G240" i="2"/>
  <c r="I240" i="2"/>
  <c r="Z240" i="2"/>
  <c r="AA240" i="2"/>
  <c r="AB240" i="2"/>
  <c r="AC240" i="2"/>
  <c r="AD240" i="2"/>
  <c r="AE240" i="2"/>
  <c r="AF240" i="2"/>
  <c r="D241" i="2"/>
  <c r="F241" i="2"/>
  <c r="G241" i="2"/>
  <c r="I241" i="2"/>
  <c r="Z241" i="2"/>
  <c r="AA241" i="2"/>
  <c r="AB241" i="2"/>
  <c r="AC241" i="2"/>
  <c r="AD241" i="2"/>
  <c r="AE241" i="2"/>
  <c r="AF241" i="2"/>
  <c r="D242" i="2"/>
  <c r="F242" i="2"/>
  <c r="G242" i="2"/>
  <c r="Z242" i="2"/>
  <c r="AA242" i="2"/>
  <c r="AB242" i="2"/>
  <c r="AC242" i="2"/>
  <c r="AD242" i="2"/>
  <c r="AE242" i="2"/>
  <c r="AF242" i="2"/>
  <c r="D243" i="2"/>
  <c r="F243" i="2"/>
  <c r="G243" i="2"/>
  <c r="I243" i="2"/>
  <c r="Z243" i="2"/>
  <c r="AA243" i="2"/>
  <c r="AB243" i="2"/>
  <c r="AC243" i="2"/>
  <c r="AD243" i="2"/>
  <c r="AE243" i="2"/>
  <c r="AF243" i="2"/>
  <c r="D244" i="2"/>
  <c r="F244" i="2"/>
  <c r="G244" i="2"/>
  <c r="I244" i="2"/>
  <c r="Z244" i="2"/>
  <c r="AA244" i="2"/>
  <c r="AB244" i="2"/>
  <c r="AC244" i="2"/>
  <c r="AD244" i="2"/>
  <c r="AE244" i="2"/>
  <c r="AF244" i="2"/>
  <c r="D245" i="2"/>
  <c r="F245" i="2"/>
  <c r="G245" i="2"/>
  <c r="I245" i="2"/>
  <c r="Z245" i="2"/>
  <c r="AA245" i="2"/>
  <c r="AB245" i="2"/>
  <c r="AC245" i="2"/>
  <c r="AD245" i="2"/>
  <c r="AE245" i="2"/>
  <c r="AF245" i="2"/>
  <c r="D246" i="2"/>
  <c r="F246" i="2"/>
  <c r="G246" i="2"/>
  <c r="Z246" i="2"/>
  <c r="AA246" i="2"/>
  <c r="AB246" i="2"/>
  <c r="AC246" i="2"/>
  <c r="AD246" i="2"/>
  <c r="AE246" i="2"/>
  <c r="AF246" i="2"/>
  <c r="D247" i="2"/>
  <c r="F247" i="2"/>
  <c r="G247" i="2"/>
  <c r="I247" i="2"/>
  <c r="Z247" i="2"/>
  <c r="AA247" i="2"/>
  <c r="AB247" i="2"/>
  <c r="AC247" i="2"/>
  <c r="AD247" i="2"/>
  <c r="AE247" i="2"/>
  <c r="AF247" i="2"/>
  <c r="D248" i="2"/>
  <c r="F248" i="2"/>
  <c r="G248" i="2"/>
  <c r="I248" i="2"/>
  <c r="Z248" i="2"/>
  <c r="AA248" i="2"/>
  <c r="AB248" i="2"/>
  <c r="AC248" i="2"/>
  <c r="AD248" i="2"/>
  <c r="AE248" i="2"/>
  <c r="AF248" i="2"/>
  <c r="D249" i="2"/>
  <c r="F249" i="2"/>
  <c r="G249" i="2"/>
  <c r="I249" i="2"/>
  <c r="Z249" i="2"/>
  <c r="AA249" i="2"/>
  <c r="AB249" i="2"/>
  <c r="AC249" i="2"/>
  <c r="AD249" i="2"/>
  <c r="AE249" i="2"/>
  <c r="AF249" i="2"/>
  <c r="D250" i="2"/>
  <c r="F250" i="2"/>
  <c r="G250" i="2"/>
  <c r="Z250" i="2"/>
  <c r="AA250" i="2"/>
  <c r="AB250" i="2"/>
  <c r="AC250" i="2"/>
  <c r="AD250" i="2"/>
  <c r="AE250" i="2"/>
  <c r="AF250" i="2"/>
  <c r="D251" i="2"/>
  <c r="F251" i="2"/>
  <c r="G251" i="2"/>
  <c r="I251" i="2"/>
  <c r="Z251" i="2"/>
  <c r="AA251" i="2"/>
  <c r="AB251" i="2"/>
  <c r="AC251" i="2"/>
  <c r="AD251" i="2"/>
  <c r="AE251" i="2"/>
  <c r="AF251" i="2"/>
  <c r="D252" i="2"/>
  <c r="F252" i="2"/>
  <c r="G252" i="2"/>
  <c r="I252" i="2"/>
  <c r="Z252" i="2"/>
  <c r="AA252" i="2"/>
  <c r="AB252" i="2"/>
  <c r="AC252" i="2"/>
  <c r="AD252" i="2"/>
  <c r="AE252" i="2"/>
  <c r="AF252" i="2"/>
  <c r="D253" i="2"/>
  <c r="F253" i="2"/>
  <c r="G253" i="2"/>
  <c r="I253" i="2"/>
  <c r="Z253" i="2"/>
  <c r="AA253" i="2"/>
  <c r="AB253" i="2"/>
  <c r="AC253" i="2"/>
  <c r="AD253" i="2"/>
  <c r="AE253" i="2"/>
  <c r="AF253" i="2"/>
  <c r="D254" i="2"/>
  <c r="F254" i="2"/>
  <c r="G254" i="2"/>
  <c r="Z254" i="2"/>
  <c r="AA254" i="2"/>
  <c r="AB254" i="2"/>
  <c r="AC254" i="2"/>
  <c r="AD254" i="2"/>
  <c r="AE254" i="2"/>
  <c r="AF254" i="2"/>
  <c r="D255" i="2"/>
  <c r="F255" i="2"/>
  <c r="G255" i="2"/>
  <c r="I255" i="2"/>
  <c r="Z255" i="2"/>
  <c r="AA255" i="2"/>
  <c r="AB255" i="2"/>
  <c r="AC255" i="2"/>
  <c r="AD255" i="2"/>
  <c r="AE255" i="2"/>
  <c r="AF255" i="2"/>
  <c r="D256" i="2"/>
  <c r="F256" i="2"/>
  <c r="G256" i="2"/>
  <c r="I256" i="2"/>
  <c r="Z256" i="2"/>
  <c r="AA256" i="2"/>
  <c r="AB256" i="2"/>
  <c r="AC256" i="2"/>
  <c r="AD256" i="2"/>
  <c r="AE256" i="2"/>
  <c r="AF256" i="2"/>
  <c r="D257" i="2"/>
  <c r="F257" i="2"/>
  <c r="G257" i="2"/>
  <c r="I257" i="2"/>
  <c r="Z257" i="2"/>
  <c r="AA257" i="2"/>
  <c r="AB257" i="2"/>
  <c r="AC257" i="2"/>
  <c r="AD257" i="2"/>
  <c r="AE257" i="2"/>
  <c r="AF257" i="2"/>
  <c r="D258" i="2"/>
  <c r="F258" i="2"/>
  <c r="G258" i="2"/>
  <c r="Z258" i="2"/>
  <c r="AA258" i="2"/>
  <c r="AB258" i="2"/>
  <c r="AC258" i="2"/>
  <c r="AD258" i="2"/>
  <c r="AE258" i="2"/>
  <c r="AF258" i="2"/>
  <c r="D259" i="2"/>
  <c r="F259" i="2"/>
  <c r="G259" i="2"/>
  <c r="I259" i="2"/>
  <c r="Z259" i="2"/>
  <c r="AA259" i="2"/>
  <c r="AB259" i="2"/>
  <c r="AC259" i="2"/>
  <c r="AD259" i="2"/>
  <c r="AE259" i="2"/>
  <c r="AF259" i="2"/>
  <c r="D260" i="2"/>
  <c r="F260" i="2"/>
  <c r="G260" i="2"/>
  <c r="I260" i="2"/>
  <c r="Z260" i="2"/>
  <c r="AA260" i="2"/>
  <c r="AB260" i="2"/>
  <c r="AC260" i="2"/>
  <c r="AD260" i="2"/>
  <c r="AE260" i="2"/>
  <c r="AF260" i="2"/>
  <c r="D261" i="2"/>
  <c r="F261" i="2"/>
  <c r="G261" i="2"/>
  <c r="I261" i="2"/>
  <c r="Z261" i="2"/>
  <c r="AA261" i="2"/>
  <c r="AB261" i="2"/>
  <c r="AC261" i="2"/>
  <c r="AD261" i="2"/>
  <c r="AE261" i="2"/>
  <c r="AF261" i="2"/>
  <c r="D262" i="2"/>
  <c r="F262" i="2"/>
  <c r="G262" i="2"/>
  <c r="Z262" i="2"/>
  <c r="AA262" i="2"/>
  <c r="AB262" i="2"/>
  <c r="AC262" i="2"/>
  <c r="AD262" i="2"/>
  <c r="AE262" i="2"/>
  <c r="AF262" i="2"/>
  <c r="D263" i="2"/>
  <c r="F263" i="2"/>
  <c r="G263" i="2"/>
  <c r="I263" i="2"/>
  <c r="Z263" i="2"/>
  <c r="AA263" i="2"/>
  <c r="AB263" i="2"/>
  <c r="AC263" i="2"/>
  <c r="AD263" i="2"/>
  <c r="AE263" i="2"/>
  <c r="AF263" i="2"/>
  <c r="D264" i="2"/>
  <c r="F264" i="2"/>
  <c r="G264" i="2"/>
  <c r="I264" i="2"/>
  <c r="Z264" i="2"/>
  <c r="AA264" i="2"/>
  <c r="AB264" i="2"/>
  <c r="AC264" i="2"/>
  <c r="AD264" i="2"/>
  <c r="AE264" i="2"/>
  <c r="AF264" i="2"/>
  <c r="D265" i="2"/>
  <c r="F265" i="2"/>
  <c r="G265" i="2"/>
  <c r="I265" i="2"/>
  <c r="Z265" i="2"/>
  <c r="AA265" i="2"/>
  <c r="AB265" i="2"/>
  <c r="AC265" i="2"/>
  <c r="AD265" i="2"/>
  <c r="AE265" i="2"/>
  <c r="AF265" i="2"/>
  <c r="D266" i="2"/>
  <c r="F266" i="2"/>
  <c r="G266" i="2"/>
  <c r="Z266" i="2"/>
  <c r="AA266" i="2"/>
  <c r="AB266" i="2"/>
  <c r="AC266" i="2"/>
  <c r="AD266" i="2"/>
  <c r="AE266" i="2"/>
  <c r="AF266" i="2"/>
  <c r="D267" i="2"/>
  <c r="F267" i="2"/>
  <c r="G267" i="2"/>
  <c r="I267" i="2"/>
  <c r="Z267" i="2"/>
  <c r="AA267" i="2"/>
  <c r="AB267" i="2"/>
  <c r="AC267" i="2"/>
  <c r="AD267" i="2"/>
  <c r="AE267" i="2"/>
  <c r="AF267" i="2"/>
  <c r="D268" i="2"/>
  <c r="F268" i="2"/>
  <c r="G268" i="2"/>
  <c r="I268" i="2"/>
  <c r="Z268" i="2"/>
  <c r="AA268" i="2"/>
  <c r="AB268" i="2"/>
  <c r="AC268" i="2"/>
  <c r="AD268" i="2"/>
  <c r="AE268" i="2"/>
  <c r="AF268" i="2"/>
  <c r="D269" i="2"/>
  <c r="F269" i="2"/>
  <c r="G269" i="2"/>
  <c r="I269" i="2"/>
  <c r="Z269" i="2"/>
  <c r="AA269" i="2"/>
  <c r="AB269" i="2"/>
  <c r="AC269" i="2"/>
  <c r="AD269" i="2"/>
  <c r="AE269" i="2"/>
  <c r="AF269" i="2"/>
  <c r="D270" i="2"/>
  <c r="F270" i="2"/>
  <c r="G270" i="2"/>
  <c r="Z270" i="2"/>
  <c r="AA270" i="2"/>
  <c r="AB270" i="2"/>
  <c r="AC270" i="2"/>
  <c r="AD270" i="2"/>
  <c r="AE270" i="2"/>
  <c r="AF270" i="2"/>
  <c r="D271" i="2"/>
  <c r="F271" i="2"/>
  <c r="G271" i="2"/>
  <c r="I271" i="2"/>
  <c r="Z271" i="2"/>
  <c r="AA271" i="2"/>
  <c r="AB271" i="2"/>
  <c r="AC271" i="2"/>
  <c r="AD271" i="2"/>
  <c r="AE271" i="2"/>
  <c r="AF271" i="2"/>
  <c r="D272" i="2"/>
  <c r="F272" i="2"/>
  <c r="G272" i="2"/>
  <c r="I272" i="2"/>
  <c r="Z272" i="2"/>
  <c r="AA272" i="2"/>
  <c r="AB272" i="2"/>
  <c r="AC272" i="2"/>
  <c r="AD272" i="2"/>
  <c r="AE272" i="2"/>
  <c r="AF272" i="2"/>
  <c r="D273" i="2"/>
  <c r="F273" i="2"/>
  <c r="G273" i="2"/>
  <c r="I273" i="2"/>
  <c r="Z273" i="2"/>
  <c r="AA273" i="2"/>
  <c r="AB273" i="2"/>
  <c r="AC273" i="2"/>
  <c r="AD273" i="2"/>
  <c r="AE273" i="2"/>
  <c r="AF273" i="2"/>
  <c r="D274" i="2"/>
  <c r="F274" i="2"/>
  <c r="G274" i="2"/>
  <c r="Z274" i="2"/>
  <c r="AA274" i="2"/>
  <c r="AB274" i="2"/>
  <c r="AC274" i="2"/>
  <c r="AD274" i="2"/>
  <c r="AE274" i="2"/>
  <c r="AF274" i="2"/>
  <c r="D275" i="2"/>
  <c r="F275" i="2"/>
  <c r="G275" i="2"/>
  <c r="I275" i="2"/>
  <c r="Z275" i="2"/>
  <c r="AA275" i="2"/>
  <c r="AB275" i="2"/>
  <c r="AC275" i="2"/>
  <c r="AD275" i="2"/>
  <c r="AE275" i="2"/>
  <c r="AF275" i="2"/>
  <c r="D276" i="2"/>
  <c r="F276" i="2"/>
  <c r="G276" i="2"/>
  <c r="I276" i="2"/>
  <c r="Z276" i="2"/>
  <c r="AA276" i="2"/>
  <c r="AB276" i="2"/>
  <c r="AC276" i="2"/>
  <c r="AD276" i="2"/>
  <c r="AE276" i="2"/>
  <c r="AF276" i="2"/>
  <c r="D277" i="2"/>
  <c r="F277" i="2"/>
  <c r="G277" i="2"/>
  <c r="I277" i="2"/>
  <c r="Z277" i="2"/>
  <c r="AA277" i="2"/>
  <c r="AB277" i="2"/>
  <c r="AC277" i="2"/>
  <c r="AD277" i="2"/>
  <c r="AE277" i="2"/>
  <c r="AF277" i="2"/>
  <c r="D278" i="2"/>
  <c r="F278" i="2"/>
  <c r="G278" i="2"/>
  <c r="Z278" i="2"/>
  <c r="AA278" i="2"/>
  <c r="AB278" i="2"/>
  <c r="AC278" i="2"/>
  <c r="AD278" i="2"/>
  <c r="AE278" i="2"/>
  <c r="AF278" i="2"/>
  <c r="D279" i="2"/>
  <c r="F279" i="2"/>
  <c r="G279" i="2"/>
  <c r="I279" i="2"/>
  <c r="Z279" i="2"/>
  <c r="AA279" i="2"/>
  <c r="AB279" i="2"/>
  <c r="AC279" i="2"/>
  <c r="AD279" i="2"/>
  <c r="AE279" i="2"/>
  <c r="AF279" i="2"/>
  <c r="D280" i="2"/>
  <c r="F280" i="2"/>
  <c r="G280" i="2"/>
  <c r="I280" i="2"/>
  <c r="Z280" i="2"/>
  <c r="AA280" i="2"/>
  <c r="AB280" i="2"/>
  <c r="AC280" i="2"/>
  <c r="AD280" i="2"/>
  <c r="AE280" i="2"/>
  <c r="AF280" i="2"/>
  <c r="D281" i="2"/>
  <c r="F281" i="2"/>
  <c r="G281" i="2"/>
  <c r="I281" i="2"/>
  <c r="Z281" i="2"/>
  <c r="AA281" i="2"/>
  <c r="AB281" i="2"/>
  <c r="AC281" i="2"/>
  <c r="AD281" i="2"/>
  <c r="AE281" i="2"/>
  <c r="AF281" i="2"/>
  <c r="D282" i="2"/>
  <c r="F282" i="2"/>
  <c r="G282" i="2"/>
  <c r="Z282" i="2"/>
  <c r="AA282" i="2"/>
  <c r="AB282" i="2"/>
  <c r="AC282" i="2"/>
  <c r="AD282" i="2"/>
  <c r="AE282" i="2"/>
  <c r="AF282" i="2"/>
  <c r="D283" i="2"/>
  <c r="F283" i="2"/>
  <c r="G283" i="2"/>
  <c r="I283" i="2"/>
  <c r="Z283" i="2"/>
  <c r="AA283" i="2"/>
  <c r="AB283" i="2"/>
  <c r="AC283" i="2"/>
  <c r="AD283" i="2"/>
  <c r="AE283" i="2"/>
  <c r="AF283" i="2"/>
  <c r="D284" i="2"/>
  <c r="F284" i="2"/>
  <c r="G284" i="2"/>
  <c r="I284" i="2"/>
  <c r="Z284" i="2"/>
  <c r="AA284" i="2"/>
  <c r="AB284" i="2"/>
  <c r="AC284" i="2"/>
  <c r="AD284" i="2"/>
  <c r="AE284" i="2"/>
  <c r="AF284" i="2"/>
  <c r="D285" i="2"/>
  <c r="F285" i="2"/>
  <c r="G285" i="2"/>
  <c r="I285" i="2"/>
  <c r="Z285" i="2"/>
  <c r="AA285" i="2"/>
  <c r="AB285" i="2"/>
  <c r="AC285" i="2"/>
  <c r="AD285" i="2"/>
  <c r="AE285" i="2"/>
  <c r="AF285" i="2"/>
  <c r="D286" i="2"/>
  <c r="F286" i="2"/>
  <c r="G286" i="2"/>
  <c r="Z286" i="2"/>
  <c r="AA286" i="2"/>
  <c r="AB286" i="2"/>
  <c r="AC286" i="2"/>
  <c r="AD286" i="2"/>
  <c r="AE286" i="2"/>
  <c r="AF286" i="2"/>
  <c r="D287" i="2"/>
  <c r="F287" i="2"/>
  <c r="G287" i="2"/>
  <c r="I287" i="2"/>
  <c r="Z287" i="2"/>
  <c r="AA287" i="2"/>
  <c r="AB287" i="2"/>
  <c r="AC287" i="2"/>
  <c r="AD287" i="2"/>
  <c r="AE287" i="2"/>
  <c r="AF287" i="2"/>
  <c r="D288" i="2"/>
  <c r="F288" i="2"/>
  <c r="G288" i="2"/>
  <c r="I288" i="2"/>
  <c r="Z288" i="2"/>
  <c r="AA288" i="2"/>
  <c r="AB288" i="2"/>
  <c r="AC288" i="2"/>
  <c r="AD288" i="2"/>
  <c r="AE288" i="2"/>
  <c r="AF288" i="2"/>
  <c r="D289" i="2"/>
  <c r="F289" i="2"/>
  <c r="G289" i="2"/>
  <c r="I289" i="2"/>
  <c r="Z289" i="2"/>
  <c r="AA289" i="2"/>
  <c r="AB289" i="2"/>
  <c r="AC289" i="2"/>
  <c r="AD289" i="2"/>
  <c r="AE289" i="2"/>
  <c r="AF289" i="2"/>
  <c r="D290" i="2"/>
  <c r="F290" i="2"/>
  <c r="G290" i="2"/>
  <c r="Z290" i="2"/>
  <c r="AA290" i="2"/>
  <c r="AB290" i="2"/>
  <c r="AC290" i="2"/>
  <c r="AD290" i="2"/>
  <c r="AE290" i="2"/>
  <c r="AF290" i="2"/>
  <c r="D291" i="2"/>
  <c r="F291" i="2"/>
  <c r="G291" i="2"/>
  <c r="I291" i="2"/>
  <c r="Z291" i="2"/>
  <c r="AA291" i="2"/>
  <c r="AB291" i="2"/>
  <c r="AC291" i="2"/>
  <c r="AD291" i="2"/>
  <c r="AE291" i="2"/>
  <c r="AF291" i="2"/>
  <c r="D292" i="2"/>
  <c r="F292" i="2"/>
  <c r="G292" i="2"/>
  <c r="I292" i="2"/>
  <c r="Z292" i="2"/>
  <c r="AA292" i="2"/>
  <c r="AB292" i="2"/>
  <c r="AC292" i="2"/>
  <c r="AD292" i="2"/>
  <c r="AE292" i="2"/>
  <c r="AF292" i="2"/>
  <c r="D293" i="2"/>
  <c r="F293" i="2"/>
  <c r="G293" i="2"/>
  <c r="I293" i="2"/>
  <c r="Z293" i="2"/>
  <c r="AA293" i="2"/>
  <c r="AB293" i="2"/>
  <c r="AC293" i="2"/>
  <c r="AD293" i="2"/>
  <c r="AE293" i="2"/>
  <c r="AF293" i="2"/>
  <c r="D294" i="2"/>
  <c r="F294" i="2"/>
  <c r="G294" i="2"/>
  <c r="Z294" i="2"/>
  <c r="AA294" i="2"/>
  <c r="AB294" i="2"/>
  <c r="AC294" i="2"/>
  <c r="AD294" i="2"/>
  <c r="AE294" i="2"/>
  <c r="AF294" i="2"/>
  <c r="D295" i="2"/>
  <c r="F295" i="2"/>
  <c r="G295" i="2"/>
  <c r="I295" i="2"/>
  <c r="Z295" i="2"/>
  <c r="AA295" i="2"/>
  <c r="AB295" i="2"/>
  <c r="AC295" i="2"/>
  <c r="AD295" i="2"/>
  <c r="AE295" i="2"/>
  <c r="AF295" i="2"/>
  <c r="D296" i="2"/>
  <c r="F296" i="2"/>
  <c r="G296" i="2"/>
  <c r="I296" i="2"/>
  <c r="Z296" i="2"/>
  <c r="AA296" i="2"/>
  <c r="AB296" i="2"/>
  <c r="AC296" i="2"/>
  <c r="AD296" i="2"/>
  <c r="AE296" i="2"/>
  <c r="AF296" i="2"/>
  <c r="D297" i="2"/>
  <c r="F297" i="2"/>
  <c r="G297" i="2"/>
  <c r="I297" i="2"/>
  <c r="Z297" i="2"/>
  <c r="AA297" i="2"/>
  <c r="AB297" i="2"/>
  <c r="AC297" i="2"/>
  <c r="AD297" i="2"/>
  <c r="AE297" i="2"/>
  <c r="AF297" i="2"/>
  <c r="D298" i="2"/>
  <c r="F298" i="2"/>
  <c r="G298" i="2"/>
  <c r="Z298" i="2"/>
  <c r="AA298" i="2"/>
  <c r="AB298" i="2"/>
  <c r="AC298" i="2"/>
  <c r="AD298" i="2"/>
  <c r="AE298" i="2"/>
  <c r="AF298" i="2"/>
  <c r="D299" i="2"/>
  <c r="F299" i="2"/>
  <c r="G299" i="2"/>
  <c r="I299" i="2"/>
  <c r="Z299" i="2"/>
  <c r="AA299" i="2"/>
  <c r="AB299" i="2"/>
  <c r="AC299" i="2"/>
  <c r="AD299" i="2"/>
  <c r="AE299" i="2"/>
  <c r="AF299" i="2"/>
  <c r="D300" i="2"/>
  <c r="F300" i="2"/>
  <c r="G300" i="2"/>
  <c r="I300" i="2"/>
  <c r="Z300" i="2"/>
  <c r="AA300" i="2"/>
  <c r="AB300" i="2"/>
  <c r="AC300" i="2"/>
  <c r="AD300" i="2"/>
  <c r="AE300" i="2"/>
  <c r="AF300" i="2"/>
  <c r="D301" i="2"/>
  <c r="F301" i="2"/>
  <c r="G301" i="2"/>
  <c r="I301" i="2"/>
  <c r="Z301" i="2"/>
  <c r="AA301" i="2"/>
  <c r="AB301" i="2"/>
  <c r="AC301" i="2"/>
  <c r="AD301" i="2"/>
  <c r="AE301" i="2"/>
  <c r="AF301" i="2"/>
  <c r="D302" i="2"/>
  <c r="F302" i="2"/>
  <c r="G302" i="2"/>
  <c r="Z302" i="2"/>
  <c r="AA302" i="2"/>
  <c r="AB302" i="2"/>
  <c r="AC302" i="2"/>
  <c r="AD302" i="2"/>
  <c r="AE302" i="2"/>
  <c r="AF302" i="2"/>
  <c r="D303" i="2"/>
  <c r="F303" i="2"/>
  <c r="G303" i="2"/>
  <c r="I303" i="2"/>
  <c r="Z303" i="2"/>
  <c r="AA303" i="2"/>
  <c r="AB303" i="2"/>
  <c r="AC303" i="2"/>
  <c r="AD303" i="2"/>
  <c r="AE303" i="2"/>
  <c r="AF303" i="2"/>
  <c r="D304" i="2"/>
  <c r="F304" i="2"/>
  <c r="G304" i="2"/>
  <c r="I304" i="2"/>
  <c r="Z304" i="2"/>
  <c r="AA304" i="2"/>
  <c r="AB304" i="2"/>
  <c r="AC304" i="2"/>
  <c r="AD304" i="2"/>
  <c r="AE304" i="2"/>
  <c r="AF304" i="2"/>
  <c r="D305" i="2"/>
  <c r="F305" i="2"/>
  <c r="G305" i="2"/>
  <c r="I305" i="2"/>
  <c r="Z305" i="2"/>
  <c r="AA305" i="2"/>
  <c r="AB305" i="2"/>
  <c r="AC305" i="2"/>
  <c r="AD305" i="2"/>
  <c r="AE305" i="2"/>
  <c r="AF305" i="2"/>
  <c r="D306" i="2"/>
  <c r="F306" i="2"/>
  <c r="G306" i="2"/>
  <c r="Z306" i="2"/>
  <c r="AA306" i="2"/>
  <c r="AB306" i="2"/>
  <c r="AC306" i="2"/>
  <c r="AD306" i="2"/>
  <c r="AE306" i="2"/>
  <c r="AF306" i="2"/>
  <c r="D307" i="2"/>
  <c r="F307" i="2"/>
  <c r="G307" i="2"/>
  <c r="I307" i="2"/>
  <c r="Z307" i="2"/>
  <c r="AA307" i="2"/>
  <c r="AB307" i="2"/>
  <c r="AC307" i="2"/>
  <c r="AD307" i="2"/>
  <c r="AE307" i="2"/>
  <c r="AF307" i="2"/>
  <c r="D308" i="2"/>
  <c r="F308" i="2"/>
  <c r="G308" i="2"/>
  <c r="I308" i="2"/>
  <c r="Z308" i="2"/>
  <c r="AA308" i="2"/>
  <c r="AB308" i="2"/>
  <c r="AC308" i="2"/>
  <c r="AD308" i="2"/>
  <c r="AE308" i="2"/>
  <c r="AF308" i="2"/>
  <c r="D309" i="2"/>
  <c r="F309" i="2"/>
  <c r="G309" i="2"/>
  <c r="I309" i="2"/>
  <c r="Z309" i="2"/>
  <c r="AA309" i="2"/>
  <c r="AB309" i="2"/>
  <c r="AC309" i="2"/>
  <c r="AD309" i="2"/>
  <c r="AE309" i="2"/>
  <c r="AF309" i="2"/>
  <c r="D310" i="2"/>
  <c r="F310" i="2"/>
  <c r="G310" i="2"/>
  <c r="Z310" i="2"/>
  <c r="AA310" i="2"/>
  <c r="AB310" i="2"/>
  <c r="AC310" i="2"/>
  <c r="AD310" i="2"/>
  <c r="AE310" i="2"/>
  <c r="AF310" i="2"/>
  <c r="D311" i="2"/>
  <c r="F311" i="2"/>
  <c r="G311" i="2"/>
  <c r="I311" i="2"/>
  <c r="Z311" i="2"/>
  <c r="AA311" i="2"/>
  <c r="AB311" i="2"/>
  <c r="AC311" i="2"/>
  <c r="AD311" i="2"/>
  <c r="AE311" i="2"/>
  <c r="AF311" i="2"/>
  <c r="D312" i="2"/>
  <c r="F312" i="2"/>
  <c r="G312" i="2"/>
  <c r="I312" i="2"/>
  <c r="Z312" i="2"/>
  <c r="AA312" i="2"/>
  <c r="AB312" i="2"/>
  <c r="AC312" i="2"/>
  <c r="AD312" i="2"/>
  <c r="AE312" i="2"/>
  <c r="AF312" i="2"/>
  <c r="D313" i="2"/>
  <c r="F313" i="2"/>
  <c r="G313" i="2"/>
  <c r="I313" i="2"/>
  <c r="Z313" i="2"/>
  <c r="AA313" i="2"/>
  <c r="AB313" i="2"/>
  <c r="AC313" i="2"/>
  <c r="AD313" i="2"/>
  <c r="AE313" i="2"/>
  <c r="AF313" i="2"/>
  <c r="D314" i="2"/>
  <c r="F314" i="2"/>
  <c r="G314" i="2"/>
  <c r="Z314" i="2"/>
  <c r="AA314" i="2"/>
  <c r="AB314" i="2"/>
  <c r="AC314" i="2"/>
  <c r="AD314" i="2"/>
  <c r="AE314" i="2"/>
  <c r="AF314" i="2"/>
  <c r="D315" i="2"/>
  <c r="F315" i="2"/>
  <c r="G315" i="2"/>
  <c r="I315" i="2"/>
  <c r="Z315" i="2"/>
  <c r="AA315" i="2"/>
  <c r="AB315" i="2"/>
  <c r="AC315" i="2"/>
  <c r="AD315" i="2"/>
  <c r="AE315" i="2"/>
  <c r="AF315" i="2"/>
  <c r="D316" i="2"/>
  <c r="F316" i="2"/>
  <c r="G316" i="2"/>
  <c r="I316" i="2"/>
  <c r="Z316" i="2"/>
  <c r="AA316" i="2"/>
  <c r="AB316" i="2"/>
  <c r="AC316" i="2"/>
  <c r="AD316" i="2"/>
  <c r="AE316" i="2"/>
  <c r="AF316" i="2"/>
  <c r="D317" i="2"/>
  <c r="F317" i="2"/>
  <c r="G317" i="2"/>
  <c r="I317" i="2"/>
  <c r="Z317" i="2"/>
  <c r="AA317" i="2"/>
  <c r="AB317" i="2"/>
  <c r="AC317" i="2"/>
  <c r="AD317" i="2"/>
  <c r="AE317" i="2"/>
  <c r="AF317" i="2"/>
  <c r="D318" i="2"/>
  <c r="F318" i="2"/>
  <c r="G318" i="2"/>
  <c r="Z318" i="2"/>
  <c r="AA318" i="2"/>
  <c r="AB318" i="2"/>
  <c r="AC318" i="2"/>
  <c r="AD318" i="2"/>
  <c r="AE318" i="2"/>
  <c r="AF318" i="2"/>
  <c r="D319" i="2"/>
  <c r="F319" i="2"/>
  <c r="G319" i="2"/>
  <c r="I319" i="2"/>
  <c r="Z319" i="2"/>
  <c r="AA319" i="2"/>
  <c r="AB319" i="2"/>
  <c r="AC319" i="2"/>
  <c r="AD319" i="2"/>
  <c r="AE319" i="2"/>
  <c r="AF319" i="2"/>
  <c r="D320" i="2"/>
  <c r="F320" i="2"/>
  <c r="G320" i="2"/>
  <c r="I320" i="2"/>
  <c r="Z320" i="2"/>
  <c r="AA320" i="2"/>
  <c r="AB320" i="2"/>
  <c r="AC320" i="2"/>
  <c r="AD320" i="2"/>
  <c r="AE320" i="2"/>
  <c r="AF320" i="2"/>
  <c r="D321" i="2"/>
  <c r="F321" i="2"/>
  <c r="G321" i="2"/>
  <c r="I321" i="2"/>
  <c r="Z321" i="2"/>
  <c r="AA321" i="2"/>
  <c r="AB321" i="2"/>
  <c r="AC321" i="2"/>
  <c r="AD321" i="2"/>
  <c r="AE321" i="2"/>
  <c r="AF321" i="2"/>
  <c r="D322" i="2"/>
  <c r="F322" i="2"/>
  <c r="G322" i="2"/>
  <c r="Z322" i="2"/>
  <c r="AA322" i="2"/>
  <c r="AB322" i="2"/>
  <c r="AC322" i="2"/>
  <c r="AD322" i="2"/>
  <c r="AE322" i="2"/>
  <c r="AF322" i="2"/>
  <c r="D323" i="2"/>
  <c r="F323" i="2"/>
  <c r="G323" i="2"/>
  <c r="I323" i="2"/>
  <c r="Z323" i="2"/>
  <c r="AA323" i="2"/>
  <c r="AB323" i="2"/>
  <c r="AC323" i="2"/>
  <c r="AD323" i="2"/>
  <c r="AE323" i="2"/>
  <c r="AF323" i="2"/>
  <c r="D324" i="2"/>
  <c r="F324" i="2"/>
  <c r="G324" i="2"/>
  <c r="I324" i="2"/>
  <c r="Z324" i="2"/>
  <c r="AA324" i="2"/>
  <c r="AB324" i="2"/>
  <c r="AC324" i="2"/>
  <c r="AD324" i="2"/>
  <c r="AE324" i="2"/>
  <c r="AF324" i="2"/>
  <c r="D325" i="2"/>
  <c r="F325" i="2"/>
  <c r="G325" i="2"/>
  <c r="I325" i="2"/>
  <c r="Z325" i="2"/>
  <c r="AA325" i="2"/>
  <c r="AB325" i="2"/>
  <c r="AC325" i="2"/>
  <c r="AD325" i="2"/>
  <c r="AE325" i="2"/>
  <c r="AF325" i="2"/>
  <c r="D326" i="2"/>
  <c r="F326" i="2"/>
  <c r="G326" i="2"/>
  <c r="Z326" i="2"/>
  <c r="AA326" i="2"/>
  <c r="AB326" i="2"/>
  <c r="AC326" i="2"/>
  <c r="AD326" i="2"/>
  <c r="AE326" i="2"/>
  <c r="AF326" i="2"/>
  <c r="D327" i="2"/>
  <c r="F327" i="2"/>
  <c r="G327" i="2"/>
  <c r="I327" i="2"/>
  <c r="Z327" i="2"/>
  <c r="AA327" i="2"/>
  <c r="AB327" i="2"/>
  <c r="AC327" i="2"/>
  <c r="AD327" i="2"/>
  <c r="AE327" i="2"/>
  <c r="AF327" i="2"/>
  <c r="D328" i="2"/>
  <c r="F328" i="2"/>
  <c r="G328" i="2"/>
  <c r="I328" i="2"/>
  <c r="Z328" i="2"/>
  <c r="AA328" i="2"/>
  <c r="AB328" i="2"/>
  <c r="AC328" i="2"/>
  <c r="AD328" i="2"/>
  <c r="AE328" i="2"/>
  <c r="AF328" i="2"/>
  <c r="D329" i="2"/>
  <c r="F329" i="2"/>
  <c r="G329" i="2"/>
  <c r="I329" i="2"/>
  <c r="Z329" i="2"/>
  <c r="AA329" i="2"/>
  <c r="AB329" i="2"/>
  <c r="AC329" i="2"/>
  <c r="AD329" i="2"/>
  <c r="AE329" i="2"/>
  <c r="AF329" i="2"/>
  <c r="D330" i="2"/>
  <c r="F330" i="2"/>
  <c r="G330" i="2"/>
  <c r="Z330" i="2"/>
  <c r="AA330" i="2"/>
  <c r="AB330" i="2"/>
  <c r="AC330" i="2"/>
  <c r="AD330" i="2"/>
  <c r="AE330" i="2"/>
  <c r="AF330" i="2"/>
  <c r="D331" i="2"/>
  <c r="F331" i="2"/>
  <c r="G331" i="2"/>
  <c r="I331" i="2"/>
  <c r="Z331" i="2"/>
  <c r="AA331" i="2"/>
  <c r="AB331" i="2"/>
  <c r="AC331" i="2"/>
  <c r="AD331" i="2"/>
  <c r="AE331" i="2"/>
  <c r="AF331" i="2"/>
  <c r="D332" i="2"/>
  <c r="F332" i="2"/>
  <c r="G332" i="2"/>
  <c r="I332" i="2"/>
  <c r="Z332" i="2"/>
  <c r="AA332" i="2"/>
  <c r="AB332" i="2"/>
  <c r="AC332" i="2"/>
  <c r="AD332" i="2"/>
  <c r="AE332" i="2"/>
  <c r="AF332" i="2"/>
  <c r="D333" i="2"/>
  <c r="F333" i="2"/>
  <c r="G333" i="2"/>
  <c r="I333" i="2"/>
  <c r="Z333" i="2"/>
  <c r="AA333" i="2"/>
  <c r="AB333" i="2"/>
  <c r="AC333" i="2"/>
  <c r="AD333" i="2"/>
  <c r="AE333" i="2"/>
  <c r="AF333" i="2"/>
  <c r="D334" i="2"/>
  <c r="F334" i="2"/>
  <c r="G334" i="2"/>
  <c r="Z334" i="2"/>
  <c r="AA334" i="2"/>
  <c r="AB334" i="2"/>
  <c r="AC334" i="2"/>
  <c r="AD334" i="2"/>
  <c r="AE334" i="2"/>
  <c r="AF334" i="2"/>
  <c r="D335" i="2"/>
  <c r="F335" i="2"/>
  <c r="G335" i="2"/>
  <c r="I335" i="2"/>
  <c r="Z335" i="2"/>
  <c r="AA335" i="2"/>
  <c r="AB335" i="2"/>
  <c r="AC335" i="2"/>
  <c r="AD335" i="2"/>
  <c r="AE335" i="2"/>
  <c r="AF335" i="2"/>
  <c r="D336" i="2"/>
  <c r="F336" i="2"/>
  <c r="G336" i="2"/>
  <c r="I336" i="2"/>
  <c r="Z336" i="2"/>
  <c r="AA336" i="2"/>
  <c r="AB336" i="2"/>
  <c r="AC336" i="2"/>
  <c r="AD336" i="2"/>
  <c r="AE336" i="2"/>
  <c r="AF336" i="2"/>
  <c r="D337" i="2"/>
  <c r="F337" i="2"/>
  <c r="G337" i="2"/>
  <c r="I337" i="2"/>
  <c r="Z337" i="2"/>
  <c r="AA337" i="2"/>
  <c r="AB337" i="2"/>
  <c r="AC337" i="2"/>
  <c r="AD337" i="2"/>
  <c r="AE337" i="2"/>
  <c r="AF337" i="2"/>
  <c r="D338" i="2"/>
  <c r="F338" i="2"/>
  <c r="G338" i="2"/>
  <c r="Z338" i="2"/>
  <c r="AA338" i="2"/>
  <c r="AB338" i="2"/>
  <c r="AC338" i="2"/>
  <c r="AD338" i="2"/>
  <c r="AE338" i="2"/>
  <c r="AF338" i="2"/>
  <c r="D339" i="2"/>
  <c r="F339" i="2"/>
  <c r="G339" i="2"/>
  <c r="I339" i="2"/>
  <c r="Z339" i="2"/>
  <c r="AA339" i="2"/>
  <c r="AB339" i="2"/>
  <c r="AC339" i="2"/>
  <c r="AD339" i="2"/>
  <c r="AE339" i="2"/>
  <c r="AF339" i="2"/>
  <c r="D340" i="2"/>
  <c r="F340" i="2"/>
  <c r="G340" i="2"/>
  <c r="I340" i="2"/>
  <c r="Z340" i="2"/>
  <c r="AA340" i="2"/>
  <c r="AB340" i="2"/>
  <c r="AC340" i="2"/>
  <c r="AD340" i="2"/>
  <c r="AE340" i="2"/>
  <c r="AF340" i="2"/>
  <c r="D341" i="2"/>
  <c r="F341" i="2"/>
  <c r="G341" i="2"/>
  <c r="I341" i="2"/>
  <c r="Z341" i="2"/>
  <c r="AA341" i="2"/>
  <c r="AB341" i="2"/>
  <c r="AC341" i="2"/>
  <c r="AD341" i="2"/>
  <c r="AE341" i="2"/>
  <c r="AF341" i="2"/>
  <c r="D342" i="2"/>
  <c r="F342" i="2"/>
  <c r="G342" i="2"/>
  <c r="Z342" i="2"/>
  <c r="AA342" i="2"/>
  <c r="AB342" i="2"/>
  <c r="AC342" i="2"/>
  <c r="AD342" i="2"/>
  <c r="AE342" i="2"/>
  <c r="AF342" i="2"/>
  <c r="D343" i="2"/>
  <c r="F343" i="2"/>
  <c r="G343" i="2"/>
  <c r="I343" i="2"/>
  <c r="Z343" i="2"/>
  <c r="AA343" i="2"/>
  <c r="AB343" i="2"/>
  <c r="AC343" i="2"/>
  <c r="AD343" i="2"/>
  <c r="AE343" i="2"/>
  <c r="AF343" i="2"/>
  <c r="D344" i="2"/>
  <c r="F344" i="2"/>
  <c r="G344" i="2"/>
  <c r="I344" i="2"/>
  <c r="Z344" i="2"/>
  <c r="AA344" i="2"/>
  <c r="AB344" i="2"/>
  <c r="AC344" i="2"/>
  <c r="AD344" i="2"/>
  <c r="AE344" i="2"/>
  <c r="AF344" i="2"/>
  <c r="D345" i="2"/>
  <c r="F345" i="2"/>
  <c r="G345" i="2"/>
  <c r="I345" i="2"/>
  <c r="Z345" i="2"/>
  <c r="AA345" i="2"/>
  <c r="AB345" i="2"/>
  <c r="AC345" i="2"/>
  <c r="AD345" i="2"/>
  <c r="AE345" i="2"/>
  <c r="AF345" i="2"/>
  <c r="D346" i="2"/>
  <c r="F346" i="2"/>
  <c r="G346" i="2"/>
  <c r="Z346" i="2"/>
  <c r="AA346" i="2"/>
  <c r="AB346" i="2"/>
  <c r="AC346" i="2"/>
  <c r="AD346" i="2"/>
  <c r="AE346" i="2"/>
  <c r="AF346" i="2"/>
  <c r="D347" i="2"/>
  <c r="F347" i="2"/>
  <c r="G347" i="2"/>
  <c r="I347" i="2"/>
  <c r="Z347" i="2"/>
  <c r="AA347" i="2"/>
  <c r="AB347" i="2"/>
  <c r="AC347" i="2"/>
  <c r="AD347" i="2"/>
  <c r="AE347" i="2"/>
  <c r="AF347" i="2"/>
  <c r="D348" i="2"/>
  <c r="F348" i="2"/>
  <c r="G348" i="2"/>
  <c r="I348" i="2"/>
  <c r="Z348" i="2"/>
  <c r="AA348" i="2"/>
  <c r="AB348" i="2"/>
  <c r="AC348" i="2"/>
  <c r="AD348" i="2"/>
  <c r="AE348" i="2"/>
  <c r="AF348" i="2"/>
  <c r="D349" i="2"/>
  <c r="F349" i="2"/>
  <c r="G349" i="2"/>
  <c r="I349" i="2"/>
  <c r="Z349" i="2"/>
  <c r="AA349" i="2"/>
  <c r="AB349" i="2"/>
  <c r="AC349" i="2"/>
  <c r="AD349" i="2"/>
  <c r="AE349" i="2"/>
  <c r="AF349" i="2"/>
  <c r="D350" i="2"/>
  <c r="F350" i="2"/>
  <c r="G350" i="2"/>
  <c r="Z350" i="2"/>
  <c r="AA350" i="2"/>
  <c r="AB350" i="2"/>
  <c r="AC350" i="2"/>
  <c r="AD350" i="2"/>
  <c r="AE350" i="2"/>
  <c r="AF350" i="2"/>
  <c r="C351" i="2"/>
  <c r="D351" i="2" s="1"/>
  <c r="F351" i="2"/>
  <c r="G351" i="2"/>
  <c r="I351" i="2"/>
  <c r="Z351" i="2"/>
  <c r="AA351" i="2"/>
  <c r="AB351" i="2"/>
  <c r="AC351" i="2"/>
  <c r="AD351" i="2"/>
  <c r="AE351" i="2"/>
  <c r="AF351" i="2"/>
  <c r="D352" i="2"/>
  <c r="F352" i="2"/>
  <c r="G352" i="2"/>
  <c r="I352" i="2"/>
  <c r="Z352" i="2"/>
  <c r="AA352" i="2"/>
  <c r="AB352" i="2"/>
  <c r="AC352" i="2"/>
  <c r="AD352" i="2"/>
  <c r="AE352" i="2"/>
  <c r="AF352" i="2"/>
  <c r="D353" i="2"/>
  <c r="F353" i="2"/>
  <c r="G353" i="2"/>
  <c r="I353" i="2"/>
  <c r="Z353" i="2"/>
  <c r="AA353" i="2"/>
  <c r="AB353" i="2"/>
  <c r="AC353" i="2"/>
  <c r="AD353" i="2"/>
  <c r="AE353" i="2"/>
  <c r="AF353" i="2"/>
  <c r="D354" i="2"/>
  <c r="F354" i="2"/>
  <c r="G354" i="2"/>
  <c r="Z354" i="2"/>
  <c r="AA354" i="2"/>
  <c r="AB354" i="2"/>
  <c r="AC354" i="2"/>
  <c r="AD354" i="2"/>
  <c r="AE354" i="2"/>
  <c r="AF354" i="2"/>
  <c r="D355" i="2"/>
  <c r="F355" i="2"/>
  <c r="G355" i="2"/>
  <c r="I355" i="2"/>
  <c r="Z355" i="2"/>
  <c r="AA355" i="2"/>
  <c r="AB355" i="2"/>
  <c r="AC355" i="2"/>
  <c r="AD355" i="2"/>
  <c r="AE355" i="2"/>
  <c r="AF355" i="2"/>
  <c r="D356" i="2"/>
  <c r="F356" i="2"/>
  <c r="G356" i="2"/>
  <c r="I356" i="2"/>
  <c r="Z356" i="2"/>
  <c r="AA356" i="2"/>
  <c r="AB356" i="2"/>
  <c r="AC356" i="2"/>
  <c r="AD356" i="2"/>
  <c r="AE356" i="2"/>
  <c r="AF356" i="2"/>
  <c r="D357" i="2"/>
  <c r="F357" i="2"/>
  <c r="G357" i="2"/>
  <c r="I357" i="2"/>
  <c r="Z357" i="2"/>
  <c r="AA357" i="2"/>
  <c r="AB357" i="2"/>
  <c r="AC357" i="2"/>
  <c r="AD357" i="2"/>
  <c r="AE357" i="2"/>
  <c r="AF357" i="2"/>
  <c r="D358" i="2"/>
  <c r="F358" i="2"/>
  <c r="G358" i="2"/>
  <c r="Z358" i="2"/>
  <c r="AA358" i="2"/>
  <c r="AB358" i="2"/>
  <c r="AC358" i="2"/>
  <c r="AD358" i="2"/>
  <c r="AE358" i="2"/>
  <c r="AF358" i="2"/>
  <c r="D359" i="2"/>
  <c r="F359" i="2"/>
  <c r="G359" i="2"/>
  <c r="I359" i="2"/>
  <c r="Z359" i="2"/>
  <c r="AA359" i="2"/>
  <c r="AB359" i="2"/>
  <c r="AC359" i="2"/>
  <c r="AD359" i="2"/>
  <c r="AE359" i="2"/>
  <c r="AF359" i="2"/>
  <c r="D360" i="2"/>
  <c r="F360" i="2"/>
  <c r="G360" i="2"/>
  <c r="I360" i="2"/>
  <c r="Z360" i="2"/>
  <c r="AA360" i="2"/>
  <c r="AB360" i="2"/>
  <c r="AC360" i="2"/>
  <c r="AD360" i="2"/>
  <c r="AE360" i="2"/>
  <c r="AF360" i="2"/>
  <c r="D361" i="2"/>
  <c r="F361" i="2"/>
  <c r="G361" i="2"/>
  <c r="I361" i="2"/>
  <c r="Z361" i="2"/>
  <c r="AA361" i="2"/>
  <c r="AB361" i="2"/>
  <c r="AC361" i="2"/>
  <c r="AD361" i="2"/>
  <c r="AE361" i="2"/>
  <c r="AF361" i="2"/>
  <c r="D362" i="2"/>
  <c r="F362" i="2"/>
  <c r="G362" i="2"/>
  <c r="Z362" i="2"/>
  <c r="AA362" i="2"/>
  <c r="AB362" i="2"/>
  <c r="AC362" i="2"/>
  <c r="AD362" i="2"/>
  <c r="AE362" i="2"/>
  <c r="AF362" i="2"/>
  <c r="D363" i="2"/>
  <c r="F363" i="2"/>
  <c r="G363" i="2"/>
  <c r="I363" i="2"/>
  <c r="Z363" i="2"/>
  <c r="AA363" i="2"/>
  <c r="AB363" i="2"/>
  <c r="AC363" i="2"/>
  <c r="AD363" i="2"/>
  <c r="AE363" i="2"/>
  <c r="AF363" i="2"/>
  <c r="D364" i="2"/>
  <c r="F364" i="2"/>
  <c r="G364" i="2"/>
  <c r="I364" i="2"/>
  <c r="Z364" i="2"/>
  <c r="AA364" i="2"/>
  <c r="AB364" i="2"/>
  <c r="AC364" i="2"/>
  <c r="AD364" i="2"/>
  <c r="AE364" i="2"/>
  <c r="AF364" i="2"/>
  <c r="D365" i="2"/>
  <c r="F365" i="2"/>
  <c r="G365" i="2"/>
  <c r="I365" i="2"/>
  <c r="Z365" i="2"/>
  <c r="AA365" i="2"/>
  <c r="AB365" i="2"/>
  <c r="AC365" i="2"/>
  <c r="AD365" i="2"/>
  <c r="AE365" i="2"/>
  <c r="AF365" i="2"/>
  <c r="D366" i="2"/>
  <c r="F366" i="2"/>
  <c r="G366" i="2"/>
  <c r="Z366" i="2"/>
  <c r="AA366" i="2"/>
  <c r="AB366" i="2"/>
  <c r="AC366" i="2"/>
  <c r="AD366" i="2"/>
  <c r="AE366" i="2"/>
  <c r="AF366" i="2"/>
  <c r="D367" i="2"/>
  <c r="F367" i="2"/>
  <c r="G367" i="2"/>
  <c r="I367" i="2"/>
  <c r="Z367" i="2"/>
  <c r="AA367" i="2"/>
  <c r="AB367" i="2"/>
  <c r="AC367" i="2"/>
  <c r="AD367" i="2"/>
  <c r="AE367" i="2"/>
  <c r="AF367" i="2"/>
  <c r="D368" i="2"/>
  <c r="F368" i="2"/>
  <c r="G368" i="2"/>
  <c r="I368" i="2"/>
  <c r="Z368" i="2"/>
  <c r="AA368" i="2"/>
  <c r="AB368" i="2"/>
  <c r="AC368" i="2"/>
  <c r="AD368" i="2"/>
  <c r="AE368" i="2"/>
  <c r="AF368" i="2"/>
  <c r="D369" i="2"/>
  <c r="F369" i="2"/>
  <c r="G369" i="2"/>
  <c r="I369" i="2"/>
  <c r="Z369" i="2"/>
  <c r="AA369" i="2"/>
  <c r="AB369" i="2"/>
  <c r="AC369" i="2"/>
  <c r="AD369" i="2"/>
  <c r="AE369" i="2"/>
  <c r="AF369" i="2"/>
  <c r="D370" i="2"/>
  <c r="F370" i="2"/>
  <c r="G370" i="2"/>
  <c r="Z370" i="2"/>
  <c r="AA370" i="2"/>
  <c r="AB370" i="2"/>
  <c r="AC370" i="2"/>
  <c r="AD370" i="2"/>
  <c r="AE370" i="2"/>
  <c r="AF370" i="2"/>
  <c r="D371" i="2"/>
  <c r="F371" i="2"/>
  <c r="G371" i="2"/>
  <c r="I371" i="2"/>
  <c r="Z371" i="2"/>
  <c r="AA371" i="2"/>
  <c r="AB371" i="2"/>
  <c r="AC371" i="2"/>
  <c r="AD371" i="2"/>
  <c r="AE371" i="2"/>
  <c r="AF371" i="2"/>
  <c r="D372" i="2"/>
  <c r="F372" i="2"/>
  <c r="G372" i="2"/>
  <c r="I372" i="2"/>
  <c r="Z372" i="2"/>
  <c r="AA372" i="2"/>
  <c r="AB372" i="2"/>
  <c r="AC372" i="2"/>
  <c r="AD372" i="2"/>
  <c r="AE372" i="2"/>
  <c r="AF372" i="2"/>
  <c r="D373" i="2"/>
  <c r="F373" i="2"/>
  <c r="G373" i="2"/>
  <c r="I373" i="2"/>
  <c r="Z373" i="2"/>
  <c r="AA373" i="2"/>
  <c r="AB373" i="2"/>
  <c r="AC373" i="2"/>
  <c r="AD373" i="2"/>
  <c r="AE373" i="2"/>
  <c r="AF373" i="2"/>
  <c r="D374" i="2"/>
  <c r="F374" i="2"/>
  <c r="G374" i="2"/>
  <c r="Z374" i="2"/>
  <c r="AA374" i="2"/>
  <c r="AB374" i="2"/>
  <c r="AC374" i="2"/>
  <c r="AD374" i="2"/>
  <c r="AE374" i="2"/>
  <c r="AF374" i="2"/>
  <c r="D375" i="2"/>
  <c r="F375" i="2"/>
  <c r="G375" i="2"/>
  <c r="I375" i="2"/>
  <c r="Z375" i="2"/>
  <c r="AA375" i="2"/>
  <c r="AB375" i="2"/>
  <c r="AC375" i="2"/>
  <c r="AD375" i="2"/>
  <c r="AE375" i="2"/>
  <c r="AF375" i="2"/>
  <c r="D376" i="2"/>
  <c r="F376" i="2"/>
  <c r="G376" i="2"/>
  <c r="I376" i="2"/>
  <c r="Z376" i="2"/>
  <c r="AA376" i="2"/>
  <c r="AB376" i="2"/>
  <c r="AC376" i="2"/>
  <c r="AD376" i="2"/>
  <c r="AE376" i="2"/>
  <c r="AF376" i="2"/>
  <c r="D377" i="2"/>
  <c r="F377" i="2"/>
  <c r="G377" i="2"/>
  <c r="I377" i="2"/>
  <c r="Z377" i="2"/>
  <c r="AA377" i="2"/>
  <c r="AB377" i="2"/>
  <c r="AC377" i="2"/>
  <c r="AD377" i="2"/>
  <c r="AE377" i="2"/>
  <c r="AF377" i="2"/>
  <c r="D378" i="2"/>
  <c r="F378" i="2"/>
  <c r="G378" i="2"/>
  <c r="Z378" i="2"/>
  <c r="AA378" i="2"/>
  <c r="AB378" i="2"/>
  <c r="AC378" i="2"/>
  <c r="AD378" i="2"/>
  <c r="AE378" i="2"/>
  <c r="AF378" i="2"/>
  <c r="D379" i="2"/>
  <c r="F379" i="2"/>
  <c r="G379" i="2"/>
  <c r="I379" i="2"/>
  <c r="Z379" i="2"/>
  <c r="AA379" i="2"/>
  <c r="AB379" i="2"/>
  <c r="AC379" i="2"/>
  <c r="AD379" i="2"/>
  <c r="AE379" i="2"/>
  <c r="AF379" i="2"/>
  <c r="D380" i="2"/>
  <c r="F380" i="2"/>
  <c r="G380" i="2"/>
  <c r="I380" i="2"/>
  <c r="Z380" i="2"/>
  <c r="AA380" i="2"/>
  <c r="AB380" i="2"/>
  <c r="AC380" i="2"/>
  <c r="AD380" i="2"/>
  <c r="AE380" i="2"/>
  <c r="AF380" i="2"/>
  <c r="D381" i="2"/>
  <c r="F381" i="2"/>
  <c r="G381" i="2"/>
  <c r="I381" i="2"/>
  <c r="Z381" i="2"/>
  <c r="AA381" i="2"/>
  <c r="AB381" i="2"/>
  <c r="AC381" i="2"/>
  <c r="AD381" i="2"/>
  <c r="AE381" i="2"/>
  <c r="AF381" i="2"/>
  <c r="D382" i="2"/>
  <c r="F382" i="2"/>
  <c r="G382" i="2"/>
  <c r="Z382" i="2"/>
  <c r="AA382" i="2"/>
  <c r="AB382" i="2"/>
  <c r="AC382" i="2"/>
  <c r="AD382" i="2"/>
  <c r="AE382" i="2"/>
  <c r="AF382" i="2"/>
  <c r="D383" i="2"/>
  <c r="F383" i="2"/>
  <c r="G383" i="2"/>
  <c r="I383" i="2"/>
  <c r="Z383" i="2"/>
  <c r="AA383" i="2"/>
  <c r="AB383" i="2"/>
  <c r="AC383" i="2"/>
  <c r="AD383" i="2"/>
  <c r="AE383" i="2"/>
  <c r="AF383" i="2"/>
  <c r="D384" i="2"/>
  <c r="F384" i="2"/>
  <c r="G384" i="2"/>
  <c r="I384" i="2"/>
  <c r="Z384" i="2"/>
  <c r="AA384" i="2"/>
  <c r="AB384" i="2"/>
  <c r="AC384" i="2"/>
  <c r="AD384" i="2"/>
  <c r="AE384" i="2"/>
  <c r="AF384" i="2"/>
  <c r="D385" i="2"/>
  <c r="F385" i="2"/>
  <c r="G385" i="2"/>
  <c r="I385" i="2"/>
  <c r="Z385" i="2"/>
  <c r="AA385" i="2"/>
  <c r="AB385" i="2"/>
  <c r="AC385" i="2"/>
  <c r="AD385" i="2"/>
  <c r="AE385" i="2"/>
  <c r="AF385" i="2"/>
  <c r="D386" i="2"/>
  <c r="F386" i="2"/>
  <c r="G386" i="2"/>
  <c r="Z386" i="2"/>
  <c r="AA386" i="2"/>
  <c r="AB386" i="2"/>
  <c r="AC386" i="2"/>
  <c r="AD386" i="2"/>
  <c r="AE386" i="2"/>
  <c r="AF386" i="2"/>
  <c r="D387" i="2"/>
  <c r="F387" i="2"/>
  <c r="G387" i="2"/>
  <c r="I387" i="2"/>
  <c r="Z387" i="2"/>
  <c r="AA387" i="2"/>
  <c r="AB387" i="2"/>
  <c r="AC387" i="2"/>
  <c r="AD387" i="2"/>
  <c r="AE387" i="2"/>
  <c r="AF387" i="2"/>
  <c r="D388" i="2"/>
  <c r="F388" i="2"/>
  <c r="G388" i="2"/>
  <c r="I388" i="2"/>
  <c r="Z388" i="2"/>
  <c r="AA388" i="2"/>
  <c r="AB388" i="2"/>
  <c r="AC388" i="2"/>
  <c r="AD388" i="2"/>
  <c r="AE388" i="2"/>
  <c r="AF388" i="2"/>
  <c r="D389" i="2"/>
  <c r="F389" i="2"/>
  <c r="G389" i="2"/>
  <c r="I389" i="2"/>
  <c r="Z389" i="2"/>
  <c r="AA389" i="2"/>
  <c r="AB389" i="2"/>
  <c r="AC389" i="2"/>
  <c r="AD389" i="2"/>
  <c r="AE389" i="2"/>
  <c r="AF389" i="2"/>
  <c r="D390" i="2"/>
  <c r="F390" i="2"/>
  <c r="G390" i="2"/>
  <c r="Z390" i="2"/>
  <c r="AA390" i="2"/>
  <c r="AB390" i="2"/>
  <c r="AC390" i="2"/>
  <c r="AD390" i="2"/>
  <c r="AE390" i="2"/>
  <c r="AF390" i="2"/>
  <c r="D391" i="2"/>
  <c r="F391" i="2"/>
  <c r="G391" i="2"/>
  <c r="I391" i="2"/>
  <c r="Z391" i="2"/>
  <c r="AA391" i="2"/>
  <c r="AB391" i="2"/>
  <c r="AC391" i="2"/>
  <c r="AD391" i="2"/>
  <c r="AE391" i="2"/>
  <c r="AF391" i="2"/>
  <c r="D392" i="2"/>
  <c r="F392" i="2"/>
  <c r="G392" i="2"/>
  <c r="I392" i="2"/>
  <c r="Z392" i="2"/>
  <c r="AA392" i="2"/>
  <c r="AB392" i="2"/>
  <c r="AC392" i="2"/>
  <c r="AD392" i="2"/>
  <c r="AE392" i="2"/>
  <c r="AF392" i="2"/>
  <c r="D393" i="2"/>
  <c r="F393" i="2"/>
  <c r="G393" i="2"/>
  <c r="I393" i="2"/>
  <c r="Z393" i="2"/>
  <c r="AA393" i="2"/>
  <c r="AB393" i="2"/>
  <c r="AC393" i="2"/>
  <c r="AD393" i="2"/>
  <c r="AE393" i="2"/>
  <c r="AF393" i="2"/>
  <c r="D394" i="2"/>
  <c r="F394" i="2"/>
  <c r="G394" i="2"/>
  <c r="Z394" i="2"/>
  <c r="AA394" i="2"/>
  <c r="AB394" i="2"/>
  <c r="AC394" i="2"/>
  <c r="AD394" i="2"/>
  <c r="AE394" i="2"/>
  <c r="AF394" i="2"/>
  <c r="D395" i="2"/>
  <c r="F395" i="2"/>
  <c r="G395" i="2"/>
  <c r="I395" i="2"/>
  <c r="Z395" i="2"/>
  <c r="AA395" i="2"/>
  <c r="AB395" i="2"/>
  <c r="AC395" i="2"/>
  <c r="AD395" i="2"/>
  <c r="AE395" i="2"/>
  <c r="AF395" i="2"/>
  <c r="D396" i="2"/>
  <c r="F396" i="2"/>
  <c r="G396" i="2"/>
  <c r="I396" i="2"/>
  <c r="Z396" i="2"/>
  <c r="AA396" i="2"/>
  <c r="AB396" i="2"/>
  <c r="AC396" i="2"/>
  <c r="AD396" i="2"/>
  <c r="AE396" i="2"/>
  <c r="AF396" i="2"/>
  <c r="D397" i="2"/>
  <c r="F397" i="2"/>
  <c r="G397" i="2"/>
  <c r="I397" i="2"/>
  <c r="Z397" i="2"/>
  <c r="AA397" i="2"/>
  <c r="AB397" i="2"/>
  <c r="AC397" i="2"/>
  <c r="AD397" i="2"/>
  <c r="AE397" i="2"/>
  <c r="AF397" i="2"/>
  <c r="D398" i="2"/>
  <c r="F398" i="2"/>
  <c r="G398" i="2"/>
  <c r="Z398" i="2"/>
  <c r="AA398" i="2"/>
  <c r="AB398" i="2"/>
  <c r="AC398" i="2"/>
  <c r="AD398" i="2"/>
  <c r="AE398" i="2"/>
  <c r="AF398" i="2"/>
  <c r="D399" i="2"/>
  <c r="F399" i="2"/>
  <c r="G399" i="2"/>
  <c r="I399" i="2"/>
  <c r="Z399" i="2"/>
  <c r="AA399" i="2"/>
  <c r="AB399" i="2"/>
  <c r="AC399" i="2"/>
  <c r="AD399" i="2"/>
  <c r="AE399" i="2"/>
  <c r="AF399" i="2"/>
  <c r="D400" i="2"/>
  <c r="F400" i="2"/>
  <c r="G400" i="2"/>
  <c r="I400" i="2"/>
  <c r="Z400" i="2"/>
  <c r="AA400" i="2"/>
  <c r="AB400" i="2"/>
  <c r="AC400" i="2"/>
  <c r="AD400" i="2"/>
  <c r="AE400" i="2"/>
  <c r="AF400" i="2"/>
  <c r="D401" i="2"/>
  <c r="F401" i="2"/>
  <c r="G401" i="2"/>
  <c r="I401" i="2"/>
  <c r="Z401" i="2"/>
  <c r="AA401" i="2"/>
  <c r="AB401" i="2"/>
  <c r="AC401" i="2"/>
  <c r="AD401" i="2"/>
  <c r="AE401" i="2"/>
  <c r="AF401" i="2"/>
  <c r="D402" i="2"/>
  <c r="F402" i="2"/>
  <c r="G402" i="2"/>
  <c r="Z402" i="2"/>
  <c r="AA402" i="2"/>
  <c r="AB402" i="2"/>
  <c r="AC402" i="2"/>
  <c r="AD402" i="2"/>
  <c r="AE402" i="2"/>
  <c r="AF402" i="2"/>
  <c r="D403" i="2"/>
  <c r="F403" i="2"/>
  <c r="G403" i="2"/>
  <c r="I403" i="2"/>
  <c r="Z403" i="2"/>
  <c r="AA403" i="2"/>
  <c r="AB403" i="2"/>
  <c r="AC403" i="2"/>
  <c r="AD403" i="2"/>
  <c r="AE403" i="2"/>
  <c r="AF403" i="2"/>
  <c r="D404" i="2"/>
  <c r="F404" i="2"/>
  <c r="G404" i="2"/>
  <c r="I404" i="2"/>
  <c r="Z404" i="2"/>
  <c r="AA404" i="2"/>
  <c r="AB404" i="2"/>
  <c r="AC404" i="2"/>
  <c r="AD404" i="2"/>
  <c r="AE404" i="2"/>
  <c r="AF404" i="2"/>
  <c r="D405" i="2"/>
  <c r="F405" i="2"/>
  <c r="G405" i="2"/>
  <c r="I405" i="2"/>
  <c r="Z405" i="2"/>
  <c r="AA405" i="2"/>
  <c r="AB405" i="2"/>
  <c r="AC405" i="2"/>
  <c r="AD405" i="2"/>
  <c r="AE405" i="2"/>
  <c r="AF405" i="2"/>
  <c r="D406" i="2"/>
  <c r="F406" i="2"/>
  <c r="G406" i="2"/>
  <c r="Z406" i="2"/>
  <c r="AA406" i="2"/>
  <c r="AB406" i="2"/>
  <c r="AC406" i="2"/>
  <c r="AD406" i="2"/>
  <c r="AE406" i="2"/>
  <c r="AF406" i="2"/>
  <c r="D407" i="2"/>
  <c r="F407" i="2"/>
  <c r="G407" i="2"/>
  <c r="I407" i="2"/>
  <c r="Z407" i="2"/>
  <c r="AA407" i="2"/>
  <c r="AB407" i="2"/>
  <c r="AC407" i="2"/>
  <c r="AD407" i="2"/>
  <c r="AE407" i="2"/>
  <c r="AF407" i="2"/>
  <c r="D408" i="2"/>
  <c r="F408" i="2"/>
  <c r="G408" i="2"/>
  <c r="I408" i="2"/>
  <c r="Z408" i="2"/>
  <c r="AA408" i="2"/>
  <c r="AB408" i="2"/>
  <c r="AC408" i="2"/>
  <c r="AD408" i="2"/>
  <c r="AE408" i="2"/>
  <c r="AF408" i="2"/>
  <c r="D409" i="2"/>
  <c r="F409" i="2"/>
  <c r="G409" i="2"/>
  <c r="I409" i="2"/>
  <c r="Z409" i="2"/>
  <c r="AA409" i="2"/>
  <c r="AB409" i="2"/>
  <c r="AC409" i="2"/>
  <c r="AD409" i="2"/>
  <c r="AE409" i="2"/>
  <c r="AF409" i="2"/>
  <c r="D410" i="2"/>
  <c r="F410" i="2"/>
  <c r="G410" i="2"/>
  <c r="Z410" i="2"/>
  <c r="AA410" i="2"/>
  <c r="AB410" i="2"/>
  <c r="AC410" i="2"/>
  <c r="AD410" i="2"/>
  <c r="AE410" i="2"/>
  <c r="AF410" i="2"/>
  <c r="D411" i="2"/>
  <c r="F411" i="2"/>
  <c r="G411" i="2"/>
  <c r="I411" i="2"/>
  <c r="Z411" i="2"/>
  <c r="AA411" i="2"/>
  <c r="AB411" i="2"/>
  <c r="AC411" i="2"/>
  <c r="AD411" i="2"/>
  <c r="AE411" i="2"/>
  <c r="AF411" i="2"/>
  <c r="D412" i="2"/>
  <c r="F412" i="2"/>
  <c r="G412" i="2"/>
  <c r="I412" i="2"/>
  <c r="Z412" i="2"/>
  <c r="AA412" i="2"/>
  <c r="AB412" i="2"/>
  <c r="AC412" i="2"/>
  <c r="AD412" i="2"/>
  <c r="AE412" i="2"/>
  <c r="AF412" i="2"/>
  <c r="D413" i="2"/>
  <c r="F413" i="2"/>
  <c r="G413" i="2"/>
  <c r="I413" i="2"/>
  <c r="Z413" i="2"/>
  <c r="AA413" i="2"/>
  <c r="AB413" i="2"/>
  <c r="AC413" i="2"/>
  <c r="AD413" i="2"/>
  <c r="AE413" i="2"/>
  <c r="AF413" i="2"/>
  <c r="D414" i="2"/>
  <c r="F414" i="2"/>
  <c r="G414" i="2"/>
  <c r="Z414" i="2"/>
  <c r="AA414" i="2"/>
  <c r="AB414" i="2"/>
  <c r="AC414" i="2"/>
  <c r="AD414" i="2"/>
  <c r="AE414" i="2"/>
  <c r="AF414" i="2"/>
  <c r="D415" i="2"/>
  <c r="F415" i="2"/>
  <c r="G415" i="2"/>
  <c r="I415" i="2"/>
  <c r="Z415" i="2"/>
  <c r="AA415" i="2"/>
  <c r="AB415" i="2"/>
  <c r="AC415" i="2"/>
  <c r="AD415" i="2"/>
  <c r="AE415" i="2"/>
  <c r="AF415" i="2"/>
  <c r="D416" i="2"/>
  <c r="F416" i="2"/>
  <c r="G416" i="2"/>
  <c r="I416" i="2"/>
  <c r="Z416" i="2"/>
  <c r="AA416" i="2"/>
  <c r="AB416" i="2"/>
  <c r="AC416" i="2"/>
  <c r="AD416" i="2"/>
  <c r="AE416" i="2"/>
  <c r="AF416" i="2"/>
  <c r="D417" i="2"/>
  <c r="F417" i="2"/>
  <c r="G417" i="2"/>
  <c r="I417" i="2"/>
  <c r="Z417" i="2"/>
  <c r="AA417" i="2"/>
  <c r="AB417" i="2"/>
  <c r="AC417" i="2"/>
  <c r="AD417" i="2"/>
  <c r="AE417" i="2"/>
  <c r="AF417" i="2"/>
  <c r="D418" i="2"/>
  <c r="F418" i="2"/>
  <c r="G418" i="2"/>
  <c r="Z418" i="2"/>
  <c r="AA418" i="2"/>
  <c r="AB418" i="2"/>
  <c r="AC418" i="2"/>
  <c r="AD418" i="2"/>
  <c r="AE418" i="2"/>
  <c r="AF418" i="2"/>
  <c r="D419" i="2"/>
  <c r="F419" i="2"/>
  <c r="G419" i="2"/>
  <c r="I419" i="2"/>
  <c r="Z419" i="2"/>
  <c r="AA419" i="2"/>
  <c r="AB419" i="2"/>
  <c r="AC419" i="2"/>
  <c r="AD419" i="2"/>
  <c r="AE419" i="2"/>
  <c r="AF419" i="2"/>
  <c r="D420" i="2"/>
  <c r="F420" i="2"/>
  <c r="G420" i="2"/>
  <c r="I420" i="2"/>
  <c r="Z420" i="2"/>
  <c r="AA420" i="2"/>
  <c r="AB420" i="2"/>
  <c r="AC420" i="2"/>
  <c r="AD420" i="2"/>
  <c r="AE420" i="2"/>
  <c r="AF420" i="2"/>
  <c r="D421" i="2"/>
  <c r="F421" i="2"/>
  <c r="G421" i="2"/>
  <c r="I421" i="2"/>
  <c r="Z421" i="2"/>
  <c r="AA421" i="2"/>
  <c r="AB421" i="2"/>
  <c r="AC421" i="2"/>
  <c r="AD421" i="2"/>
  <c r="AE421" i="2"/>
  <c r="AF421" i="2"/>
  <c r="D422" i="2"/>
  <c r="F422" i="2"/>
  <c r="G422" i="2"/>
  <c r="Z422" i="2"/>
  <c r="AA422" i="2"/>
  <c r="AB422" i="2"/>
  <c r="AC422" i="2"/>
  <c r="AD422" i="2"/>
  <c r="AE422" i="2"/>
  <c r="AF422" i="2"/>
  <c r="D423" i="2"/>
  <c r="F423" i="2"/>
  <c r="G423" i="2"/>
  <c r="I423" i="2"/>
  <c r="Z423" i="2"/>
  <c r="AA423" i="2"/>
  <c r="AB423" i="2"/>
  <c r="AC423" i="2"/>
  <c r="AD423" i="2"/>
  <c r="AE423" i="2"/>
  <c r="AF423" i="2"/>
  <c r="D424" i="2"/>
  <c r="F424" i="2"/>
  <c r="G424" i="2"/>
  <c r="I424" i="2"/>
  <c r="Z424" i="2"/>
  <c r="AA424" i="2"/>
  <c r="AB424" i="2"/>
  <c r="AC424" i="2"/>
  <c r="AD424" i="2"/>
  <c r="AE424" i="2"/>
  <c r="AF424" i="2"/>
  <c r="D425" i="2"/>
  <c r="F425" i="2"/>
  <c r="G425" i="2"/>
  <c r="I425" i="2"/>
  <c r="Z425" i="2"/>
  <c r="AA425" i="2"/>
  <c r="AB425" i="2"/>
  <c r="AC425" i="2"/>
  <c r="AD425" i="2"/>
  <c r="AE425" i="2"/>
  <c r="AF425" i="2"/>
  <c r="D426" i="2"/>
  <c r="F426" i="2"/>
  <c r="G426" i="2"/>
  <c r="Z426" i="2"/>
  <c r="AA426" i="2"/>
  <c r="AB426" i="2"/>
  <c r="AC426" i="2"/>
  <c r="AD426" i="2"/>
  <c r="AE426" i="2"/>
  <c r="AF426" i="2"/>
  <c r="D427" i="2"/>
  <c r="F427" i="2"/>
  <c r="G427" i="2"/>
  <c r="I427" i="2"/>
  <c r="Z427" i="2"/>
  <c r="AA427" i="2"/>
  <c r="AB427" i="2"/>
  <c r="AC427" i="2"/>
  <c r="AD427" i="2"/>
  <c r="AE427" i="2"/>
  <c r="AF427" i="2"/>
  <c r="D428" i="2"/>
  <c r="F428" i="2"/>
  <c r="G428" i="2"/>
  <c r="I428" i="2"/>
  <c r="Z428" i="2"/>
  <c r="AA428" i="2"/>
  <c r="AB428" i="2"/>
  <c r="AC428" i="2"/>
  <c r="AD428" i="2"/>
  <c r="AE428" i="2"/>
  <c r="AF428" i="2"/>
  <c r="D429" i="2"/>
  <c r="F429" i="2"/>
  <c r="G429" i="2"/>
  <c r="I429" i="2"/>
  <c r="Z429" i="2"/>
  <c r="AA429" i="2"/>
  <c r="AB429" i="2"/>
  <c r="AC429" i="2"/>
  <c r="AD429" i="2"/>
  <c r="AE429" i="2"/>
  <c r="AF429" i="2"/>
  <c r="D430" i="2"/>
  <c r="F430" i="2"/>
  <c r="G430" i="2"/>
  <c r="Z430" i="2"/>
  <c r="AA430" i="2"/>
  <c r="AB430" i="2"/>
  <c r="AC430" i="2"/>
  <c r="AD430" i="2"/>
  <c r="AE430" i="2"/>
  <c r="AF430" i="2"/>
  <c r="D431" i="2"/>
  <c r="F431" i="2"/>
  <c r="G431" i="2"/>
  <c r="I431" i="2"/>
  <c r="Z431" i="2"/>
  <c r="AA431" i="2"/>
  <c r="AB431" i="2"/>
  <c r="AC431" i="2"/>
  <c r="AD431" i="2"/>
  <c r="AE431" i="2"/>
  <c r="AF431" i="2"/>
  <c r="D432" i="2"/>
  <c r="F432" i="2"/>
  <c r="G432" i="2"/>
  <c r="I432" i="2"/>
  <c r="Z432" i="2"/>
  <c r="AA432" i="2"/>
  <c r="AB432" i="2"/>
  <c r="AC432" i="2"/>
  <c r="AD432" i="2"/>
  <c r="AE432" i="2"/>
  <c r="AF432" i="2"/>
  <c r="D433" i="2"/>
  <c r="F433" i="2"/>
  <c r="G433" i="2"/>
  <c r="I433" i="2"/>
  <c r="Z433" i="2"/>
  <c r="AA433" i="2"/>
  <c r="AB433" i="2"/>
  <c r="AC433" i="2"/>
  <c r="AD433" i="2"/>
  <c r="AE433" i="2"/>
  <c r="AF433" i="2"/>
  <c r="D434" i="2"/>
  <c r="F434" i="2"/>
  <c r="G434" i="2"/>
  <c r="Z434" i="2"/>
  <c r="AA434" i="2"/>
  <c r="AB434" i="2"/>
  <c r="AC434" i="2"/>
  <c r="AD434" i="2"/>
  <c r="AE434" i="2"/>
  <c r="AF434" i="2"/>
  <c r="D435" i="2"/>
  <c r="F435" i="2"/>
  <c r="G435" i="2"/>
  <c r="I435" i="2"/>
  <c r="Z435" i="2"/>
  <c r="AA435" i="2"/>
  <c r="AB435" i="2"/>
  <c r="AC435" i="2"/>
  <c r="AD435" i="2"/>
  <c r="AE435" i="2"/>
  <c r="AF435" i="2"/>
  <c r="D436" i="2"/>
  <c r="F436" i="2"/>
  <c r="G436" i="2"/>
  <c r="I436" i="2"/>
  <c r="Z436" i="2"/>
  <c r="AA436" i="2"/>
  <c r="AB436" i="2"/>
  <c r="AC436" i="2"/>
  <c r="AD436" i="2"/>
  <c r="AE436" i="2"/>
  <c r="AF436" i="2"/>
  <c r="D437" i="2"/>
  <c r="F437" i="2"/>
  <c r="G437" i="2"/>
  <c r="I437" i="2"/>
  <c r="Z437" i="2"/>
  <c r="AA437" i="2"/>
  <c r="AB437" i="2"/>
  <c r="AC437" i="2"/>
  <c r="AD437" i="2"/>
  <c r="AE437" i="2"/>
  <c r="AF437" i="2"/>
  <c r="D438" i="2"/>
  <c r="F438" i="2"/>
  <c r="G438" i="2"/>
  <c r="Z438" i="2"/>
  <c r="AA438" i="2"/>
  <c r="AB438" i="2"/>
  <c r="AC438" i="2"/>
  <c r="AD438" i="2"/>
  <c r="AE438" i="2"/>
  <c r="AF438" i="2"/>
  <c r="D439" i="2"/>
  <c r="F439" i="2"/>
  <c r="G439" i="2"/>
  <c r="I439" i="2"/>
  <c r="Z439" i="2"/>
  <c r="AA439" i="2"/>
  <c r="AB439" i="2"/>
  <c r="AC439" i="2"/>
  <c r="AD439" i="2"/>
  <c r="AE439" i="2"/>
  <c r="AF439" i="2"/>
  <c r="D440" i="2"/>
  <c r="F440" i="2"/>
  <c r="G440" i="2"/>
  <c r="I440" i="2"/>
  <c r="Z440" i="2"/>
  <c r="AA440" i="2"/>
  <c r="AB440" i="2"/>
  <c r="AC440" i="2"/>
  <c r="AD440" i="2"/>
  <c r="AE440" i="2"/>
  <c r="AF440" i="2"/>
  <c r="D441" i="2"/>
  <c r="F441" i="2"/>
  <c r="G441" i="2"/>
  <c r="I441" i="2"/>
  <c r="Z441" i="2"/>
  <c r="AA441" i="2"/>
  <c r="AB441" i="2"/>
  <c r="AC441" i="2"/>
  <c r="AD441" i="2"/>
  <c r="AE441" i="2"/>
  <c r="AF441" i="2"/>
  <c r="D442" i="2"/>
  <c r="F442" i="2"/>
  <c r="G442" i="2"/>
  <c r="Z442" i="2"/>
  <c r="AA442" i="2"/>
  <c r="AB442" i="2"/>
  <c r="AC442" i="2"/>
  <c r="AD442" i="2"/>
  <c r="AE442" i="2"/>
  <c r="AF442" i="2"/>
  <c r="D443" i="2"/>
  <c r="F443" i="2"/>
  <c r="G443" i="2"/>
  <c r="I443" i="2"/>
  <c r="Z443" i="2"/>
  <c r="AA443" i="2"/>
  <c r="AB443" i="2"/>
  <c r="AC443" i="2"/>
  <c r="AD443" i="2"/>
  <c r="AE443" i="2"/>
  <c r="AF443" i="2"/>
  <c r="D444" i="2"/>
  <c r="F444" i="2"/>
  <c r="G444" i="2"/>
  <c r="I444" i="2"/>
  <c r="Z444" i="2"/>
  <c r="AA444" i="2"/>
  <c r="AB444" i="2"/>
  <c r="AC444" i="2"/>
  <c r="AD444" i="2"/>
  <c r="AE444" i="2"/>
  <c r="AF444" i="2"/>
  <c r="D445" i="2"/>
  <c r="F445" i="2"/>
  <c r="G445" i="2"/>
  <c r="I445" i="2"/>
  <c r="Z445" i="2"/>
  <c r="AA445" i="2"/>
  <c r="AB445" i="2"/>
  <c r="AC445" i="2"/>
  <c r="AD445" i="2"/>
  <c r="AE445" i="2"/>
  <c r="AF445" i="2"/>
  <c r="D446" i="2"/>
  <c r="F446" i="2"/>
  <c r="G446" i="2"/>
  <c r="Z446" i="2"/>
  <c r="AA446" i="2"/>
  <c r="AB446" i="2"/>
  <c r="AC446" i="2"/>
  <c r="AD446" i="2"/>
  <c r="AE446" i="2"/>
  <c r="AF446" i="2"/>
  <c r="D447" i="2"/>
  <c r="F447" i="2"/>
  <c r="G447" i="2"/>
  <c r="I447" i="2"/>
  <c r="Z447" i="2"/>
  <c r="AA447" i="2"/>
  <c r="AB447" i="2"/>
  <c r="AC447" i="2"/>
  <c r="AD447" i="2"/>
  <c r="AE447" i="2"/>
  <c r="AF447" i="2"/>
  <c r="D448" i="2"/>
  <c r="F448" i="2"/>
  <c r="G448" i="2"/>
  <c r="I448" i="2"/>
  <c r="Z448" i="2"/>
  <c r="AA448" i="2"/>
  <c r="AB448" i="2"/>
  <c r="AC448" i="2"/>
  <c r="AD448" i="2"/>
  <c r="AE448" i="2"/>
  <c r="AF448" i="2"/>
  <c r="D449" i="2"/>
  <c r="F449" i="2"/>
  <c r="G449" i="2"/>
  <c r="I449" i="2"/>
  <c r="Z449" i="2"/>
  <c r="AA449" i="2"/>
  <c r="AB449" i="2"/>
  <c r="AC449" i="2"/>
  <c r="AD449" i="2"/>
  <c r="AE449" i="2"/>
  <c r="AF449" i="2"/>
  <c r="D450" i="2"/>
  <c r="F450" i="2"/>
  <c r="G450" i="2"/>
  <c r="Z450" i="2"/>
  <c r="AA450" i="2"/>
  <c r="AB450" i="2"/>
  <c r="AC450" i="2"/>
  <c r="AD450" i="2"/>
  <c r="AE450" i="2"/>
  <c r="AF450" i="2"/>
  <c r="D451" i="2"/>
  <c r="F451" i="2"/>
  <c r="G451" i="2"/>
  <c r="I451" i="2"/>
  <c r="Z451" i="2"/>
  <c r="AA451" i="2"/>
  <c r="AB451" i="2"/>
  <c r="AC451" i="2"/>
  <c r="AD451" i="2"/>
  <c r="AE451" i="2"/>
  <c r="AF451" i="2"/>
  <c r="D452" i="2"/>
  <c r="F452" i="2"/>
  <c r="G452" i="2"/>
  <c r="I452" i="2"/>
  <c r="Z452" i="2"/>
  <c r="AA452" i="2"/>
  <c r="AB452" i="2"/>
  <c r="AC452" i="2"/>
  <c r="AD452" i="2"/>
  <c r="AE452" i="2"/>
  <c r="AF452" i="2"/>
  <c r="D453" i="2"/>
  <c r="F453" i="2"/>
  <c r="G453" i="2"/>
  <c r="I453" i="2"/>
  <c r="Z453" i="2"/>
  <c r="AA453" i="2"/>
  <c r="AB453" i="2"/>
  <c r="AC453" i="2"/>
  <c r="AD453" i="2"/>
  <c r="AE453" i="2"/>
  <c r="AF453" i="2"/>
  <c r="D454" i="2"/>
  <c r="F454" i="2"/>
  <c r="G454" i="2"/>
  <c r="Z454" i="2"/>
  <c r="AA454" i="2"/>
  <c r="AB454" i="2"/>
  <c r="AC454" i="2"/>
  <c r="AD454" i="2"/>
  <c r="AE454" i="2"/>
  <c r="AF454" i="2"/>
  <c r="D455" i="2"/>
  <c r="F455" i="2"/>
  <c r="G455" i="2"/>
  <c r="I455" i="2"/>
  <c r="Z455" i="2"/>
  <c r="AA455" i="2"/>
  <c r="AB455" i="2"/>
  <c r="AC455" i="2"/>
  <c r="AD455" i="2"/>
  <c r="AE455" i="2"/>
  <c r="AF455" i="2"/>
  <c r="D456" i="2"/>
  <c r="F456" i="2"/>
  <c r="G456" i="2"/>
  <c r="I456" i="2"/>
  <c r="Z456" i="2"/>
  <c r="AA456" i="2"/>
  <c r="AB456" i="2"/>
  <c r="AC456" i="2"/>
  <c r="AD456" i="2"/>
  <c r="AE456" i="2"/>
  <c r="AF456" i="2"/>
  <c r="D457" i="2"/>
  <c r="F457" i="2"/>
  <c r="G457" i="2"/>
  <c r="I457" i="2"/>
  <c r="Z457" i="2"/>
  <c r="AA457" i="2"/>
  <c r="AB457" i="2"/>
  <c r="AC457" i="2"/>
  <c r="AD457" i="2"/>
  <c r="AE457" i="2"/>
  <c r="AF457" i="2"/>
  <c r="D458" i="2"/>
  <c r="F458" i="2"/>
  <c r="G458" i="2"/>
  <c r="Z458" i="2"/>
  <c r="AA458" i="2"/>
  <c r="AB458" i="2"/>
  <c r="AC458" i="2"/>
  <c r="AD458" i="2"/>
  <c r="AE458" i="2"/>
  <c r="AF458" i="2"/>
  <c r="D459" i="2"/>
  <c r="F459" i="2"/>
  <c r="G459" i="2"/>
  <c r="I459" i="2"/>
  <c r="Z459" i="2"/>
  <c r="AA459" i="2"/>
  <c r="AB459" i="2"/>
  <c r="AC459" i="2"/>
  <c r="AD459" i="2"/>
  <c r="AE459" i="2"/>
  <c r="AF459" i="2"/>
  <c r="D460" i="2"/>
  <c r="F460" i="2"/>
  <c r="G460" i="2"/>
  <c r="I460" i="2"/>
  <c r="Z460" i="2"/>
  <c r="AA460" i="2"/>
  <c r="AB460" i="2"/>
  <c r="AC460" i="2"/>
  <c r="AD460" i="2"/>
  <c r="AE460" i="2"/>
  <c r="AF460" i="2"/>
  <c r="D461" i="2"/>
  <c r="F461" i="2"/>
  <c r="G461" i="2"/>
  <c r="I461" i="2"/>
  <c r="Z461" i="2"/>
  <c r="AA461" i="2"/>
  <c r="AB461" i="2"/>
  <c r="AC461" i="2"/>
  <c r="AD461" i="2"/>
  <c r="AE461" i="2"/>
  <c r="AF461" i="2"/>
  <c r="D462" i="2"/>
  <c r="F462" i="2"/>
  <c r="G462" i="2"/>
  <c r="Z462" i="2"/>
  <c r="AA462" i="2"/>
  <c r="AB462" i="2"/>
  <c r="AC462" i="2"/>
  <c r="AD462" i="2"/>
  <c r="AE462" i="2"/>
  <c r="AF462" i="2"/>
  <c r="D463" i="2"/>
  <c r="F463" i="2"/>
  <c r="G463" i="2"/>
  <c r="I463" i="2"/>
  <c r="Z463" i="2"/>
  <c r="AA463" i="2"/>
  <c r="AB463" i="2"/>
  <c r="AC463" i="2"/>
  <c r="AD463" i="2"/>
  <c r="AE463" i="2"/>
  <c r="AF463" i="2"/>
  <c r="D464" i="2"/>
  <c r="F464" i="2"/>
  <c r="G464" i="2"/>
  <c r="I464" i="2"/>
  <c r="Z464" i="2"/>
  <c r="AA464" i="2"/>
  <c r="AB464" i="2"/>
  <c r="AC464" i="2"/>
  <c r="AD464" i="2"/>
  <c r="AE464" i="2"/>
  <c r="AF464" i="2"/>
  <c r="D465" i="2"/>
  <c r="F465" i="2"/>
  <c r="G465" i="2"/>
  <c r="I465" i="2"/>
  <c r="Z465" i="2"/>
  <c r="AA465" i="2"/>
  <c r="AB465" i="2"/>
  <c r="AC465" i="2"/>
  <c r="AD465" i="2"/>
  <c r="AE465" i="2"/>
  <c r="AF465" i="2"/>
  <c r="C466" i="2"/>
  <c r="D466" i="2"/>
  <c r="F466" i="2"/>
  <c r="G466" i="2"/>
  <c r="Z466" i="2"/>
  <c r="AA466" i="2"/>
  <c r="AB466" i="2"/>
  <c r="AC466" i="2"/>
  <c r="AD466" i="2"/>
  <c r="AE466" i="2"/>
  <c r="AF466" i="2"/>
  <c r="D467" i="2"/>
  <c r="F467" i="2"/>
  <c r="G467" i="2"/>
  <c r="I467" i="2"/>
  <c r="Z467" i="2"/>
  <c r="AA467" i="2"/>
  <c r="AB467" i="2"/>
  <c r="AC467" i="2"/>
  <c r="AD467" i="2"/>
  <c r="AE467" i="2"/>
  <c r="AF467" i="2"/>
  <c r="D468" i="2"/>
  <c r="F468" i="2"/>
  <c r="G468" i="2"/>
  <c r="I468" i="2"/>
  <c r="Z468" i="2"/>
  <c r="AA468" i="2"/>
  <c r="AB468" i="2"/>
  <c r="AC468" i="2"/>
  <c r="AD468" i="2"/>
  <c r="AE468" i="2"/>
  <c r="AF468" i="2"/>
  <c r="D469" i="2"/>
  <c r="F469" i="2"/>
  <c r="G469" i="2"/>
  <c r="Z469" i="2"/>
  <c r="AA469" i="2"/>
  <c r="AB469" i="2"/>
  <c r="AC469" i="2"/>
  <c r="AD469" i="2"/>
  <c r="AE469" i="2"/>
  <c r="AF469" i="2"/>
  <c r="D470" i="2"/>
  <c r="F470" i="2"/>
  <c r="G470" i="2"/>
  <c r="Z470" i="2"/>
  <c r="AA470" i="2"/>
  <c r="AB470" i="2"/>
  <c r="AC470" i="2"/>
  <c r="AD470" i="2"/>
  <c r="AE470" i="2"/>
  <c r="AF470" i="2"/>
  <c r="D471" i="2"/>
  <c r="F471" i="2"/>
  <c r="G471" i="2"/>
  <c r="I471" i="2"/>
  <c r="Z471" i="2"/>
  <c r="AA471" i="2"/>
  <c r="AB471" i="2"/>
  <c r="AC471" i="2"/>
  <c r="AD471" i="2"/>
  <c r="AE471" i="2"/>
  <c r="AF471" i="2"/>
  <c r="D472" i="2"/>
  <c r="F472" i="2"/>
  <c r="G472" i="2"/>
  <c r="I472" i="2"/>
  <c r="Z472" i="2"/>
  <c r="AA472" i="2"/>
  <c r="AB472" i="2"/>
  <c r="AC472" i="2"/>
  <c r="AD472" i="2"/>
  <c r="AE472" i="2"/>
  <c r="AF472" i="2"/>
  <c r="D473" i="2"/>
  <c r="F473" i="2"/>
  <c r="G473" i="2"/>
  <c r="Z473" i="2"/>
  <c r="AA473" i="2"/>
  <c r="AB473" i="2"/>
  <c r="AC473" i="2"/>
  <c r="AD473" i="2"/>
  <c r="AE473" i="2"/>
  <c r="AF473" i="2"/>
  <c r="D474" i="2"/>
  <c r="F474" i="2"/>
  <c r="G474" i="2"/>
  <c r="Z474" i="2"/>
  <c r="AA474" i="2"/>
  <c r="AB474" i="2"/>
  <c r="AC474" i="2"/>
  <c r="AD474" i="2"/>
  <c r="AE474" i="2"/>
  <c r="AF474" i="2"/>
  <c r="D475" i="2"/>
  <c r="F475" i="2"/>
  <c r="G475" i="2"/>
  <c r="I475" i="2"/>
  <c r="Z475" i="2"/>
  <c r="AA475" i="2"/>
  <c r="AB475" i="2"/>
  <c r="AC475" i="2"/>
  <c r="AD475" i="2"/>
  <c r="AE475" i="2"/>
  <c r="AF475" i="2"/>
  <c r="D476" i="2"/>
  <c r="F476" i="2"/>
  <c r="G476" i="2"/>
  <c r="I476" i="2"/>
  <c r="Z476" i="2"/>
  <c r="AA476" i="2"/>
  <c r="AB476" i="2"/>
  <c r="AC476" i="2"/>
  <c r="AD476" i="2"/>
  <c r="AE476" i="2"/>
  <c r="AF476" i="2"/>
  <c r="D477" i="2"/>
  <c r="F477" i="2"/>
  <c r="G477" i="2"/>
  <c r="Z477" i="2"/>
  <c r="AA477" i="2"/>
  <c r="AB477" i="2"/>
  <c r="AC477" i="2"/>
  <c r="AD477" i="2"/>
  <c r="AE477" i="2"/>
  <c r="AF477" i="2"/>
  <c r="D478" i="2"/>
  <c r="F478" i="2"/>
  <c r="G478" i="2"/>
  <c r="Z478" i="2"/>
  <c r="AA478" i="2"/>
  <c r="AB478" i="2"/>
  <c r="AC478" i="2"/>
  <c r="AD478" i="2"/>
  <c r="AE478" i="2"/>
  <c r="AF478" i="2"/>
  <c r="D479" i="2"/>
  <c r="F479" i="2"/>
  <c r="G479" i="2"/>
  <c r="I479" i="2"/>
  <c r="Z479" i="2"/>
  <c r="AA479" i="2"/>
  <c r="AB479" i="2"/>
  <c r="AC479" i="2"/>
  <c r="AD479" i="2"/>
  <c r="AE479" i="2"/>
  <c r="AF479" i="2"/>
  <c r="D480" i="2"/>
  <c r="F480" i="2"/>
  <c r="G480" i="2"/>
  <c r="I480" i="2"/>
  <c r="Z480" i="2"/>
  <c r="AA480" i="2"/>
  <c r="AB480" i="2"/>
  <c r="AC480" i="2"/>
  <c r="AD480" i="2"/>
  <c r="AE480" i="2"/>
  <c r="AF480" i="2"/>
  <c r="D481" i="2"/>
  <c r="F481" i="2"/>
  <c r="G481" i="2"/>
  <c r="Z481" i="2"/>
  <c r="AA481" i="2"/>
  <c r="AB481" i="2"/>
  <c r="AC481" i="2"/>
  <c r="AD481" i="2"/>
  <c r="AE481" i="2"/>
  <c r="AF481" i="2"/>
  <c r="D482" i="2"/>
  <c r="F482" i="2"/>
  <c r="G482" i="2"/>
  <c r="Z482" i="2"/>
  <c r="AA482" i="2"/>
  <c r="AB482" i="2"/>
  <c r="AC482" i="2"/>
  <c r="AD482" i="2"/>
  <c r="AE482" i="2"/>
  <c r="AF482" i="2"/>
  <c r="D483" i="2"/>
  <c r="F483" i="2"/>
  <c r="G483" i="2"/>
  <c r="I483" i="2"/>
  <c r="Z483" i="2"/>
  <c r="AA483" i="2"/>
  <c r="AB483" i="2"/>
  <c r="AC483" i="2"/>
  <c r="AD483" i="2"/>
  <c r="AE483" i="2"/>
  <c r="AF483" i="2"/>
  <c r="D484" i="2"/>
  <c r="F484" i="2"/>
  <c r="G484" i="2"/>
  <c r="I484" i="2"/>
  <c r="Z484" i="2"/>
  <c r="AA484" i="2"/>
  <c r="AB484" i="2"/>
  <c r="AC484" i="2"/>
  <c r="AD484" i="2"/>
  <c r="AE484" i="2"/>
  <c r="AF484" i="2"/>
  <c r="D485" i="2"/>
  <c r="F485" i="2"/>
  <c r="G485" i="2"/>
  <c r="Z485" i="2"/>
  <c r="AA485" i="2"/>
  <c r="AB485" i="2"/>
  <c r="AC485" i="2"/>
  <c r="AD485" i="2"/>
  <c r="AE485" i="2"/>
  <c r="AF485" i="2"/>
  <c r="D486" i="2"/>
  <c r="F486" i="2"/>
  <c r="G486" i="2"/>
  <c r="Z486" i="2"/>
  <c r="AA486" i="2"/>
  <c r="AB486" i="2"/>
  <c r="AC486" i="2"/>
  <c r="AD486" i="2"/>
  <c r="AE486" i="2"/>
  <c r="AF486" i="2"/>
  <c r="D487" i="2"/>
  <c r="F487" i="2"/>
  <c r="G487" i="2"/>
  <c r="I487" i="2"/>
  <c r="Z487" i="2"/>
  <c r="AA487" i="2"/>
  <c r="AB487" i="2"/>
  <c r="AC487" i="2"/>
  <c r="AD487" i="2"/>
  <c r="AE487" i="2"/>
  <c r="AF487" i="2"/>
  <c r="D488" i="2"/>
  <c r="F488" i="2"/>
  <c r="G488" i="2"/>
  <c r="I488" i="2"/>
  <c r="Z488" i="2"/>
  <c r="AA488" i="2"/>
  <c r="AB488" i="2"/>
  <c r="AC488" i="2"/>
  <c r="AD488" i="2"/>
  <c r="AE488" i="2"/>
  <c r="AF488" i="2"/>
  <c r="D489" i="2"/>
  <c r="F489" i="2"/>
  <c r="G489" i="2"/>
  <c r="Z489" i="2"/>
  <c r="AA489" i="2"/>
  <c r="AB489" i="2"/>
  <c r="AC489" i="2"/>
  <c r="AD489" i="2"/>
  <c r="AE489" i="2"/>
  <c r="AF489" i="2"/>
  <c r="D490" i="2"/>
  <c r="F490" i="2"/>
  <c r="G490" i="2"/>
  <c r="Z490" i="2"/>
  <c r="AA490" i="2"/>
  <c r="AB490" i="2"/>
  <c r="AC490" i="2"/>
  <c r="AD490" i="2"/>
  <c r="AE490" i="2"/>
  <c r="AF490" i="2"/>
  <c r="D491" i="2"/>
  <c r="F491" i="2"/>
  <c r="G491" i="2"/>
  <c r="I491" i="2"/>
  <c r="Z491" i="2"/>
  <c r="AA491" i="2"/>
  <c r="AB491" i="2"/>
  <c r="AC491" i="2"/>
  <c r="AD491" i="2"/>
  <c r="AE491" i="2"/>
  <c r="AF491" i="2"/>
  <c r="D492" i="2"/>
  <c r="F492" i="2"/>
  <c r="G492" i="2"/>
  <c r="I492" i="2"/>
  <c r="Z492" i="2"/>
  <c r="AA492" i="2"/>
  <c r="AB492" i="2"/>
  <c r="AC492" i="2"/>
  <c r="AD492" i="2"/>
  <c r="AE492" i="2"/>
  <c r="AF492" i="2"/>
  <c r="D493" i="2"/>
  <c r="F493" i="2"/>
  <c r="G493" i="2"/>
  <c r="Z493" i="2"/>
  <c r="AA493" i="2"/>
  <c r="AB493" i="2"/>
  <c r="AC493" i="2"/>
  <c r="AD493" i="2"/>
  <c r="AE493" i="2"/>
  <c r="AF493" i="2"/>
  <c r="D494" i="2"/>
  <c r="F494" i="2"/>
  <c r="G494" i="2"/>
  <c r="Z494" i="2"/>
  <c r="AA494" i="2"/>
  <c r="AB494" i="2"/>
  <c r="AC494" i="2"/>
  <c r="AD494" i="2"/>
  <c r="AE494" i="2"/>
  <c r="AF494" i="2"/>
  <c r="D495" i="2"/>
  <c r="F495" i="2"/>
  <c r="G495" i="2"/>
  <c r="I495" i="2"/>
  <c r="Z495" i="2"/>
  <c r="AA495" i="2"/>
  <c r="AB495" i="2"/>
  <c r="AC495" i="2"/>
  <c r="AD495" i="2"/>
  <c r="AE495" i="2"/>
  <c r="AF495" i="2"/>
  <c r="C496" i="2"/>
  <c r="D496" i="2" s="1"/>
  <c r="F496" i="2"/>
  <c r="G496" i="2"/>
  <c r="I496" i="2"/>
  <c r="Z496" i="2"/>
  <c r="AA496" i="2"/>
  <c r="AB496" i="2"/>
  <c r="AC496" i="2"/>
  <c r="AD496" i="2"/>
  <c r="AE496" i="2"/>
  <c r="AF496" i="2"/>
  <c r="D497" i="2"/>
  <c r="F497" i="2"/>
  <c r="G497" i="2"/>
  <c r="Z497" i="2"/>
  <c r="AA497" i="2"/>
  <c r="AB497" i="2"/>
  <c r="AC497" i="2"/>
  <c r="AD497" i="2"/>
  <c r="AE497" i="2"/>
  <c r="AF497" i="2"/>
  <c r="D498" i="2"/>
  <c r="F498" i="2"/>
  <c r="G498" i="2"/>
  <c r="Z498" i="2"/>
  <c r="AA498" i="2"/>
  <c r="AB498" i="2"/>
  <c r="AC498" i="2"/>
  <c r="AD498" i="2"/>
  <c r="AE498" i="2"/>
  <c r="AF498" i="2"/>
  <c r="D499" i="2"/>
  <c r="F499" i="2"/>
  <c r="G499" i="2"/>
  <c r="I499" i="2"/>
  <c r="Z499" i="2"/>
  <c r="AA499" i="2"/>
  <c r="AB499" i="2"/>
  <c r="AC499" i="2"/>
  <c r="AD499" i="2"/>
  <c r="AE499" i="2"/>
  <c r="AF499" i="2"/>
  <c r="D500" i="2"/>
  <c r="F500" i="2"/>
  <c r="G500" i="2"/>
  <c r="I500" i="2"/>
  <c r="Z500" i="2"/>
  <c r="AA500" i="2"/>
  <c r="AB500" i="2"/>
  <c r="AC500" i="2"/>
  <c r="AD500" i="2"/>
  <c r="AE500" i="2"/>
  <c r="AF500" i="2"/>
  <c r="D501" i="2"/>
  <c r="F501" i="2"/>
  <c r="G501" i="2"/>
  <c r="Z501" i="2"/>
  <c r="AA501" i="2"/>
  <c r="AB501" i="2"/>
  <c r="AC501" i="2"/>
  <c r="AD501" i="2"/>
  <c r="AE501" i="2"/>
  <c r="AF501" i="2"/>
  <c r="D502" i="2"/>
  <c r="F502" i="2"/>
  <c r="G502" i="2"/>
  <c r="Z502" i="2"/>
  <c r="AA502" i="2"/>
  <c r="AB502" i="2"/>
  <c r="AC502" i="2"/>
  <c r="AD502" i="2"/>
  <c r="AE502" i="2"/>
  <c r="AF502" i="2"/>
  <c r="D503" i="2"/>
  <c r="F503" i="2"/>
  <c r="G503" i="2"/>
  <c r="I503" i="2"/>
  <c r="Z503" i="2"/>
  <c r="AA503" i="2"/>
  <c r="AB503" i="2"/>
  <c r="AC503" i="2"/>
  <c r="AD503" i="2"/>
  <c r="AE503" i="2"/>
  <c r="AF503" i="2"/>
  <c r="D504" i="2"/>
  <c r="F504" i="2"/>
  <c r="G504" i="2"/>
  <c r="I504" i="2"/>
  <c r="Z504" i="2"/>
  <c r="AA504" i="2"/>
  <c r="AB504" i="2"/>
  <c r="AC504" i="2"/>
  <c r="AD504" i="2"/>
  <c r="AE504" i="2"/>
  <c r="AF504" i="2"/>
  <c r="D505" i="2"/>
  <c r="F505" i="2"/>
  <c r="G505" i="2"/>
  <c r="Z505" i="2"/>
  <c r="AA505" i="2"/>
  <c r="AB505" i="2"/>
  <c r="AC505" i="2"/>
  <c r="AD505" i="2"/>
  <c r="AE505" i="2"/>
  <c r="AF505" i="2"/>
  <c r="D506" i="2"/>
  <c r="F506" i="2"/>
  <c r="G506" i="2"/>
  <c r="Z506" i="2"/>
  <c r="AA506" i="2"/>
  <c r="AB506" i="2"/>
  <c r="AC506" i="2"/>
  <c r="AD506" i="2"/>
  <c r="AE506" i="2"/>
  <c r="AF506" i="2"/>
  <c r="D507" i="2"/>
  <c r="F507" i="2"/>
  <c r="G507" i="2"/>
  <c r="I507" i="2"/>
  <c r="Z507" i="2"/>
  <c r="AA507" i="2"/>
  <c r="AB507" i="2"/>
  <c r="AC507" i="2"/>
  <c r="AD507" i="2"/>
  <c r="AE507" i="2"/>
  <c r="AF507" i="2"/>
  <c r="D508" i="2"/>
  <c r="F508" i="2"/>
  <c r="G508" i="2"/>
  <c r="I508" i="2"/>
  <c r="Z508" i="2"/>
  <c r="AA508" i="2"/>
  <c r="AB508" i="2"/>
  <c r="AC508" i="2"/>
  <c r="AD508" i="2"/>
  <c r="AE508" i="2"/>
  <c r="AF508" i="2"/>
  <c r="D509" i="2"/>
  <c r="F509" i="2"/>
  <c r="G509" i="2"/>
  <c r="Z509" i="2"/>
  <c r="AA509" i="2"/>
  <c r="AB509" i="2"/>
  <c r="AC509" i="2"/>
  <c r="AD509" i="2"/>
  <c r="AE509" i="2"/>
  <c r="AF509" i="2"/>
  <c r="D510" i="2"/>
  <c r="F510" i="2"/>
  <c r="G510" i="2"/>
  <c r="Z510" i="2"/>
  <c r="AA510" i="2"/>
  <c r="AB510" i="2"/>
  <c r="AC510" i="2"/>
  <c r="AD510" i="2"/>
  <c r="AE510" i="2"/>
  <c r="AF510" i="2"/>
  <c r="D511" i="2"/>
  <c r="F511" i="2"/>
  <c r="G511" i="2"/>
  <c r="I511" i="2"/>
  <c r="Z511" i="2"/>
  <c r="AA511" i="2"/>
  <c r="AB511" i="2"/>
  <c r="AC511" i="2"/>
  <c r="AD511" i="2"/>
  <c r="AE511" i="2"/>
  <c r="AF511" i="2"/>
  <c r="D512" i="2"/>
  <c r="F512" i="2"/>
  <c r="G512" i="2"/>
  <c r="I512" i="2"/>
  <c r="Z512" i="2"/>
  <c r="AA512" i="2"/>
  <c r="AB512" i="2"/>
  <c r="AC512" i="2"/>
  <c r="AD512" i="2"/>
  <c r="AE512" i="2"/>
  <c r="AF512" i="2"/>
  <c r="D513" i="2"/>
  <c r="F513" i="2"/>
  <c r="G513" i="2"/>
  <c r="Z513" i="2"/>
  <c r="AA513" i="2"/>
  <c r="AB513" i="2"/>
  <c r="AC513" i="2"/>
  <c r="AD513" i="2"/>
  <c r="AE513" i="2"/>
  <c r="AF513" i="2"/>
  <c r="D514" i="2"/>
  <c r="F514" i="2"/>
  <c r="G514" i="2"/>
  <c r="Z514" i="2"/>
  <c r="AA514" i="2"/>
  <c r="AB514" i="2"/>
  <c r="AC514" i="2"/>
  <c r="AD514" i="2"/>
  <c r="AE514" i="2"/>
  <c r="AF514" i="2"/>
  <c r="D515" i="2"/>
  <c r="F515" i="2"/>
  <c r="G515" i="2"/>
  <c r="I515" i="2"/>
  <c r="Z515" i="2"/>
  <c r="AA515" i="2"/>
  <c r="AB515" i="2"/>
  <c r="AC515" i="2"/>
  <c r="AD515" i="2"/>
  <c r="AE515" i="2"/>
  <c r="AF515" i="2"/>
  <c r="D516" i="2"/>
  <c r="F516" i="2"/>
  <c r="G516" i="2"/>
  <c r="I516" i="2"/>
  <c r="Z516" i="2"/>
  <c r="AA516" i="2"/>
  <c r="AB516" i="2"/>
  <c r="AC516" i="2"/>
  <c r="AD516" i="2"/>
  <c r="AE516" i="2"/>
  <c r="AF516" i="2"/>
  <c r="D517" i="2"/>
  <c r="F517" i="2"/>
  <c r="G517" i="2"/>
  <c r="Z517" i="2"/>
  <c r="AA517" i="2"/>
  <c r="AB517" i="2"/>
  <c r="AC517" i="2"/>
  <c r="AD517" i="2"/>
  <c r="AE517" i="2"/>
  <c r="AF517" i="2"/>
  <c r="D518" i="2"/>
  <c r="F518" i="2"/>
  <c r="G518" i="2"/>
  <c r="Z518" i="2"/>
  <c r="AA518" i="2"/>
  <c r="AB518" i="2"/>
  <c r="AC518" i="2"/>
  <c r="AD518" i="2"/>
  <c r="AE518" i="2"/>
  <c r="AF518" i="2"/>
  <c r="D519" i="2"/>
  <c r="F519" i="2"/>
  <c r="G519" i="2"/>
  <c r="I519" i="2"/>
  <c r="Z519" i="2"/>
  <c r="AA519" i="2"/>
  <c r="AB519" i="2"/>
  <c r="AC519" i="2"/>
  <c r="AD519" i="2"/>
  <c r="AE519" i="2"/>
  <c r="AF519" i="2"/>
  <c r="D520" i="2"/>
  <c r="F520" i="2"/>
  <c r="G520" i="2"/>
  <c r="I520" i="2"/>
  <c r="Z520" i="2"/>
  <c r="AA520" i="2"/>
  <c r="AB520" i="2"/>
  <c r="AC520" i="2"/>
  <c r="AD520" i="2"/>
  <c r="AE520" i="2"/>
  <c r="AF520" i="2"/>
  <c r="D521" i="2"/>
  <c r="F521" i="2"/>
  <c r="G521" i="2"/>
  <c r="Z521" i="2"/>
  <c r="AA521" i="2"/>
  <c r="AB521" i="2"/>
  <c r="AC521" i="2"/>
  <c r="AD521" i="2"/>
  <c r="AE521" i="2"/>
  <c r="AF521" i="2"/>
  <c r="D522" i="2"/>
  <c r="F522" i="2"/>
  <c r="G522" i="2"/>
  <c r="Z522" i="2"/>
  <c r="AA522" i="2"/>
  <c r="AB522" i="2"/>
  <c r="AC522" i="2"/>
  <c r="AD522" i="2"/>
  <c r="AE522" i="2"/>
  <c r="AF522" i="2"/>
  <c r="D523" i="2"/>
  <c r="F523" i="2"/>
  <c r="G523" i="2"/>
  <c r="I523" i="2"/>
  <c r="Z523" i="2"/>
  <c r="AA523" i="2"/>
  <c r="AB523" i="2"/>
  <c r="AC523" i="2"/>
  <c r="AD523" i="2"/>
  <c r="AE523" i="2"/>
  <c r="AF523" i="2"/>
  <c r="D524" i="2"/>
  <c r="F524" i="2"/>
  <c r="G524" i="2"/>
  <c r="I524" i="2"/>
  <c r="Z524" i="2"/>
  <c r="AA524" i="2"/>
  <c r="AB524" i="2"/>
  <c r="AC524" i="2"/>
  <c r="AD524" i="2"/>
  <c r="AE524" i="2"/>
  <c r="AF524" i="2"/>
  <c r="D525" i="2"/>
  <c r="F525" i="2"/>
  <c r="G525" i="2"/>
  <c r="Z525" i="2"/>
  <c r="AA525" i="2"/>
  <c r="AB525" i="2"/>
  <c r="AC525" i="2"/>
  <c r="AD525" i="2"/>
  <c r="AE525" i="2"/>
  <c r="AF525" i="2"/>
  <c r="D526" i="2"/>
  <c r="F526" i="2"/>
  <c r="G526" i="2"/>
  <c r="Z526" i="2"/>
  <c r="AA526" i="2"/>
  <c r="AB526" i="2"/>
  <c r="AC526" i="2"/>
  <c r="AD526" i="2"/>
  <c r="AE526" i="2"/>
  <c r="AF526" i="2"/>
  <c r="D527" i="2"/>
  <c r="F527" i="2"/>
  <c r="G527" i="2"/>
  <c r="I527" i="2"/>
  <c r="Z527" i="2"/>
  <c r="AA527" i="2"/>
  <c r="AB527" i="2"/>
  <c r="AC527" i="2"/>
  <c r="AD527" i="2"/>
  <c r="AE527" i="2"/>
  <c r="AF527" i="2"/>
  <c r="D528" i="2"/>
  <c r="F528" i="2"/>
  <c r="G528" i="2"/>
  <c r="I528" i="2"/>
  <c r="Z528" i="2"/>
  <c r="AA528" i="2"/>
  <c r="AB528" i="2"/>
  <c r="AC528" i="2"/>
  <c r="AD528" i="2"/>
  <c r="AE528" i="2"/>
  <c r="AF528" i="2"/>
  <c r="D529" i="2"/>
  <c r="F529" i="2"/>
  <c r="G529" i="2"/>
  <c r="Z529" i="2"/>
  <c r="AA529" i="2"/>
  <c r="AB529" i="2"/>
  <c r="AC529" i="2"/>
  <c r="AD529" i="2"/>
  <c r="AE529" i="2"/>
  <c r="AF529" i="2"/>
  <c r="D530" i="2"/>
  <c r="F530" i="2"/>
  <c r="G530" i="2"/>
  <c r="Z530" i="2"/>
  <c r="AA530" i="2"/>
  <c r="AB530" i="2"/>
  <c r="AC530" i="2"/>
  <c r="AD530" i="2"/>
  <c r="AE530" i="2"/>
  <c r="AF530" i="2"/>
  <c r="D531" i="2"/>
  <c r="F531" i="2"/>
  <c r="G531" i="2"/>
  <c r="I531" i="2"/>
  <c r="Z531" i="2"/>
  <c r="AA531" i="2"/>
  <c r="AB531" i="2"/>
  <c r="AC531" i="2"/>
  <c r="AD531" i="2"/>
  <c r="AE531" i="2"/>
  <c r="AF531" i="2"/>
  <c r="D532" i="2"/>
  <c r="F532" i="2"/>
  <c r="G532" i="2"/>
  <c r="I532" i="2"/>
  <c r="Z532" i="2"/>
  <c r="AA532" i="2"/>
  <c r="AB532" i="2"/>
  <c r="AC532" i="2"/>
  <c r="AD532" i="2"/>
  <c r="AE532" i="2"/>
  <c r="AF532" i="2"/>
  <c r="D533" i="2"/>
  <c r="F533" i="2"/>
  <c r="G533" i="2"/>
  <c r="Z533" i="2"/>
  <c r="AA533" i="2"/>
  <c r="AB533" i="2"/>
  <c r="AC533" i="2"/>
  <c r="AD533" i="2"/>
  <c r="AE533" i="2"/>
  <c r="AF533" i="2"/>
  <c r="D534" i="2"/>
  <c r="F534" i="2"/>
  <c r="G534" i="2"/>
  <c r="Z534" i="2"/>
  <c r="AA534" i="2"/>
  <c r="AB534" i="2"/>
  <c r="AC534" i="2"/>
  <c r="AD534" i="2"/>
  <c r="AE534" i="2"/>
  <c r="AF534" i="2"/>
  <c r="D535" i="2"/>
  <c r="F535" i="2"/>
  <c r="G535" i="2"/>
  <c r="I535" i="2"/>
  <c r="Z535" i="2"/>
  <c r="AA535" i="2"/>
  <c r="AB535" i="2"/>
  <c r="AC535" i="2"/>
  <c r="AD535" i="2"/>
  <c r="AE535" i="2"/>
  <c r="AF535" i="2"/>
  <c r="D536" i="2"/>
  <c r="F536" i="2"/>
  <c r="G536" i="2"/>
  <c r="I536" i="2"/>
  <c r="Z536" i="2"/>
  <c r="AA536" i="2"/>
  <c r="AB536" i="2"/>
  <c r="AC536" i="2"/>
  <c r="AD536" i="2"/>
  <c r="AE536" i="2"/>
  <c r="AF536" i="2"/>
  <c r="D537" i="2"/>
  <c r="F537" i="2"/>
  <c r="G537" i="2"/>
  <c r="Z537" i="2"/>
  <c r="AA537" i="2"/>
  <c r="AB537" i="2"/>
  <c r="AC537" i="2"/>
  <c r="AD537" i="2"/>
  <c r="AE537" i="2"/>
  <c r="AF537" i="2"/>
  <c r="D538" i="2"/>
  <c r="F538" i="2"/>
  <c r="G538" i="2"/>
  <c r="Z538" i="2"/>
  <c r="AA538" i="2"/>
  <c r="AB538" i="2"/>
  <c r="AC538" i="2"/>
  <c r="AD538" i="2"/>
  <c r="AE538" i="2"/>
  <c r="AF538" i="2"/>
  <c r="D539" i="2"/>
  <c r="F539" i="2"/>
  <c r="G539" i="2"/>
  <c r="I539" i="2"/>
  <c r="Z539" i="2"/>
  <c r="AA539" i="2"/>
  <c r="AB539" i="2"/>
  <c r="AC539" i="2"/>
  <c r="AD539" i="2"/>
  <c r="AE539" i="2"/>
  <c r="AF539" i="2"/>
  <c r="D540" i="2"/>
  <c r="F540" i="2"/>
  <c r="G540" i="2"/>
  <c r="I540" i="2"/>
  <c r="Z540" i="2"/>
  <c r="AA540" i="2"/>
  <c r="AB540" i="2"/>
  <c r="AC540" i="2"/>
  <c r="AD540" i="2"/>
  <c r="AE540" i="2"/>
  <c r="AF540" i="2"/>
  <c r="D541" i="2"/>
  <c r="F541" i="2"/>
  <c r="G541" i="2"/>
  <c r="Z541" i="2"/>
  <c r="AA541" i="2"/>
  <c r="AB541" i="2"/>
  <c r="AC541" i="2"/>
  <c r="AD541" i="2"/>
  <c r="AE541" i="2"/>
  <c r="AF541" i="2"/>
  <c r="D542" i="2"/>
  <c r="F542" i="2"/>
  <c r="G542" i="2"/>
  <c r="Z542" i="2"/>
  <c r="AA542" i="2"/>
  <c r="AB542" i="2"/>
  <c r="AC542" i="2"/>
  <c r="AD542" i="2"/>
  <c r="AE542" i="2"/>
  <c r="AF542" i="2"/>
  <c r="D543" i="2"/>
  <c r="F543" i="2"/>
  <c r="G543" i="2"/>
  <c r="I543" i="2"/>
  <c r="Z543" i="2"/>
  <c r="AA543" i="2"/>
  <c r="AB543" i="2"/>
  <c r="AC543" i="2"/>
  <c r="AD543" i="2"/>
  <c r="AE543" i="2"/>
  <c r="AF543" i="2"/>
  <c r="D544" i="2"/>
  <c r="F544" i="2"/>
  <c r="G544" i="2"/>
  <c r="I544" i="2"/>
  <c r="Z544" i="2"/>
  <c r="AA544" i="2"/>
  <c r="AB544" i="2"/>
  <c r="AC544" i="2"/>
  <c r="AD544" i="2"/>
  <c r="AE544" i="2"/>
  <c r="AF544" i="2"/>
  <c r="D545" i="2"/>
  <c r="F545" i="2"/>
  <c r="G545" i="2"/>
  <c r="Z545" i="2"/>
  <c r="AA545" i="2"/>
  <c r="AB545" i="2"/>
  <c r="AC545" i="2"/>
  <c r="AD545" i="2"/>
  <c r="AE545" i="2"/>
  <c r="AF545" i="2"/>
  <c r="D546" i="2"/>
  <c r="F546" i="2"/>
  <c r="G546" i="2"/>
  <c r="Z546" i="2"/>
  <c r="AA546" i="2"/>
  <c r="AB546" i="2"/>
  <c r="AC546" i="2"/>
  <c r="AD546" i="2"/>
  <c r="AE546" i="2"/>
  <c r="AF546" i="2"/>
  <c r="D547" i="2"/>
  <c r="F547" i="2"/>
  <c r="G547" i="2"/>
  <c r="I547" i="2"/>
  <c r="Z547" i="2"/>
  <c r="AA547" i="2"/>
  <c r="AB547" i="2"/>
  <c r="AC547" i="2"/>
  <c r="AD547" i="2"/>
  <c r="AE547" i="2"/>
  <c r="AF547" i="2"/>
  <c r="D548" i="2"/>
  <c r="F548" i="2"/>
  <c r="G548" i="2"/>
  <c r="I548" i="2"/>
  <c r="Z548" i="2"/>
  <c r="AA548" i="2"/>
  <c r="AB548" i="2"/>
  <c r="AC548" i="2"/>
  <c r="AD548" i="2"/>
  <c r="AE548" i="2"/>
  <c r="AF548" i="2"/>
  <c r="D549" i="2"/>
  <c r="F549" i="2"/>
  <c r="G549" i="2"/>
  <c r="Z549" i="2"/>
  <c r="AA549" i="2"/>
  <c r="AB549" i="2"/>
  <c r="AC549" i="2"/>
  <c r="AD549" i="2"/>
  <c r="AE549" i="2"/>
  <c r="AF549" i="2"/>
  <c r="D550" i="2"/>
  <c r="F550" i="2"/>
  <c r="G550" i="2"/>
  <c r="Z550" i="2"/>
  <c r="AA550" i="2"/>
  <c r="AB550" i="2"/>
  <c r="AC550" i="2"/>
  <c r="AD550" i="2"/>
  <c r="AE550" i="2"/>
  <c r="AF550" i="2"/>
  <c r="D551" i="2"/>
  <c r="F551" i="2"/>
  <c r="G551" i="2"/>
  <c r="I551" i="2"/>
  <c r="Z551" i="2"/>
  <c r="AA551" i="2"/>
  <c r="AB551" i="2"/>
  <c r="AC551" i="2"/>
  <c r="AD551" i="2"/>
  <c r="AE551" i="2"/>
  <c r="AF551" i="2"/>
  <c r="D552" i="2"/>
  <c r="F552" i="2"/>
  <c r="G552" i="2"/>
  <c r="I552" i="2"/>
  <c r="Z552" i="2"/>
  <c r="AA552" i="2"/>
  <c r="AB552" i="2"/>
  <c r="AC552" i="2"/>
  <c r="AD552" i="2"/>
  <c r="AE552" i="2"/>
  <c r="AF552" i="2"/>
  <c r="D553" i="2"/>
  <c r="F553" i="2"/>
  <c r="G553" i="2"/>
  <c r="Z553" i="2"/>
  <c r="AA553" i="2"/>
  <c r="AB553" i="2"/>
  <c r="AC553" i="2"/>
  <c r="AD553" i="2"/>
  <c r="AE553" i="2"/>
  <c r="AF553" i="2"/>
  <c r="D554" i="2"/>
  <c r="F554" i="2"/>
  <c r="G554" i="2"/>
  <c r="Z554" i="2"/>
  <c r="AA554" i="2"/>
  <c r="AB554" i="2"/>
  <c r="AC554" i="2"/>
  <c r="AD554" i="2"/>
  <c r="AE554" i="2"/>
  <c r="AF554" i="2"/>
  <c r="D555" i="2"/>
  <c r="F555" i="2"/>
  <c r="G555" i="2"/>
  <c r="I555" i="2"/>
  <c r="Z555" i="2"/>
  <c r="AA555" i="2"/>
  <c r="AB555" i="2"/>
  <c r="AC555" i="2"/>
  <c r="AD555" i="2"/>
  <c r="AE555" i="2"/>
  <c r="AF555" i="2"/>
  <c r="D556" i="2"/>
  <c r="F556" i="2"/>
  <c r="G556" i="2"/>
  <c r="I556" i="2"/>
  <c r="Z556" i="2"/>
  <c r="AA556" i="2"/>
  <c r="AB556" i="2"/>
  <c r="AC556" i="2"/>
  <c r="AD556" i="2"/>
  <c r="AE556" i="2"/>
  <c r="AF556" i="2"/>
  <c r="D557" i="2"/>
  <c r="F557" i="2"/>
  <c r="G557" i="2"/>
  <c r="Z557" i="2"/>
  <c r="AA557" i="2"/>
  <c r="AB557" i="2"/>
  <c r="AC557" i="2"/>
  <c r="AD557" i="2"/>
  <c r="AE557" i="2"/>
  <c r="AF557" i="2"/>
  <c r="D558" i="2"/>
  <c r="F558" i="2"/>
  <c r="G558" i="2"/>
  <c r="Z558" i="2"/>
  <c r="AA558" i="2"/>
  <c r="AB558" i="2"/>
  <c r="AC558" i="2"/>
  <c r="AD558" i="2"/>
  <c r="AE558" i="2"/>
  <c r="AF558" i="2"/>
  <c r="D559" i="2"/>
  <c r="F559" i="2"/>
  <c r="G559" i="2"/>
  <c r="I559" i="2"/>
  <c r="Z559" i="2"/>
  <c r="AA559" i="2"/>
  <c r="AB559" i="2"/>
  <c r="AC559" i="2"/>
  <c r="AD559" i="2"/>
  <c r="AE559" i="2"/>
  <c r="AF559" i="2"/>
  <c r="D560" i="2"/>
  <c r="F560" i="2"/>
  <c r="G560" i="2"/>
  <c r="I560" i="2"/>
  <c r="Z560" i="2"/>
  <c r="AA560" i="2"/>
  <c r="AB560" i="2"/>
  <c r="AC560" i="2"/>
  <c r="AD560" i="2"/>
  <c r="AE560" i="2"/>
  <c r="AF560" i="2"/>
  <c r="D561" i="2"/>
  <c r="F561" i="2"/>
  <c r="G561" i="2"/>
  <c r="Z561" i="2"/>
  <c r="AA561" i="2"/>
  <c r="AB561" i="2"/>
  <c r="AC561" i="2"/>
  <c r="AD561" i="2"/>
  <c r="AE561" i="2"/>
  <c r="AF561" i="2"/>
  <c r="D562" i="2"/>
  <c r="F562" i="2"/>
  <c r="G562" i="2"/>
  <c r="Z562" i="2"/>
  <c r="AA562" i="2"/>
  <c r="AB562" i="2"/>
  <c r="AC562" i="2"/>
  <c r="AD562" i="2"/>
  <c r="AE562" i="2"/>
  <c r="AF562" i="2"/>
  <c r="D563" i="2"/>
  <c r="F563" i="2"/>
  <c r="G563" i="2"/>
  <c r="I563" i="2"/>
  <c r="Z563" i="2"/>
  <c r="AA563" i="2"/>
  <c r="AB563" i="2"/>
  <c r="AC563" i="2"/>
  <c r="AD563" i="2"/>
  <c r="AE563" i="2"/>
  <c r="AF563" i="2"/>
  <c r="D564" i="2"/>
  <c r="F564" i="2"/>
  <c r="G564" i="2"/>
  <c r="I564" i="2"/>
  <c r="Z564" i="2"/>
  <c r="AA564" i="2"/>
  <c r="AB564" i="2"/>
  <c r="AC564" i="2"/>
  <c r="AD564" i="2"/>
  <c r="AE564" i="2"/>
  <c r="AF564" i="2"/>
  <c r="D565" i="2"/>
  <c r="F565" i="2"/>
  <c r="G565" i="2"/>
  <c r="Z565" i="2"/>
  <c r="AA565" i="2"/>
  <c r="AB565" i="2"/>
  <c r="AC565" i="2"/>
  <c r="AD565" i="2"/>
  <c r="AE565" i="2"/>
  <c r="AF565" i="2"/>
  <c r="D566" i="2"/>
  <c r="F566" i="2"/>
  <c r="G566" i="2"/>
  <c r="Z566" i="2"/>
  <c r="AA566" i="2"/>
  <c r="AB566" i="2"/>
  <c r="AC566" i="2"/>
  <c r="AD566" i="2"/>
  <c r="AE566" i="2"/>
  <c r="AF566" i="2"/>
  <c r="D567" i="2"/>
  <c r="F567" i="2"/>
  <c r="G567" i="2"/>
  <c r="I567" i="2"/>
  <c r="Z567" i="2"/>
  <c r="AA567" i="2"/>
  <c r="AB567" i="2"/>
  <c r="AC567" i="2"/>
  <c r="AD567" i="2"/>
  <c r="AE567" i="2"/>
  <c r="AF567" i="2"/>
  <c r="D568" i="2"/>
  <c r="F568" i="2"/>
  <c r="G568" i="2"/>
  <c r="I568" i="2"/>
  <c r="Z568" i="2"/>
  <c r="AA568" i="2"/>
  <c r="AB568" i="2"/>
  <c r="AC568" i="2"/>
  <c r="AD568" i="2"/>
  <c r="AE568" i="2"/>
  <c r="AF568" i="2"/>
  <c r="D569" i="2"/>
  <c r="F569" i="2"/>
  <c r="G569" i="2"/>
  <c r="Z569" i="2"/>
  <c r="AA569" i="2"/>
  <c r="AB569" i="2"/>
  <c r="AC569" i="2"/>
  <c r="AD569" i="2"/>
  <c r="AE569" i="2"/>
  <c r="AF569" i="2"/>
  <c r="D570" i="2"/>
  <c r="F570" i="2"/>
  <c r="G570" i="2"/>
  <c r="Z570" i="2"/>
  <c r="AA570" i="2"/>
  <c r="AB570" i="2"/>
  <c r="AC570" i="2"/>
  <c r="AD570" i="2"/>
  <c r="AE570" i="2"/>
  <c r="AF570" i="2"/>
  <c r="D571" i="2"/>
  <c r="F571" i="2"/>
  <c r="G571" i="2"/>
  <c r="I571" i="2"/>
  <c r="Z571" i="2"/>
  <c r="AA571" i="2"/>
  <c r="AB571" i="2"/>
  <c r="AC571" i="2"/>
  <c r="AD571" i="2"/>
  <c r="AE571" i="2"/>
  <c r="AF571" i="2"/>
  <c r="D572" i="2"/>
  <c r="F572" i="2"/>
  <c r="G572" i="2"/>
  <c r="I572" i="2"/>
  <c r="Z572" i="2"/>
  <c r="AA572" i="2"/>
  <c r="AB572" i="2"/>
  <c r="AC572" i="2"/>
  <c r="AD572" i="2"/>
  <c r="AE572" i="2"/>
  <c r="AF572" i="2"/>
  <c r="D573" i="2"/>
  <c r="F573" i="2"/>
  <c r="G573" i="2"/>
  <c r="Z573" i="2"/>
  <c r="AA573" i="2"/>
  <c r="AB573" i="2"/>
  <c r="AC573" i="2"/>
  <c r="AD573" i="2"/>
  <c r="AE573" i="2"/>
  <c r="AF573" i="2"/>
  <c r="D574" i="2"/>
  <c r="F574" i="2"/>
  <c r="G574" i="2"/>
  <c r="Z574" i="2"/>
  <c r="AA574" i="2"/>
  <c r="AB574" i="2"/>
  <c r="AC574" i="2"/>
  <c r="AD574" i="2"/>
  <c r="AE574" i="2"/>
  <c r="AF574" i="2"/>
  <c r="D575" i="2"/>
  <c r="F575" i="2"/>
  <c r="G575" i="2"/>
  <c r="I575" i="2"/>
  <c r="Z575" i="2"/>
  <c r="AA575" i="2"/>
  <c r="AB575" i="2"/>
  <c r="AC575" i="2"/>
  <c r="AD575" i="2"/>
  <c r="AE575" i="2"/>
  <c r="AF575" i="2"/>
  <c r="D576" i="2"/>
  <c r="F576" i="2"/>
  <c r="G576" i="2"/>
  <c r="I576" i="2"/>
  <c r="Z576" i="2"/>
  <c r="AA576" i="2"/>
  <c r="AB576" i="2"/>
  <c r="AC576" i="2"/>
  <c r="AD576" i="2"/>
  <c r="AE576" i="2"/>
  <c r="AF576" i="2"/>
  <c r="D577" i="2"/>
  <c r="F577" i="2"/>
  <c r="G577" i="2"/>
  <c r="Z577" i="2"/>
  <c r="AA577" i="2"/>
  <c r="AB577" i="2"/>
  <c r="AC577" i="2"/>
  <c r="AD577" i="2"/>
  <c r="AE577" i="2"/>
  <c r="AF577" i="2"/>
  <c r="D578" i="2"/>
  <c r="F578" i="2"/>
  <c r="G578" i="2"/>
  <c r="Z578" i="2"/>
  <c r="AA578" i="2"/>
  <c r="AB578" i="2"/>
  <c r="AC578" i="2"/>
  <c r="AD578" i="2"/>
  <c r="AE578" i="2"/>
  <c r="AF578" i="2"/>
  <c r="D579" i="2"/>
  <c r="F579" i="2"/>
  <c r="G579" i="2"/>
  <c r="I579" i="2"/>
  <c r="Z579" i="2"/>
  <c r="AA579" i="2"/>
  <c r="AB579" i="2"/>
  <c r="AC579" i="2"/>
  <c r="AD579" i="2"/>
  <c r="AE579" i="2"/>
  <c r="AF579" i="2"/>
  <c r="D580" i="2"/>
  <c r="F580" i="2"/>
  <c r="G580" i="2"/>
  <c r="I580" i="2"/>
  <c r="Z580" i="2"/>
  <c r="AA580" i="2"/>
  <c r="AB580" i="2"/>
  <c r="AC580" i="2"/>
  <c r="AD580" i="2"/>
  <c r="AE580" i="2"/>
  <c r="AF580" i="2"/>
  <c r="D581" i="2"/>
  <c r="F581" i="2"/>
  <c r="G581" i="2"/>
  <c r="Z581" i="2"/>
  <c r="AA581" i="2"/>
  <c r="AB581" i="2"/>
  <c r="AC581" i="2"/>
  <c r="AD581" i="2"/>
  <c r="AE581" i="2"/>
  <c r="AF581" i="2"/>
  <c r="D582" i="2"/>
  <c r="F582" i="2"/>
  <c r="G582" i="2"/>
  <c r="Z582" i="2"/>
  <c r="AA582" i="2"/>
  <c r="AB582" i="2"/>
  <c r="AC582" i="2"/>
  <c r="AD582" i="2"/>
  <c r="AE582" i="2"/>
  <c r="AF582" i="2"/>
  <c r="D583" i="2"/>
  <c r="F583" i="2"/>
  <c r="G583" i="2"/>
  <c r="I583" i="2"/>
  <c r="Z583" i="2"/>
  <c r="AA583" i="2"/>
  <c r="AB583" i="2"/>
  <c r="AC583" i="2"/>
  <c r="AD583" i="2"/>
  <c r="AE583" i="2"/>
  <c r="AF583" i="2"/>
  <c r="D584" i="2"/>
  <c r="F584" i="2"/>
  <c r="G584" i="2"/>
  <c r="I584" i="2"/>
  <c r="Z584" i="2"/>
  <c r="AA584" i="2"/>
  <c r="AB584" i="2"/>
  <c r="AC584" i="2"/>
  <c r="AD584" i="2"/>
  <c r="AE584" i="2"/>
  <c r="AF584" i="2"/>
  <c r="D585" i="2"/>
  <c r="F585" i="2"/>
  <c r="G585" i="2"/>
  <c r="Z585" i="2"/>
  <c r="AA585" i="2"/>
  <c r="AB585" i="2"/>
  <c r="AC585" i="2"/>
  <c r="AD585" i="2"/>
  <c r="AE585" i="2"/>
  <c r="AF585" i="2"/>
  <c r="D586" i="2"/>
  <c r="F586" i="2"/>
  <c r="G586" i="2"/>
  <c r="Z586" i="2"/>
  <c r="AA586" i="2"/>
  <c r="AB586" i="2"/>
  <c r="AC586" i="2"/>
  <c r="AD586" i="2"/>
  <c r="AE586" i="2"/>
  <c r="AF586" i="2"/>
  <c r="D587" i="2"/>
  <c r="F587" i="2"/>
  <c r="G587" i="2"/>
  <c r="I587" i="2"/>
  <c r="Z587" i="2"/>
  <c r="AA587" i="2"/>
  <c r="AB587" i="2"/>
  <c r="AC587" i="2"/>
  <c r="AD587" i="2"/>
  <c r="AE587" i="2"/>
  <c r="AF587" i="2"/>
  <c r="D588" i="2"/>
  <c r="F588" i="2"/>
  <c r="G588" i="2"/>
  <c r="I588" i="2"/>
  <c r="Z588" i="2"/>
  <c r="AA588" i="2"/>
  <c r="AB588" i="2"/>
  <c r="AC588" i="2"/>
  <c r="AD588" i="2"/>
  <c r="AE588" i="2"/>
  <c r="AF588" i="2"/>
  <c r="D589" i="2"/>
  <c r="F589" i="2"/>
  <c r="G589" i="2"/>
  <c r="Z589" i="2"/>
  <c r="AA589" i="2"/>
  <c r="AB589" i="2"/>
  <c r="AC589" i="2"/>
  <c r="AD589" i="2"/>
  <c r="AE589" i="2"/>
  <c r="AF589" i="2"/>
  <c r="D590" i="2"/>
  <c r="F590" i="2"/>
  <c r="G590" i="2"/>
  <c r="I590" i="2"/>
  <c r="Z590" i="2"/>
  <c r="AA590" i="2"/>
  <c r="AB590" i="2"/>
  <c r="AC590" i="2"/>
  <c r="AD590" i="2"/>
  <c r="AE590" i="2"/>
  <c r="AF590" i="2"/>
  <c r="D591" i="2"/>
  <c r="F591" i="2"/>
  <c r="G591" i="2"/>
  <c r="I591" i="2"/>
  <c r="Z591" i="2"/>
  <c r="AA591" i="2"/>
  <c r="AB591" i="2"/>
  <c r="AC591" i="2"/>
  <c r="AD591" i="2"/>
  <c r="AE591" i="2"/>
  <c r="AF591" i="2"/>
  <c r="D592" i="2"/>
  <c r="F592" i="2"/>
  <c r="G592" i="2"/>
  <c r="I592" i="2"/>
  <c r="Z592" i="2"/>
  <c r="AA592" i="2"/>
  <c r="AB592" i="2"/>
  <c r="AC592" i="2"/>
  <c r="AD592" i="2"/>
  <c r="AE592" i="2"/>
  <c r="AF592" i="2"/>
  <c r="D593" i="2"/>
  <c r="F593" i="2"/>
  <c r="G593" i="2"/>
  <c r="Z593" i="2"/>
  <c r="AA593" i="2"/>
  <c r="AB593" i="2"/>
  <c r="AC593" i="2"/>
  <c r="AD593" i="2"/>
  <c r="AE593" i="2"/>
  <c r="AF593" i="2"/>
  <c r="D594" i="2"/>
  <c r="F594" i="2"/>
  <c r="G594" i="2"/>
  <c r="Z594" i="2"/>
  <c r="AA594" i="2"/>
  <c r="AB594" i="2"/>
  <c r="AC594" i="2"/>
  <c r="AD594" i="2"/>
  <c r="AE594" i="2"/>
  <c r="AF594" i="2"/>
  <c r="D595" i="2"/>
  <c r="F595" i="2"/>
  <c r="G595" i="2"/>
  <c r="I595" i="2"/>
  <c r="Z595" i="2"/>
  <c r="AA595" i="2"/>
  <c r="AB595" i="2"/>
  <c r="AC595" i="2"/>
  <c r="AD595" i="2"/>
  <c r="AE595" i="2"/>
  <c r="AF595" i="2"/>
  <c r="D596" i="2"/>
  <c r="F596" i="2"/>
  <c r="G596" i="2"/>
  <c r="I596" i="2"/>
  <c r="Z596" i="2"/>
  <c r="AA596" i="2"/>
  <c r="AB596" i="2"/>
  <c r="AC596" i="2"/>
  <c r="AD596" i="2"/>
  <c r="AE596" i="2"/>
  <c r="AF596" i="2"/>
  <c r="D597" i="2"/>
  <c r="F597" i="2"/>
  <c r="G597" i="2"/>
  <c r="Z597" i="2"/>
  <c r="AA597" i="2"/>
  <c r="AB597" i="2"/>
  <c r="AC597" i="2"/>
  <c r="AD597" i="2"/>
  <c r="AE597" i="2"/>
  <c r="AF597" i="2"/>
  <c r="D598" i="2"/>
  <c r="F598" i="2"/>
  <c r="G598" i="2"/>
  <c r="Z598" i="2"/>
  <c r="AA598" i="2"/>
  <c r="AB598" i="2"/>
  <c r="AC598" i="2"/>
  <c r="AD598" i="2"/>
  <c r="AE598" i="2"/>
  <c r="AF598" i="2"/>
  <c r="D599" i="2"/>
  <c r="F599" i="2"/>
  <c r="G599" i="2"/>
  <c r="I599" i="2"/>
  <c r="Z599" i="2"/>
  <c r="AA599" i="2"/>
  <c r="AB599" i="2"/>
  <c r="AC599" i="2"/>
  <c r="AD599" i="2"/>
  <c r="AE599" i="2"/>
  <c r="AF599" i="2"/>
  <c r="D600" i="2"/>
  <c r="F600" i="2"/>
  <c r="G600" i="2"/>
  <c r="I600" i="2"/>
  <c r="Z600" i="2"/>
  <c r="AA600" i="2"/>
  <c r="AB600" i="2"/>
  <c r="AC600" i="2"/>
  <c r="AD600" i="2"/>
  <c r="AE600" i="2"/>
  <c r="AF600" i="2"/>
  <c r="D601" i="2"/>
  <c r="F601" i="2"/>
  <c r="G601" i="2"/>
  <c r="Z601" i="2"/>
  <c r="AA601" i="2"/>
  <c r="AB601" i="2"/>
  <c r="AC601" i="2"/>
  <c r="AD601" i="2"/>
  <c r="AE601" i="2"/>
  <c r="AF601" i="2"/>
  <c r="D602" i="2"/>
  <c r="F602" i="2"/>
  <c r="G602" i="2"/>
  <c r="Z602" i="2"/>
  <c r="AA602" i="2"/>
  <c r="AB602" i="2"/>
  <c r="AC602" i="2"/>
  <c r="AD602" i="2"/>
  <c r="AE602" i="2"/>
  <c r="AF602" i="2"/>
  <c r="D603" i="2"/>
  <c r="F603" i="2"/>
  <c r="G603" i="2"/>
  <c r="I603" i="2"/>
  <c r="Z603" i="2"/>
  <c r="AA603" i="2"/>
  <c r="AB603" i="2"/>
  <c r="AC603" i="2"/>
  <c r="AD603" i="2"/>
  <c r="AE603" i="2"/>
  <c r="AF603" i="2"/>
  <c r="D604" i="2"/>
  <c r="F604" i="2"/>
  <c r="G604" i="2"/>
  <c r="I604" i="2"/>
  <c r="Z604" i="2"/>
  <c r="AA604" i="2"/>
  <c r="AB604" i="2"/>
  <c r="AC604" i="2"/>
  <c r="AD604" i="2"/>
  <c r="AE604" i="2"/>
  <c r="AF604" i="2"/>
  <c r="D605" i="2"/>
  <c r="F605" i="2"/>
  <c r="G605" i="2"/>
  <c r="Z605" i="2"/>
  <c r="AA605" i="2"/>
  <c r="AB605" i="2"/>
  <c r="AC605" i="2"/>
  <c r="AD605" i="2"/>
  <c r="AE605" i="2"/>
  <c r="AF605" i="2"/>
  <c r="D606" i="2"/>
  <c r="F606" i="2"/>
  <c r="G606" i="2"/>
  <c r="Z606" i="2"/>
  <c r="AA606" i="2"/>
  <c r="AB606" i="2"/>
  <c r="AC606" i="2"/>
  <c r="AD606" i="2"/>
  <c r="AE606" i="2"/>
  <c r="AF606" i="2"/>
  <c r="D607" i="2"/>
  <c r="F607" i="2"/>
  <c r="G607" i="2"/>
  <c r="I607" i="2"/>
  <c r="Z607" i="2"/>
  <c r="AA607" i="2"/>
  <c r="AB607" i="2"/>
  <c r="AC607" i="2"/>
  <c r="AD607" i="2"/>
  <c r="AE607" i="2"/>
  <c r="AF607" i="2"/>
  <c r="D608" i="2"/>
  <c r="F608" i="2"/>
  <c r="G608" i="2"/>
  <c r="I608" i="2"/>
  <c r="Z608" i="2"/>
  <c r="AA608" i="2"/>
  <c r="AB608" i="2"/>
  <c r="AC608" i="2"/>
  <c r="AD608" i="2"/>
  <c r="AE608" i="2"/>
  <c r="AF608" i="2"/>
  <c r="D609" i="2"/>
  <c r="F609" i="2"/>
  <c r="G609" i="2"/>
  <c r="Z609" i="2"/>
  <c r="AA609" i="2"/>
  <c r="AB609" i="2"/>
  <c r="AC609" i="2"/>
  <c r="AD609" i="2"/>
  <c r="AE609" i="2"/>
  <c r="AF609" i="2"/>
  <c r="D610" i="2"/>
  <c r="F610" i="2"/>
  <c r="G610" i="2"/>
  <c r="Z610" i="2"/>
  <c r="AA610" i="2"/>
  <c r="AB610" i="2"/>
  <c r="AC610" i="2"/>
  <c r="AD610" i="2"/>
  <c r="AE610" i="2"/>
  <c r="AF610" i="2"/>
  <c r="D611" i="2"/>
  <c r="F611" i="2"/>
  <c r="G611" i="2"/>
  <c r="I611" i="2"/>
  <c r="Z611" i="2"/>
  <c r="AA611" i="2"/>
  <c r="AB611" i="2"/>
  <c r="AC611" i="2"/>
  <c r="AD611" i="2"/>
  <c r="AE611" i="2"/>
  <c r="AF611" i="2"/>
  <c r="D612" i="2"/>
  <c r="F612" i="2"/>
  <c r="G612" i="2"/>
  <c r="I612" i="2"/>
  <c r="Z612" i="2"/>
  <c r="AA612" i="2"/>
  <c r="AB612" i="2"/>
  <c r="AC612" i="2"/>
  <c r="AD612" i="2"/>
  <c r="AE612" i="2"/>
  <c r="AF612" i="2"/>
  <c r="D613" i="2"/>
  <c r="F613" i="2"/>
  <c r="G613" i="2"/>
  <c r="Z613" i="2"/>
  <c r="AA613" i="2"/>
  <c r="AB613" i="2"/>
  <c r="AC613" i="2"/>
  <c r="AD613" i="2"/>
  <c r="AE613" i="2"/>
  <c r="AF613" i="2"/>
  <c r="D614" i="2"/>
  <c r="F614" i="2"/>
  <c r="G614" i="2"/>
  <c r="Z614" i="2"/>
  <c r="AA614" i="2"/>
  <c r="AB614" i="2"/>
  <c r="AC614" i="2"/>
  <c r="AD614" i="2"/>
  <c r="AE614" i="2"/>
  <c r="AF614" i="2"/>
  <c r="D615" i="2"/>
  <c r="F615" i="2"/>
  <c r="G615" i="2"/>
  <c r="I615" i="2"/>
  <c r="Z615" i="2"/>
  <c r="AA615" i="2"/>
  <c r="AB615" i="2"/>
  <c r="AC615" i="2"/>
  <c r="AD615" i="2"/>
  <c r="AE615" i="2"/>
  <c r="AF615" i="2"/>
  <c r="D616" i="2"/>
  <c r="F616" i="2"/>
  <c r="G616" i="2"/>
  <c r="I616" i="2"/>
  <c r="Z616" i="2"/>
  <c r="AA616" i="2"/>
  <c r="AB616" i="2"/>
  <c r="AC616" i="2"/>
  <c r="AD616" i="2"/>
  <c r="AE616" i="2"/>
  <c r="AF616" i="2"/>
  <c r="D617" i="2"/>
  <c r="F617" i="2"/>
  <c r="G617" i="2"/>
  <c r="Z617" i="2"/>
  <c r="AA617" i="2"/>
  <c r="AB617" i="2"/>
  <c r="AC617" i="2"/>
  <c r="AD617" i="2"/>
  <c r="AE617" i="2"/>
  <c r="AF617" i="2"/>
  <c r="D618" i="2"/>
  <c r="F618" i="2"/>
  <c r="G618" i="2"/>
  <c r="Z618" i="2"/>
  <c r="AA618" i="2"/>
  <c r="AB618" i="2"/>
  <c r="AC618" i="2"/>
  <c r="AD618" i="2"/>
  <c r="AE618" i="2"/>
  <c r="AF618" i="2"/>
  <c r="D619" i="2"/>
  <c r="F619" i="2"/>
  <c r="G619" i="2"/>
  <c r="I619" i="2"/>
  <c r="Z619" i="2"/>
  <c r="AA619" i="2"/>
  <c r="AB619" i="2"/>
  <c r="AC619" i="2"/>
  <c r="AD619" i="2"/>
  <c r="AE619" i="2"/>
  <c r="AF619" i="2"/>
  <c r="D620" i="2"/>
  <c r="F620" i="2"/>
  <c r="G620" i="2"/>
  <c r="I620" i="2"/>
  <c r="Z620" i="2"/>
  <c r="AA620" i="2"/>
  <c r="AB620" i="2"/>
  <c r="AC620" i="2"/>
  <c r="AD620" i="2"/>
  <c r="AE620" i="2"/>
  <c r="AF620" i="2"/>
  <c r="D621" i="2"/>
  <c r="F621" i="2"/>
  <c r="G621" i="2"/>
  <c r="Z621" i="2"/>
  <c r="AA621" i="2"/>
  <c r="AB621" i="2"/>
  <c r="AC621" i="2"/>
  <c r="AD621" i="2"/>
  <c r="AE621" i="2"/>
  <c r="AF621" i="2"/>
  <c r="D622" i="2"/>
  <c r="F622" i="2"/>
  <c r="G622" i="2"/>
  <c r="Z622" i="2"/>
  <c r="AA622" i="2"/>
  <c r="AB622" i="2"/>
  <c r="AC622" i="2"/>
  <c r="AD622" i="2"/>
  <c r="AE622" i="2"/>
  <c r="AF622" i="2"/>
  <c r="D623" i="2"/>
  <c r="F623" i="2"/>
  <c r="G623" i="2"/>
  <c r="I623" i="2"/>
  <c r="Z623" i="2"/>
  <c r="AA623" i="2"/>
  <c r="AB623" i="2"/>
  <c r="AC623" i="2"/>
  <c r="AD623" i="2"/>
  <c r="AE623" i="2"/>
  <c r="AF623" i="2"/>
  <c r="D624" i="2"/>
  <c r="F624" i="2"/>
  <c r="G624" i="2"/>
  <c r="I624" i="2"/>
  <c r="Z624" i="2"/>
  <c r="AA624" i="2"/>
  <c r="AB624" i="2"/>
  <c r="AC624" i="2"/>
  <c r="AD624" i="2"/>
  <c r="AE624" i="2"/>
  <c r="AF624" i="2"/>
  <c r="D625" i="2"/>
  <c r="F625" i="2"/>
  <c r="G625" i="2"/>
  <c r="Z625" i="2"/>
  <c r="AA625" i="2"/>
  <c r="AB625" i="2"/>
  <c r="AC625" i="2"/>
  <c r="AD625" i="2"/>
  <c r="AE625" i="2"/>
  <c r="AF625" i="2"/>
  <c r="D626" i="2"/>
  <c r="F626" i="2"/>
  <c r="G626" i="2"/>
  <c r="Z626" i="2"/>
  <c r="AA626" i="2"/>
  <c r="AB626" i="2"/>
  <c r="AC626" i="2"/>
  <c r="AD626" i="2"/>
  <c r="AE626" i="2"/>
  <c r="AF626" i="2"/>
  <c r="D627" i="2"/>
  <c r="F627" i="2"/>
  <c r="G627" i="2"/>
  <c r="I627" i="2"/>
  <c r="Z627" i="2"/>
  <c r="AA627" i="2"/>
  <c r="AB627" i="2"/>
  <c r="AC627" i="2"/>
  <c r="AD627" i="2"/>
  <c r="AE627" i="2"/>
  <c r="AF627" i="2"/>
  <c r="D628" i="2"/>
  <c r="F628" i="2"/>
  <c r="G628" i="2"/>
  <c r="I628" i="2"/>
  <c r="Z628" i="2"/>
  <c r="AA628" i="2"/>
  <c r="AB628" i="2"/>
  <c r="AC628" i="2"/>
  <c r="AD628" i="2"/>
  <c r="AE628" i="2"/>
  <c r="AF628" i="2"/>
  <c r="D629" i="2"/>
  <c r="F629" i="2"/>
  <c r="G629" i="2"/>
  <c r="Z629" i="2"/>
  <c r="AA629" i="2"/>
  <c r="AB629" i="2"/>
  <c r="AC629" i="2"/>
  <c r="AD629" i="2"/>
  <c r="AE629" i="2"/>
  <c r="AF629" i="2"/>
  <c r="D630" i="2"/>
  <c r="F630" i="2"/>
  <c r="G630" i="2"/>
  <c r="Z630" i="2"/>
  <c r="AA630" i="2"/>
  <c r="AB630" i="2"/>
  <c r="AC630" i="2"/>
  <c r="AD630" i="2"/>
  <c r="AE630" i="2"/>
  <c r="AF630" i="2"/>
  <c r="D631" i="2"/>
  <c r="F631" i="2"/>
  <c r="G631" i="2"/>
  <c r="I631" i="2"/>
  <c r="Z631" i="2"/>
  <c r="AA631" i="2"/>
  <c r="AB631" i="2"/>
  <c r="AC631" i="2"/>
  <c r="AD631" i="2"/>
  <c r="AE631" i="2"/>
  <c r="AF631" i="2"/>
  <c r="D632" i="2"/>
  <c r="F632" i="2"/>
  <c r="G632" i="2"/>
  <c r="I632" i="2"/>
  <c r="Z632" i="2"/>
  <c r="AA632" i="2"/>
  <c r="AB632" i="2"/>
  <c r="AC632" i="2"/>
  <c r="AD632" i="2"/>
  <c r="AE632" i="2"/>
  <c r="AF632" i="2"/>
  <c r="D633" i="2"/>
  <c r="F633" i="2"/>
  <c r="G633" i="2"/>
  <c r="Z633" i="2"/>
  <c r="AA633" i="2"/>
  <c r="AB633" i="2"/>
  <c r="AC633" i="2"/>
  <c r="AD633" i="2"/>
  <c r="AE633" i="2"/>
  <c r="AF633" i="2"/>
  <c r="D634" i="2"/>
  <c r="F634" i="2"/>
  <c r="G634" i="2"/>
  <c r="Z634" i="2"/>
  <c r="AA634" i="2"/>
  <c r="AB634" i="2"/>
  <c r="AC634" i="2"/>
  <c r="AD634" i="2"/>
  <c r="AE634" i="2"/>
  <c r="AF634" i="2"/>
  <c r="D635" i="2"/>
  <c r="F635" i="2"/>
  <c r="G635" i="2"/>
  <c r="I635" i="2"/>
  <c r="Z635" i="2"/>
  <c r="AA635" i="2"/>
  <c r="AB635" i="2"/>
  <c r="AC635" i="2"/>
  <c r="AD635" i="2"/>
  <c r="AE635" i="2"/>
  <c r="AF635" i="2"/>
  <c r="D636" i="2"/>
  <c r="F636" i="2"/>
  <c r="G636" i="2"/>
  <c r="I636" i="2"/>
  <c r="Z636" i="2"/>
  <c r="AA636" i="2"/>
  <c r="AB636" i="2"/>
  <c r="AC636" i="2"/>
  <c r="AD636" i="2"/>
  <c r="AE636" i="2"/>
  <c r="AF636" i="2"/>
  <c r="D637" i="2"/>
  <c r="F637" i="2"/>
  <c r="G637" i="2"/>
  <c r="Z637" i="2"/>
  <c r="AA637" i="2"/>
  <c r="AB637" i="2"/>
  <c r="AC637" i="2"/>
  <c r="AD637" i="2"/>
  <c r="AE637" i="2"/>
  <c r="AF637" i="2"/>
  <c r="D638" i="2"/>
  <c r="F638" i="2"/>
  <c r="G638" i="2"/>
  <c r="Z638" i="2"/>
  <c r="AA638" i="2"/>
  <c r="AB638" i="2"/>
  <c r="AC638" i="2"/>
  <c r="AD638" i="2"/>
  <c r="AE638" i="2"/>
  <c r="AF638" i="2"/>
  <c r="D639" i="2"/>
  <c r="F639" i="2"/>
  <c r="G639" i="2"/>
  <c r="I639" i="2"/>
  <c r="Z639" i="2"/>
  <c r="AA639" i="2"/>
  <c r="AB639" i="2"/>
  <c r="AC639" i="2"/>
  <c r="AD639" i="2"/>
  <c r="AE639" i="2"/>
  <c r="AF639" i="2"/>
  <c r="D640" i="2"/>
  <c r="F640" i="2"/>
  <c r="G640" i="2"/>
  <c r="I640" i="2"/>
  <c r="Z640" i="2"/>
  <c r="AA640" i="2"/>
  <c r="AB640" i="2"/>
  <c r="AC640" i="2"/>
  <c r="AD640" i="2"/>
  <c r="AE640" i="2"/>
  <c r="AF640" i="2"/>
  <c r="D641" i="2"/>
  <c r="F641" i="2"/>
  <c r="G641" i="2"/>
  <c r="Z641" i="2"/>
  <c r="AA641" i="2"/>
  <c r="AB641" i="2"/>
  <c r="AC641" i="2"/>
  <c r="AD641" i="2"/>
  <c r="AE641" i="2"/>
  <c r="AF641" i="2"/>
  <c r="D642" i="2"/>
  <c r="F642" i="2"/>
  <c r="G642" i="2"/>
  <c r="Z642" i="2"/>
  <c r="AA642" i="2"/>
  <c r="AB642" i="2"/>
  <c r="AC642" i="2"/>
  <c r="AD642" i="2"/>
  <c r="AE642" i="2"/>
  <c r="AF642" i="2"/>
  <c r="D643" i="2"/>
  <c r="F643" i="2"/>
  <c r="G643" i="2"/>
  <c r="I643" i="2"/>
  <c r="Z643" i="2"/>
  <c r="AA643" i="2"/>
  <c r="AB643" i="2"/>
  <c r="AC643" i="2"/>
  <c r="AD643" i="2"/>
  <c r="AE643" i="2"/>
  <c r="AF643" i="2"/>
  <c r="D644" i="2"/>
  <c r="F644" i="2"/>
  <c r="G644" i="2"/>
  <c r="I644" i="2"/>
  <c r="Z644" i="2"/>
  <c r="AA644" i="2"/>
  <c r="AB644" i="2"/>
  <c r="AC644" i="2"/>
  <c r="AD644" i="2"/>
  <c r="AE644" i="2"/>
  <c r="AF644" i="2"/>
  <c r="D645" i="2"/>
  <c r="F645" i="2"/>
  <c r="G645" i="2"/>
  <c r="Z645" i="2"/>
  <c r="AA645" i="2"/>
  <c r="AB645" i="2"/>
  <c r="AC645" i="2"/>
  <c r="AD645" i="2"/>
  <c r="AE645" i="2"/>
  <c r="AF645" i="2"/>
  <c r="D646" i="2"/>
  <c r="F646" i="2"/>
  <c r="G646" i="2"/>
  <c r="Z646" i="2"/>
  <c r="AA646" i="2"/>
  <c r="AB646" i="2"/>
  <c r="AC646" i="2"/>
  <c r="AD646" i="2"/>
  <c r="AE646" i="2"/>
  <c r="AF646" i="2"/>
  <c r="D647" i="2"/>
  <c r="F647" i="2"/>
  <c r="G647" i="2"/>
  <c r="I647" i="2"/>
  <c r="Z647" i="2"/>
  <c r="AA647" i="2"/>
  <c r="AB647" i="2"/>
  <c r="AC647" i="2"/>
  <c r="AD647" i="2"/>
  <c r="AE647" i="2"/>
  <c r="AF647" i="2"/>
  <c r="D648" i="2"/>
  <c r="F648" i="2"/>
  <c r="G648" i="2"/>
  <c r="I648" i="2"/>
  <c r="Z648" i="2"/>
  <c r="AA648" i="2"/>
  <c r="AB648" i="2"/>
  <c r="AC648" i="2"/>
  <c r="AD648" i="2"/>
  <c r="AE648" i="2"/>
  <c r="AF648" i="2"/>
  <c r="D649" i="2"/>
  <c r="F649" i="2"/>
  <c r="G649" i="2"/>
  <c r="Z649" i="2"/>
  <c r="AA649" i="2"/>
  <c r="AB649" i="2"/>
  <c r="AC649" i="2"/>
  <c r="AD649" i="2"/>
  <c r="AE649" i="2"/>
  <c r="AF649" i="2"/>
  <c r="D650" i="2"/>
  <c r="F650" i="2"/>
  <c r="G650" i="2"/>
  <c r="Z650" i="2"/>
  <c r="AA650" i="2"/>
  <c r="AB650" i="2"/>
  <c r="AC650" i="2"/>
  <c r="AD650" i="2"/>
  <c r="AE650" i="2"/>
  <c r="AF650" i="2"/>
  <c r="D651" i="2"/>
  <c r="F651" i="2"/>
  <c r="G651" i="2"/>
  <c r="I651" i="2"/>
  <c r="Z651" i="2"/>
  <c r="AA651" i="2"/>
  <c r="AB651" i="2"/>
  <c r="AC651" i="2"/>
  <c r="AD651" i="2"/>
  <c r="AE651" i="2"/>
  <c r="AF651" i="2"/>
  <c r="D652" i="2"/>
  <c r="F652" i="2"/>
  <c r="G652" i="2"/>
  <c r="I652" i="2"/>
  <c r="Z652" i="2"/>
  <c r="AA652" i="2"/>
  <c r="AB652" i="2"/>
  <c r="AC652" i="2"/>
  <c r="AD652" i="2"/>
  <c r="AE652" i="2"/>
  <c r="AF652" i="2"/>
  <c r="D653" i="2"/>
  <c r="F653" i="2"/>
  <c r="G653" i="2"/>
  <c r="Z653" i="2"/>
  <c r="AA653" i="2"/>
  <c r="AB653" i="2"/>
  <c r="AC653" i="2"/>
  <c r="AD653" i="2"/>
  <c r="AE653" i="2"/>
  <c r="AF653" i="2"/>
  <c r="D654" i="2"/>
  <c r="F654" i="2"/>
  <c r="G654" i="2"/>
  <c r="Z654" i="2"/>
  <c r="AA654" i="2"/>
  <c r="AB654" i="2"/>
  <c r="AC654" i="2"/>
  <c r="AD654" i="2"/>
  <c r="AE654" i="2"/>
  <c r="AF654" i="2"/>
  <c r="D655" i="2"/>
  <c r="F655" i="2"/>
  <c r="G655" i="2"/>
  <c r="I655" i="2"/>
  <c r="Z655" i="2"/>
  <c r="AA655" i="2"/>
  <c r="AB655" i="2"/>
  <c r="AC655" i="2"/>
  <c r="AD655" i="2"/>
  <c r="AE655" i="2"/>
  <c r="AF655" i="2"/>
  <c r="D656" i="2"/>
  <c r="F656" i="2"/>
  <c r="G656" i="2"/>
  <c r="I656" i="2"/>
  <c r="Z656" i="2"/>
  <c r="AA656" i="2"/>
  <c r="AB656" i="2"/>
  <c r="AC656" i="2"/>
  <c r="AD656" i="2"/>
  <c r="AE656" i="2"/>
  <c r="AF656" i="2"/>
  <c r="D657" i="2"/>
  <c r="F657" i="2"/>
  <c r="G657" i="2"/>
  <c r="Z657" i="2"/>
  <c r="AA657" i="2"/>
  <c r="AB657" i="2"/>
  <c r="AC657" i="2"/>
  <c r="AD657" i="2"/>
  <c r="AE657" i="2"/>
  <c r="AF657" i="2"/>
  <c r="D658" i="2"/>
  <c r="F658" i="2"/>
  <c r="G658" i="2"/>
  <c r="Z658" i="2"/>
  <c r="AA658" i="2"/>
  <c r="AB658" i="2"/>
  <c r="AC658" i="2"/>
  <c r="AD658" i="2"/>
  <c r="AE658" i="2"/>
  <c r="AF658" i="2"/>
  <c r="D659" i="2"/>
  <c r="F659" i="2"/>
  <c r="G659" i="2"/>
  <c r="I659" i="2"/>
  <c r="Z659" i="2"/>
  <c r="AA659" i="2"/>
  <c r="AB659" i="2"/>
  <c r="AC659" i="2"/>
  <c r="AD659" i="2"/>
  <c r="AE659" i="2"/>
  <c r="AF659" i="2"/>
  <c r="D660" i="2"/>
  <c r="F660" i="2"/>
  <c r="G660" i="2"/>
  <c r="I660" i="2"/>
  <c r="Z660" i="2"/>
  <c r="AA660" i="2"/>
  <c r="AB660" i="2"/>
  <c r="AC660" i="2"/>
  <c r="AD660" i="2"/>
  <c r="AE660" i="2"/>
  <c r="AF660" i="2"/>
  <c r="D661" i="2"/>
  <c r="F661" i="2"/>
  <c r="G661" i="2"/>
  <c r="Z661" i="2"/>
  <c r="AA661" i="2"/>
  <c r="AB661" i="2"/>
  <c r="AC661" i="2"/>
  <c r="AD661" i="2"/>
  <c r="AE661" i="2"/>
  <c r="AF661" i="2"/>
  <c r="D662" i="2"/>
  <c r="F662" i="2"/>
  <c r="G662" i="2"/>
  <c r="Z662" i="2"/>
  <c r="AA662" i="2"/>
  <c r="AB662" i="2"/>
  <c r="AC662" i="2"/>
  <c r="AD662" i="2"/>
  <c r="AE662" i="2"/>
  <c r="AF662" i="2"/>
  <c r="D663" i="2"/>
  <c r="F663" i="2"/>
  <c r="G663" i="2"/>
  <c r="I663" i="2"/>
  <c r="Z663" i="2"/>
  <c r="AA663" i="2"/>
  <c r="AB663" i="2"/>
  <c r="AC663" i="2"/>
  <c r="AD663" i="2"/>
  <c r="AE663" i="2"/>
  <c r="AF663" i="2"/>
  <c r="D664" i="2"/>
  <c r="F664" i="2"/>
  <c r="G664" i="2"/>
  <c r="I664" i="2"/>
  <c r="Z664" i="2"/>
  <c r="AA664" i="2"/>
  <c r="AB664" i="2"/>
  <c r="AC664" i="2"/>
  <c r="AD664" i="2"/>
  <c r="AE664" i="2"/>
  <c r="AF664" i="2"/>
  <c r="D665" i="2"/>
  <c r="F665" i="2"/>
  <c r="G665" i="2"/>
  <c r="Z665" i="2"/>
  <c r="AA665" i="2"/>
  <c r="AB665" i="2"/>
  <c r="AC665" i="2"/>
  <c r="AD665" i="2"/>
  <c r="AE665" i="2"/>
  <c r="AF665" i="2"/>
  <c r="D666" i="2"/>
  <c r="F666" i="2"/>
  <c r="G666" i="2"/>
  <c r="Z666" i="2"/>
  <c r="AA666" i="2"/>
  <c r="AB666" i="2"/>
  <c r="AC666" i="2"/>
  <c r="AD666" i="2"/>
  <c r="AE666" i="2"/>
  <c r="AF666" i="2"/>
  <c r="D667" i="2"/>
  <c r="F667" i="2"/>
  <c r="G667" i="2"/>
  <c r="I667" i="2"/>
  <c r="Z667" i="2"/>
  <c r="AA667" i="2"/>
  <c r="AB667" i="2"/>
  <c r="AC667" i="2"/>
  <c r="AD667" i="2"/>
  <c r="AE667" i="2"/>
  <c r="AF667" i="2"/>
  <c r="D668" i="2"/>
  <c r="F668" i="2"/>
  <c r="G668" i="2"/>
  <c r="I668" i="2"/>
  <c r="Z668" i="2"/>
  <c r="AA668" i="2"/>
  <c r="AB668" i="2"/>
  <c r="AC668" i="2"/>
  <c r="AD668" i="2"/>
  <c r="AE668" i="2"/>
  <c r="AF668" i="2"/>
  <c r="D669" i="2"/>
  <c r="F669" i="2"/>
  <c r="G669" i="2"/>
  <c r="Z669" i="2"/>
  <c r="AA669" i="2"/>
  <c r="AB669" i="2"/>
  <c r="AC669" i="2"/>
  <c r="AD669" i="2"/>
  <c r="AE669" i="2"/>
  <c r="AF669" i="2"/>
  <c r="D670" i="2"/>
  <c r="F670" i="2"/>
  <c r="G670" i="2"/>
  <c r="Z670" i="2"/>
  <c r="AA670" i="2"/>
  <c r="AB670" i="2"/>
  <c r="AC670" i="2"/>
  <c r="AD670" i="2"/>
  <c r="AE670" i="2"/>
  <c r="AF670" i="2"/>
  <c r="D671" i="2"/>
  <c r="F671" i="2"/>
  <c r="G671" i="2"/>
  <c r="I671" i="2"/>
  <c r="Z671" i="2"/>
  <c r="AA671" i="2"/>
  <c r="AB671" i="2"/>
  <c r="AC671" i="2"/>
  <c r="AD671" i="2"/>
  <c r="AE671" i="2"/>
  <c r="AF671" i="2"/>
  <c r="D672" i="2"/>
  <c r="F672" i="2"/>
  <c r="G672" i="2"/>
  <c r="I672" i="2"/>
  <c r="Z672" i="2"/>
  <c r="AA672" i="2"/>
  <c r="AB672" i="2"/>
  <c r="AC672" i="2"/>
  <c r="AD672" i="2"/>
  <c r="AE672" i="2"/>
  <c r="AF672" i="2"/>
  <c r="D673" i="2"/>
  <c r="F673" i="2"/>
  <c r="G673" i="2"/>
  <c r="Z673" i="2"/>
  <c r="AA673" i="2"/>
  <c r="AB673" i="2"/>
  <c r="AC673" i="2"/>
  <c r="AD673" i="2"/>
  <c r="AE673" i="2"/>
  <c r="AF673" i="2"/>
  <c r="D674" i="2"/>
  <c r="F674" i="2"/>
  <c r="G674" i="2"/>
  <c r="Z674" i="2"/>
  <c r="AA674" i="2"/>
  <c r="AB674" i="2"/>
  <c r="AC674" i="2"/>
  <c r="AD674" i="2"/>
  <c r="AE674" i="2"/>
  <c r="AF674" i="2"/>
  <c r="D675" i="2"/>
  <c r="F675" i="2"/>
  <c r="G675" i="2"/>
  <c r="I675" i="2"/>
  <c r="Z675" i="2"/>
  <c r="AA675" i="2"/>
  <c r="AB675" i="2"/>
  <c r="AC675" i="2"/>
  <c r="AD675" i="2"/>
  <c r="AE675" i="2"/>
  <c r="AF675" i="2"/>
  <c r="D676" i="2"/>
  <c r="F676" i="2"/>
  <c r="G676" i="2"/>
  <c r="I676" i="2"/>
  <c r="Z676" i="2"/>
  <c r="AA676" i="2"/>
  <c r="AB676" i="2"/>
  <c r="AC676" i="2"/>
  <c r="AD676" i="2"/>
  <c r="AE676" i="2"/>
  <c r="AF676" i="2"/>
  <c r="D677" i="2"/>
  <c r="F677" i="2"/>
  <c r="G677" i="2"/>
  <c r="Z677" i="2"/>
  <c r="AA677" i="2"/>
  <c r="AB677" i="2"/>
  <c r="AC677" i="2"/>
  <c r="AD677" i="2"/>
  <c r="AE677" i="2"/>
  <c r="AF677" i="2"/>
  <c r="D678" i="2"/>
  <c r="F678" i="2"/>
  <c r="G678" i="2"/>
  <c r="Z678" i="2"/>
  <c r="AA678" i="2"/>
  <c r="AB678" i="2"/>
  <c r="AC678" i="2"/>
  <c r="AD678" i="2"/>
  <c r="AE678" i="2"/>
  <c r="AF678" i="2"/>
  <c r="D679" i="2"/>
  <c r="F679" i="2"/>
  <c r="G679" i="2"/>
  <c r="I679" i="2"/>
  <c r="Z679" i="2"/>
  <c r="AA679" i="2"/>
  <c r="AB679" i="2"/>
  <c r="AC679" i="2"/>
  <c r="AD679" i="2"/>
  <c r="AE679" i="2"/>
  <c r="AF679" i="2"/>
  <c r="D680" i="2"/>
  <c r="F680" i="2"/>
  <c r="G680" i="2"/>
  <c r="I680" i="2"/>
  <c r="Z680" i="2"/>
  <c r="AA680" i="2"/>
  <c r="AB680" i="2"/>
  <c r="AC680" i="2"/>
  <c r="AD680" i="2"/>
  <c r="AE680" i="2"/>
  <c r="AF680" i="2"/>
  <c r="D681" i="2"/>
  <c r="F681" i="2"/>
  <c r="G681" i="2"/>
  <c r="Z681" i="2"/>
  <c r="AA681" i="2"/>
  <c r="AB681" i="2"/>
  <c r="AC681" i="2"/>
  <c r="AD681" i="2"/>
  <c r="AE681" i="2"/>
  <c r="AF681" i="2"/>
  <c r="D682" i="2"/>
  <c r="F682" i="2"/>
  <c r="G682" i="2"/>
  <c r="Z682" i="2"/>
  <c r="AA682" i="2"/>
  <c r="AB682" i="2"/>
  <c r="AC682" i="2"/>
  <c r="AD682" i="2"/>
  <c r="AE682" i="2"/>
  <c r="AF682" i="2"/>
  <c r="D683" i="2"/>
  <c r="F683" i="2"/>
  <c r="G683" i="2"/>
  <c r="I683" i="2"/>
  <c r="Z683" i="2"/>
  <c r="AA683" i="2"/>
  <c r="AB683" i="2"/>
  <c r="AC683" i="2"/>
  <c r="AD683" i="2"/>
  <c r="AE683" i="2"/>
  <c r="AF683" i="2"/>
  <c r="D684" i="2"/>
  <c r="F684" i="2"/>
  <c r="G684" i="2"/>
  <c r="I684" i="2"/>
  <c r="Z684" i="2"/>
  <c r="AA684" i="2"/>
  <c r="AB684" i="2"/>
  <c r="AC684" i="2"/>
  <c r="AD684" i="2"/>
  <c r="AE684" i="2"/>
  <c r="AF684" i="2"/>
  <c r="D685" i="2"/>
  <c r="F685" i="2"/>
  <c r="G685" i="2"/>
  <c r="Z685" i="2"/>
  <c r="AA685" i="2"/>
  <c r="AB685" i="2"/>
  <c r="AC685" i="2"/>
  <c r="AD685" i="2"/>
  <c r="AE685" i="2"/>
  <c r="AF685" i="2"/>
  <c r="D686" i="2"/>
  <c r="F686" i="2"/>
  <c r="G686" i="2"/>
  <c r="Z686" i="2"/>
  <c r="AA686" i="2"/>
  <c r="AB686" i="2"/>
  <c r="AC686" i="2"/>
  <c r="AD686" i="2"/>
  <c r="AE686" i="2"/>
  <c r="AF686" i="2"/>
  <c r="D687" i="2"/>
  <c r="F687" i="2"/>
  <c r="G687" i="2"/>
  <c r="I687" i="2"/>
  <c r="Z687" i="2"/>
  <c r="AA687" i="2"/>
  <c r="AB687" i="2"/>
  <c r="AC687" i="2"/>
  <c r="AD687" i="2"/>
  <c r="AE687" i="2"/>
  <c r="AF687" i="2"/>
  <c r="D688" i="2"/>
  <c r="F688" i="2"/>
  <c r="G688" i="2"/>
  <c r="I688" i="2"/>
  <c r="Z688" i="2"/>
  <c r="AA688" i="2"/>
  <c r="AB688" i="2"/>
  <c r="AC688" i="2"/>
  <c r="AD688" i="2"/>
  <c r="AE688" i="2"/>
  <c r="AF688" i="2"/>
  <c r="D689" i="2"/>
  <c r="F689" i="2"/>
  <c r="G689" i="2"/>
  <c r="Z689" i="2"/>
  <c r="AA689" i="2"/>
  <c r="AB689" i="2"/>
  <c r="AC689" i="2"/>
  <c r="AD689" i="2"/>
  <c r="AE689" i="2"/>
  <c r="AF689" i="2"/>
  <c r="D690" i="2"/>
  <c r="F690" i="2"/>
  <c r="G690" i="2"/>
  <c r="Z690" i="2"/>
  <c r="AA690" i="2"/>
  <c r="AB690" i="2"/>
  <c r="AC690" i="2"/>
  <c r="AD690" i="2"/>
  <c r="AE690" i="2"/>
  <c r="AF690" i="2"/>
  <c r="D691" i="2"/>
  <c r="F691" i="2"/>
  <c r="G691" i="2"/>
  <c r="I691" i="2"/>
  <c r="Z691" i="2"/>
  <c r="AA691" i="2"/>
  <c r="AB691" i="2"/>
  <c r="AC691" i="2"/>
  <c r="AD691" i="2"/>
  <c r="AE691" i="2"/>
  <c r="AF691" i="2"/>
  <c r="D692" i="2"/>
  <c r="F692" i="2"/>
  <c r="G692" i="2"/>
  <c r="I692" i="2"/>
  <c r="Z692" i="2"/>
  <c r="AA692" i="2"/>
  <c r="AB692" i="2"/>
  <c r="AC692" i="2"/>
  <c r="AD692" i="2"/>
  <c r="AE692" i="2"/>
  <c r="AF692" i="2"/>
  <c r="D693" i="2"/>
  <c r="F693" i="2"/>
  <c r="G693" i="2"/>
  <c r="Z693" i="2"/>
  <c r="AA693" i="2"/>
  <c r="AB693" i="2"/>
  <c r="AC693" i="2"/>
  <c r="AD693" i="2"/>
  <c r="AE693" i="2"/>
  <c r="AF693" i="2"/>
  <c r="D694" i="2"/>
  <c r="F694" i="2"/>
  <c r="G694" i="2"/>
  <c r="Z694" i="2"/>
  <c r="AA694" i="2"/>
  <c r="AB694" i="2"/>
  <c r="AC694" i="2"/>
  <c r="AD694" i="2"/>
  <c r="AE694" i="2"/>
  <c r="AF694" i="2"/>
  <c r="D695" i="2"/>
  <c r="F695" i="2"/>
  <c r="G695" i="2"/>
  <c r="I695" i="2"/>
  <c r="Z695" i="2"/>
  <c r="AA695" i="2"/>
  <c r="AB695" i="2"/>
  <c r="AC695" i="2"/>
  <c r="AD695" i="2"/>
  <c r="AE695" i="2"/>
  <c r="AF695" i="2"/>
  <c r="D696" i="2"/>
  <c r="F696" i="2"/>
  <c r="G696" i="2"/>
  <c r="I696" i="2"/>
  <c r="Z696" i="2"/>
  <c r="AA696" i="2"/>
  <c r="AB696" i="2"/>
  <c r="AC696" i="2"/>
  <c r="AD696" i="2"/>
  <c r="AE696" i="2"/>
  <c r="AF696" i="2"/>
  <c r="D697" i="2"/>
  <c r="F697" i="2"/>
  <c r="G697" i="2"/>
  <c r="Z697" i="2"/>
  <c r="AA697" i="2"/>
  <c r="AB697" i="2"/>
  <c r="AC697" i="2"/>
  <c r="AD697" i="2"/>
  <c r="AE697" i="2"/>
  <c r="AF697" i="2"/>
  <c r="D698" i="2"/>
  <c r="F698" i="2"/>
  <c r="G698" i="2"/>
  <c r="Z698" i="2"/>
  <c r="AA698" i="2"/>
  <c r="AB698" i="2"/>
  <c r="AC698" i="2"/>
  <c r="AD698" i="2"/>
  <c r="AE698" i="2"/>
  <c r="AF698" i="2"/>
  <c r="D699" i="2"/>
  <c r="F699" i="2"/>
  <c r="G699" i="2"/>
  <c r="I699" i="2"/>
  <c r="Z699" i="2"/>
  <c r="AA699" i="2"/>
  <c r="AB699" i="2"/>
  <c r="AC699" i="2"/>
  <c r="AD699" i="2"/>
  <c r="AE699" i="2"/>
  <c r="AF699" i="2"/>
  <c r="D700" i="2"/>
  <c r="F700" i="2"/>
  <c r="G700" i="2"/>
  <c r="I700" i="2"/>
  <c r="Z700" i="2"/>
  <c r="AA700" i="2"/>
  <c r="AB700" i="2"/>
  <c r="AC700" i="2"/>
  <c r="AD700" i="2"/>
  <c r="AE700" i="2"/>
  <c r="AF700" i="2"/>
  <c r="D701" i="2"/>
  <c r="F701" i="2"/>
  <c r="G701" i="2"/>
  <c r="Z701" i="2"/>
  <c r="AA701" i="2"/>
  <c r="AB701" i="2"/>
  <c r="AC701" i="2"/>
  <c r="AD701" i="2"/>
  <c r="AE701" i="2"/>
  <c r="AF701" i="2"/>
  <c r="D702" i="2"/>
  <c r="F702" i="2"/>
  <c r="G702" i="2"/>
  <c r="Z702" i="2"/>
  <c r="AA702" i="2"/>
  <c r="AB702" i="2"/>
  <c r="AC702" i="2"/>
  <c r="AD702" i="2"/>
  <c r="AE702" i="2"/>
  <c r="AF702" i="2"/>
  <c r="D703" i="2"/>
  <c r="F703" i="2"/>
  <c r="G703" i="2"/>
  <c r="I703" i="2"/>
  <c r="Z703" i="2"/>
  <c r="AA703" i="2"/>
  <c r="AB703" i="2"/>
  <c r="AC703" i="2"/>
  <c r="AD703" i="2"/>
  <c r="AE703" i="2"/>
  <c r="AF703" i="2"/>
  <c r="D704" i="2"/>
  <c r="F704" i="2"/>
  <c r="G704" i="2"/>
  <c r="I704" i="2"/>
  <c r="Z704" i="2"/>
  <c r="AA704" i="2"/>
  <c r="AB704" i="2"/>
  <c r="AC704" i="2"/>
  <c r="AD704" i="2"/>
  <c r="AE704" i="2"/>
  <c r="AF704" i="2"/>
  <c r="D705" i="2"/>
  <c r="F705" i="2"/>
  <c r="G705" i="2"/>
  <c r="Z705" i="2"/>
  <c r="AA705" i="2"/>
  <c r="AB705" i="2"/>
  <c r="AC705" i="2"/>
  <c r="AD705" i="2"/>
  <c r="AE705" i="2"/>
  <c r="AF705" i="2"/>
  <c r="D706" i="2"/>
  <c r="F706" i="2"/>
  <c r="G706" i="2"/>
  <c r="Z706" i="2"/>
  <c r="AA706" i="2"/>
  <c r="AB706" i="2"/>
  <c r="AC706" i="2"/>
  <c r="AD706" i="2"/>
  <c r="AE706" i="2"/>
  <c r="AF706" i="2"/>
  <c r="D707" i="2"/>
  <c r="F707" i="2"/>
  <c r="G707" i="2"/>
  <c r="I707" i="2"/>
  <c r="Z707" i="2"/>
  <c r="AA707" i="2"/>
  <c r="AB707" i="2"/>
  <c r="AC707" i="2"/>
  <c r="AD707" i="2"/>
  <c r="AE707" i="2"/>
  <c r="AF707" i="2"/>
  <c r="D708" i="2"/>
  <c r="F708" i="2"/>
  <c r="G708" i="2"/>
  <c r="I708" i="2"/>
  <c r="Z708" i="2"/>
  <c r="AA708" i="2"/>
  <c r="AB708" i="2"/>
  <c r="AC708" i="2"/>
  <c r="AD708" i="2"/>
  <c r="AE708" i="2"/>
  <c r="AF708" i="2"/>
  <c r="D709" i="2"/>
  <c r="F709" i="2"/>
  <c r="G709" i="2"/>
  <c r="Z709" i="2"/>
  <c r="AA709" i="2"/>
  <c r="AB709" i="2"/>
  <c r="AC709" i="2"/>
  <c r="AD709" i="2"/>
  <c r="AE709" i="2"/>
  <c r="AF709" i="2"/>
  <c r="D710" i="2"/>
  <c r="F710" i="2"/>
  <c r="G710" i="2"/>
  <c r="Z710" i="2"/>
  <c r="AA710" i="2"/>
  <c r="AB710" i="2"/>
  <c r="AC710" i="2"/>
  <c r="AD710" i="2"/>
  <c r="AE710" i="2"/>
  <c r="AF710" i="2"/>
  <c r="D711" i="2"/>
  <c r="F711" i="2"/>
  <c r="G711" i="2"/>
  <c r="I711" i="2"/>
  <c r="Z711" i="2"/>
  <c r="AA711" i="2"/>
  <c r="AB711" i="2"/>
  <c r="AC711" i="2"/>
  <c r="AD711" i="2"/>
  <c r="AE711" i="2"/>
  <c r="AF711" i="2"/>
  <c r="D712" i="2"/>
  <c r="F712" i="2"/>
  <c r="G712" i="2"/>
  <c r="I712" i="2"/>
  <c r="Z712" i="2"/>
  <c r="AA712" i="2"/>
  <c r="AB712" i="2"/>
  <c r="AC712" i="2"/>
  <c r="AD712" i="2"/>
  <c r="AE712" i="2"/>
  <c r="AF712" i="2"/>
  <c r="D713" i="2"/>
  <c r="F713" i="2"/>
  <c r="G713" i="2"/>
  <c r="Z713" i="2"/>
  <c r="AA713" i="2"/>
  <c r="AB713" i="2"/>
  <c r="AC713" i="2"/>
  <c r="AD713" i="2"/>
  <c r="AE713" i="2"/>
  <c r="AF713" i="2"/>
  <c r="D714" i="2"/>
  <c r="F714" i="2"/>
  <c r="G714" i="2"/>
  <c r="Z714" i="2"/>
  <c r="AA714" i="2"/>
  <c r="AB714" i="2"/>
  <c r="AC714" i="2"/>
  <c r="AD714" i="2"/>
  <c r="AE714" i="2"/>
  <c r="AF714" i="2"/>
  <c r="D715" i="2"/>
  <c r="F715" i="2"/>
  <c r="G715" i="2"/>
  <c r="I715" i="2"/>
  <c r="Z715" i="2"/>
  <c r="AA715" i="2"/>
  <c r="AB715" i="2"/>
  <c r="AC715" i="2"/>
  <c r="AD715" i="2"/>
  <c r="AE715" i="2"/>
  <c r="AF715" i="2"/>
  <c r="D716" i="2"/>
  <c r="F716" i="2"/>
  <c r="G716" i="2"/>
  <c r="I716" i="2"/>
  <c r="Z716" i="2"/>
  <c r="AA716" i="2"/>
  <c r="AB716" i="2"/>
  <c r="AC716" i="2"/>
  <c r="AD716" i="2"/>
  <c r="AE716" i="2"/>
  <c r="AF716" i="2"/>
  <c r="D717" i="2"/>
  <c r="F717" i="2"/>
  <c r="G717" i="2"/>
  <c r="Z717" i="2"/>
  <c r="AA717" i="2"/>
  <c r="AB717" i="2"/>
  <c r="AC717" i="2"/>
  <c r="AD717" i="2"/>
  <c r="AE717" i="2"/>
  <c r="AF717" i="2"/>
  <c r="D718" i="2"/>
  <c r="F718" i="2"/>
  <c r="G718" i="2"/>
  <c r="I718" i="2"/>
  <c r="Z718" i="2"/>
  <c r="AA718" i="2"/>
  <c r="AB718" i="2"/>
  <c r="AC718" i="2"/>
  <c r="AD718" i="2"/>
  <c r="AE718" i="2"/>
  <c r="AF718" i="2"/>
  <c r="D719" i="2"/>
  <c r="F719" i="2"/>
  <c r="G719" i="2"/>
  <c r="I719" i="2"/>
  <c r="Z719" i="2"/>
  <c r="AA719" i="2"/>
  <c r="AB719" i="2"/>
  <c r="AC719" i="2"/>
  <c r="AD719" i="2"/>
  <c r="AE719" i="2"/>
  <c r="AF719" i="2"/>
  <c r="D720" i="2"/>
  <c r="F720" i="2"/>
  <c r="G720" i="2"/>
  <c r="I720" i="2"/>
  <c r="Z720" i="2"/>
  <c r="AA720" i="2"/>
  <c r="AB720" i="2"/>
  <c r="AC720" i="2"/>
  <c r="AD720" i="2"/>
  <c r="AE720" i="2"/>
  <c r="AF720" i="2"/>
  <c r="D721" i="2"/>
  <c r="F721" i="2"/>
  <c r="G721" i="2"/>
  <c r="Z721" i="2"/>
  <c r="AA721" i="2"/>
  <c r="AB721" i="2"/>
  <c r="AC721" i="2"/>
  <c r="AD721" i="2"/>
  <c r="AE721" i="2"/>
  <c r="AF721" i="2"/>
  <c r="D722" i="2"/>
  <c r="F722" i="2"/>
  <c r="G722" i="2"/>
  <c r="Z722" i="2"/>
  <c r="AA722" i="2"/>
  <c r="AB722" i="2"/>
  <c r="AC722" i="2"/>
  <c r="AD722" i="2"/>
  <c r="AE722" i="2"/>
  <c r="AF722" i="2"/>
  <c r="D723" i="2"/>
  <c r="F723" i="2"/>
  <c r="G723" i="2"/>
  <c r="I723" i="2"/>
  <c r="Z723" i="2"/>
  <c r="AA723" i="2"/>
  <c r="AB723" i="2"/>
  <c r="AC723" i="2"/>
  <c r="AD723" i="2"/>
  <c r="AE723" i="2"/>
  <c r="AF723" i="2"/>
  <c r="D724" i="2"/>
  <c r="F724" i="2"/>
  <c r="G724" i="2"/>
  <c r="I724" i="2"/>
  <c r="Z724" i="2"/>
  <c r="AA724" i="2"/>
  <c r="AB724" i="2"/>
  <c r="AC724" i="2"/>
  <c r="AD724" i="2"/>
  <c r="AE724" i="2"/>
  <c r="AF724" i="2"/>
  <c r="D725" i="2"/>
  <c r="F725" i="2"/>
  <c r="G725" i="2"/>
  <c r="Z725" i="2"/>
  <c r="AA725" i="2"/>
  <c r="AB725" i="2"/>
  <c r="AC725" i="2"/>
  <c r="AD725" i="2"/>
  <c r="AE725" i="2"/>
  <c r="AF725" i="2"/>
  <c r="D726" i="2"/>
  <c r="F726" i="2"/>
  <c r="G726" i="2"/>
  <c r="Z726" i="2"/>
  <c r="AA726" i="2"/>
  <c r="AB726" i="2"/>
  <c r="AC726" i="2"/>
  <c r="AD726" i="2"/>
  <c r="AE726" i="2"/>
  <c r="AF726" i="2"/>
  <c r="D727" i="2"/>
  <c r="F727" i="2"/>
  <c r="G727" i="2"/>
  <c r="I727" i="2"/>
  <c r="Z727" i="2"/>
  <c r="AA727" i="2"/>
  <c r="AB727" i="2"/>
  <c r="AC727" i="2"/>
  <c r="AD727" i="2"/>
  <c r="AE727" i="2"/>
  <c r="AF727" i="2"/>
  <c r="D728" i="2"/>
  <c r="F728" i="2"/>
  <c r="G728" i="2"/>
  <c r="I728" i="2"/>
  <c r="Z728" i="2"/>
  <c r="AA728" i="2"/>
  <c r="AB728" i="2"/>
  <c r="AC728" i="2"/>
  <c r="AD728" i="2"/>
  <c r="AE728" i="2"/>
  <c r="AF728" i="2"/>
  <c r="D729" i="2"/>
  <c r="F729" i="2"/>
  <c r="G729" i="2"/>
  <c r="Z729" i="2"/>
  <c r="AA729" i="2"/>
  <c r="AB729" i="2"/>
  <c r="AC729" i="2"/>
  <c r="AD729" i="2"/>
  <c r="AE729" i="2"/>
  <c r="AF729" i="2"/>
  <c r="D730" i="2"/>
  <c r="F730" i="2"/>
  <c r="G730" i="2"/>
  <c r="Z730" i="2"/>
  <c r="AA730" i="2"/>
  <c r="AB730" i="2"/>
  <c r="AC730" i="2"/>
  <c r="AD730" i="2"/>
  <c r="AE730" i="2"/>
  <c r="AF730" i="2"/>
  <c r="D731" i="2"/>
  <c r="F731" i="2"/>
  <c r="G731" i="2"/>
  <c r="I731" i="2"/>
  <c r="Z731" i="2"/>
  <c r="AA731" i="2"/>
  <c r="AB731" i="2"/>
  <c r="AC731" i="2"/>
  <c r="AD731" i="2"/>
  <c r="AE731" i="2"/>
  <c r="AF731" i="2"/>
  <c r="D732" i="2"/>
  <c r="F732" i="2"/>
  <c r="G732" i="2"/>
  <c r="I732" i="2"/>
  <c r="Z732" i="2"/>
  <c r="AA732" i="2"/>
  <c r="AB732" i="2"/>
  <c r="AC732" i="2"/>
  <c r="AD732" i="2"/>
  <c r="AE732" i="2"/>
  <c r="AF732" i="2"/>
  <c r="D733" i="2"/>
  <c r="F733" i="2"/>
  <c r="G733" i="2"/>
  <c r="Z733" i="2"/>
  <c r="AA733" i="2"/>
  <c r="AB733" i="2"/>
  <c r="AC733" i="2"/>
  <c r="AD733" i="2"/>
  <c r="AE733" i="2"/>
  <c r="AF733" i="2"/>
  <c r="D734" i="2"/>
  <c r="F734" i="2"/>
  <c r="G734" i="2"/>
  <c r="Z734" i="2"/>
  <c r="AA734" i="2"/>
  <c r="AB734" i="2"/>
  <c r="AC734" i="2"/>
  <c r="AD734" i="2"/>
  <c r="AE734" i="2"/>
  <c r="AF734" i="2"/>
  <c r="D735" i="2"/>
  <c r="F735" i="2"/>
  <c r="G735" i="2"/>
  <c r="I735" i="2"/>
  <c r="Z735" i="2"/>
  <c r="AA735" i="2"/>
  <c r="AB735" i="2"/>
  <c r="AC735" i="2"/>
  <c r="AD735" i="2"/>
  <c r="AE735" i="2"/>
  <c r="AF735" i="2"/>
  <c r="D736" i="2"/>
  <c r="F736" i="2"/>
  <c r="G736" i="2"/>
  <c r="I736" i="2"/>
  <c r="Z736" i="2"/>
  <c r="AA736" i="2"/>
  <c r="AB736" i="2"/>
  <c r="AC736" i="2"/>
  <c r="AD736" i="2"/>
  <c r="AE736" i="2"/>
  <c r="AF736" i="2"/>
  <c r="D737" i="2"/>
  <c r="F737" i="2"/>
  <c r="G737" i="2"/>
  <c r="Z737" i="2"/>
  <c r="AA737" i="2"/>
  <c r="AB737" i="2"/>
  <c r="AC737" i="2"/>
  <c r="AD737" i="2"/>
  <c r="AE737" i="2"/>
  <c r="AF737" i="2"/>
  <c r="D738" i="2"/>
  <c r="F738" i="2"/>
  <c r="G738" i="2"/>
  <c r="Z738" i="2"/>
  <c r="AA738" i="2"/>
  <c r="AB738" i="2"/>
  <c r="AC738" i="2"/>
  <c r="AD738" i="2"/>
  <c r="AE738" i="2"/>
  <c r="AF738" i="2"/>
  <c r="D739" i="2"/>
  <c r="F739" i="2"/>
  <c r="G739" i="2"/>
  <c r="I739" i="2"/>
  <c r="Z739" i="2"/>
  <c r="AA739" i="2"/>
  <c r="AB739" i="2"/>
  <c r="AC739" i="2"/>
  <c r="AD739" i="2"/>
  <c r="AE739" i="2"/>
  <c r="AF739" i="2"/>
  <c r="D740" i="2"/>
  <c r="F740" i="2"/>
  <c r="G740" i="2"/>
  <c r="I740" i="2"/>
  <c r="Z740" i="2"/>
  <c r="AA740" i="2"/>
  <c r="AB740" i="2"/>
  <c r="AC740" i="2"/>
  <c r="AD740" i="2"/>
  <c r="AE740" i="2"/>
  <c r="AF740" i="2"/>
  <c r="D741" i="2"/>
  <c r="F741" i="2"/>
  <c r="G741" i="2"/>
  <c r="Z741" i="2"/>
  <c r="AA741" i="2"/>
  <c r="AB741" i="2"/>
  <c r="AC741" i="2"/>
  <c r="AD741" i="2"/>
  <c r="AE741" i="2"/>
  <c r="AF741" i="2"/>
  <c r="D742" i="2"/>
  <c r="F742" i="2"/>
  <c r="G742" i="2"/>
  <c r="Z742" i="2"/>
  <c r="AA742" i="2"/>
  <c r="AB742" i="2"/>
  <c r="AC742" i="2"/>
  <c r="AD742" i="2"/>
  <c r="AE742" i="2"/>
  <c r="AF742" i="2"/>
  <c r="D743" i="2"/>
  <c r="F743" i="2"/>
  <c r="G743" i="2"/>
  <c r="I743" i="2"/>
  <c r="Z743" i="2"/>
  <c r="AA743" i="2"/>
  <c r="AB743" i="2"/>
  <c r="AC743" i="2"/>
  <c r="AD743" i="2"/>
  <c r="AE743" i="2"/>
  <c r="AF743" i="2"/>
  <c r="D744" i="2"/>
  <c r="F744" i="2"/>
  <c r="G744" i="2"/>
  <c r="I744" i="2"/>
  <c r="Z744" i="2"/>
  <c r="AA744" i="2"/>
  <c r="AB744" i="2"/>
  <c r="AC744" i="2"/>
  <c r="AD744" i="2"/>
  <c r="AE744" i="2"/>
  <c r="AF744" i="2"/>
  <c r="D745" i="2"/>
  <c r="F745" i="2"/>
  <c r="G745" i="2"/>
  <c r="Z745" i="2"/>
  <c r="AA745" i="2"/>
  <c r="AB745" i="2"/>
  <c r="AC745" i="2"/>
  <c r="AD745" i="2"/>
  <c r="AE745" i="2"/>
  <c r="AF745" i="2"/>
  <c r="D746" i="2"/>
  <c r="F746" i="2"/>
  <c r="G746" i="2"/>
  <c r="Z746" i="2"/>
  <c r="AA746" i="2"/>
  <c r="AB746" i="2"/>
  <c r="AC746" i="2"/>
  <c r="AD746" i="2"/>
  <c r="AE746" i="2"/>
  <c r="AF746" i="2"/>
  <c r="D747" i="2"/>
  <c r="F747" i="2"/>
  <c r="G747" i="2"/>
  <c r="I747" i="2"/>
  <c r="Z747" i="2"/>
  <c r="AA747" i="2"/>
  <c r="AB747" i="2"/>
  <c r="AC747" i="2"/>
  <c r="AD747" i="2"/>
  <c r="AE747" i="2"/>
  <c r="AF747" i="2"/>
  <c r="D748" i="2"/>
  <c r="F748" i="2"/>
  <c r="G748" i="2"/>
  <c r="I748" i="2"/>
  <c r="Z748" i="2"/>
  <c r="AA748" i="2"/>
  <c r="AB748" i="2"/>
  <c r="AC748" i="2"/>
  <c r="AD748" i="2"/>
  <c r="AE748" i="2"/>
  <c r="AF748" i="2"/>
  <c r="D749" i="2"/>
  <c r="F749" i="2"/>
  <c r="G749" i="2"/>
  <c r="Z749" i="2"/>
  <c r="AA749" i="2"/>
  <c r="AB749" i="2"/>
  <c r="AC749" i="2"/>
  <c r="AD749" i="2"/>
  <c r="AE749" i="2"/>
  <c r="AF749" i="2"/>
  <c r="D750" i="2"/>
  <c r="F750" i="2"/>
  <c r="G750" i="2"/>
  <c r="Z750" i="2"/>
  <c r="AA750" i="2"/>
  <c r="AB750" i="2"/>
  <c r="AC750" i="2"/>
  <c r="AD750" i="2"/>
  <c r="AE750" i="2"/>
  <c r="AF750" i="2"/>
  <c r="D751" i="2"/>
  <c r="F751" i="2"/>
  <c r="G751" i="2"/>
  <c r="I751" i="2"/>
  <c r="Z751" i="2"/>
  <c r="AA751" i="2"/>
  <c r="AB751" i="2"/>
  <c r="AC751" i="2"/>
  <c r="AD751" i="2"/>
  <c r="AE751" i="2"/>
  <c r="AF751" i="2"/>
  <c r="D752" i="2"/>
  <c r="F752" i="2"/>
  <c r="G752" i="2"/>
  <c r="I752" i="2"/>
  <c r="Z752" i="2"/>
  <c r="AA752" i="2"/>
  <c r="AB752" i="2"/>
  <c r="AC752" i="2"/>
  <c r="AD752" i="2"/>
  <c r="AE752" i="2"/>
  <c r="AF752" i="2"/>
  <c r="D753" i="2"/>
  <c r="F753" i="2"/>
  <c r="G753" i="2"/>
  <c r="Z753" i="2"/>
  <c r="AA753" i="2"/>
  <c r="AB753" i="2"/>
  <c r="AC753" i="2"/>
  <c r="AD753" i="2"/>
  <c r="AE753" i="2"/>
  <c r="AF753" i="2"/>
  <c r="D754" i="2"/>
  <c r="F754" i="2"/>
  <c r="G754" i="2"/>
  <c r="Z754" i="2"/>
  <c r="AA754" i="2"/>
  <c r="AB754" i="2"/>
  <c r="AC754" i="2"/>
  <c r="AD754" i="2"/>
  <c r="AE754" i="2"/>
  <c r="AF754" i="2"/>
  <c r="D755" i="2"/>
  <c r="F755" i="2"/>
  <c r="G755" i="2"/>
  <c r="I755" i="2"/>
  <c r="Z755" i="2"/>
  <c r="AA755" i="2"/>
  <c r="AB755" i="2"/>
  <c r="AC755" i="2"/>
  <c r="AD755" i="2"/>
  <c r="AE755" i="2"/>
  <c r="AF755" i="2"/>
  <c r="D756" i="2"/>
  <c r="F756" i="2"/>
  <c r="G756" i="2"/>
  <c r="I756" i="2"/>
  <c r="Z756" i="2"/>
  <c r="AA756" i="2"/>
  <c r="AB756" i="2"/>
  <c r="AC756" i="2"/>
  <c r="AD756" i="2"/>
  <c r="AE756" i="2"/>
  <c r="AF756" i="2"/>
  <c r="D757" i="2"/>
  <c r="F757" i="2"/>
  <c r="G757" i="2"/>
  <c r="Z757" i="2"/>
  <c r="AA757" i="2"/>
  <c r="AB757" i="2"/>
  <c r="AC757" i="2"/>
  <c r="AD757" i="2"/>
  <c r="AE757" i="2"/>
  <c r="AF757" i="2"/>
  <c r="D758" i="2"/>
  <c r="F758" i="2"/>
  <c r="G758" i="2"/>
  <c r="Z758" i="2"/>
  <c r="AA758" i="2"/>
  <c r="AB758" i="2"/>
  <c r="AC758" i="2"/>
  <c r="AD758" i="2"/>
  <c r="AE758" i="2"/>
  <c r="AF758" i="2"/>
  <c r="D759" i="2"/>
  <c r="F759" i="2"/>
  <c r="G759" i="2"/>
  <c r="I759" i="2"/>
  <c r="Z759" i="2"/>
  <c r="AA759" i="2"/>
  <c r="AB759" i="2"/>
  <c r="AC759" i="2"/>
  <c r="AD759" i="2"/>
  <c r="AE759" i="2"/>
  <c r="AF759" i="2"/>
  <c r="D760" i="2"/>
  <c r="F760" i="2"/>
  <c r="G760" i="2"/>
  <c r="I760" i="2"/>
  <c r="Z760" i="2"/>
  <c r="AA760" i="2"/>
  <c r="AB760" i="2"/>
  <c r="AC760" i="2"/>
  <c r="AD760" i="2"/>
  <c r="AE760" i="2"/>
  <c r="AF760" i="2"/>
  <c r="D761" i="2"/>
  <c r="F761" i="2"/>
  <c r="G761" i="2"/>
  <c r="Z761" i="2"/>
  <c r="AA761" i="2"/>
  <c r="AB761" i="2"/>
  <c r="AC761" i="2"/>
  <c r="AD761" i="2"/>
  <c r="AE761" i="2"/>
  <c r="AF761" i="2"/>
  <c r="D762" i="2"/>
  <c r="F762" i="2"/>
  <c r="G762" i="2"/>
  <c r="Z762" i="2"/>
  <c r="AA762" i="2"/>
  <c r="AB762" i="2"/>
  <c r="AC762" i="2"/>
  <c r="AD762" i="2"/>
  <c r="AE762" i="2"/>
  <c r="AF762" i="2"/>
  <c r="D763" i="2"/>
  <c r="F763" i="2"/>
  <c r="G763" i="2"/>
  <c r="I763" i="2"/>
  <c r="Z763" i="2"/>
  <c r="AA763" i="2"/>
  <c r="AB763" i="2"/>
  <c r="AC763" i="2"/>
  <c r="AD763" i="2"/>
  <c r="AE763" i="2"/>
  <c r="AF763" i="2"/>
  <c r="D764" i="2"/>
  <c r="F764" i="2"/>
  <c r="G764" i="2"/>
  <c r="I764" i="2"/>
  <c r="Z764" i="2"/>
  <c r="AA764" i="2"/>
  <c r="AB764" i="2"/>
  <c r="AC764" i="2"/>
  <c r="AD764" i="2"/>
  <c r="AE764" i="2"/>
  <c r="AF764" i="2"/>
  <c r="D765" i="2"/>
  <c r="F765" i="2"/>
  <c r="G765" i="2"/>
  <c r="Z765" i="2"/>
  <c r="AA765" i="2"/>
  <c r="AB765" i="2"/>
  <c r="AC765" i="2"/>
  <c r="AD765" i="2"/>
  <c r="AE765" i="2"/>
  <c r="AF765" i="2"/>
  <c r="D766" i="2"/>
  <c r="F766" i="2"/>
  <c r="G766" i="2"/>
  <c r="Z766" i="2"/>
  <c r="AA766" i="2"/>
  <c r="AB766" i="2"/>
  <c r="AC766" i="2"/>
  <c r="AD766" i="2"/>
  <c r="AE766" i="2"/>
  <c r="AF766" i="2"/>
  <c r="D767" i="2"/>
  <c r="F767" i="2"/>
  <c r="G767" i="2"/>
  <c r="I767" i="2"/>
  <c r="Z767" i="2"/>
  <c r="AA767" i="2"/>
  <c r="AB767" i="2"/>
  <c r="AC767" i="2"/>
  <c r="AD767" i="2"/>
  <c r="AE767" i="2"/>
  <c r="AF767" i="2"/>
  <c r="D768" i="2"/>
  <c r="F768" i="2"/>
  <c r="G768" i="2"/>
  <c r="I768" i="2"/>
  <c r="Z768" i="2"/>
  <c r="AA768" i="2"/>
  <c r="AB768" i="2"/>
  <c r="AC768" i="2"/>
  <c r="AD768" i="2"/>
  <c r="AE768" i="2"/>
  <c r="AF768" i="2"/>
  <c r="C769" i="2"/>
  <c r="D769" i="2" s="1"/>
  <c r="F769" i="2"/>
  <c r="G769" i="2"/>
  <c r="Z769" i="2"/>
  <c r="AA769" i="2"/>
  <c r="AB769" i="2"/>
  <c r="AC769" i="2"/>
  <c r="AD769" i="2"/>
  <c r="AE769" i="2"/>
  <c r="AF769" i="2"/>
  <c r="D770" i="2"/>
  <c r="F770" i="2"/>
  <c r="G770" i="2"/>
  <c r="Z770" i="2"/>
  <c r="AA770" i="2"/>
  <c r="AB770" i="2"/>
  <c r="AC770" i="2"/>
  <c r="AD770" i="2"/>
  <c r="AE770" i="2"/>
  <c r="AF770" i="2"/>
  <c r="D771" i="2"/>
  <c r="F771" i="2"/>
  <c r="G771" i="2"/>
  <c r="I771" i="2"/>
  <c r="Z771" i="2"/>
  <c r="AA771" i="2"/>
  <c r="AB771" i="2"/>
  <c r="AC771" i="2"/>
  <c r="AD771" i="2"/>
  <c r="AE771" i="2"/>
  <c r="AF771" i="2"/>
  <c r="D772" i="2"/>
  <c r="F772" i="2"/>
  <c r="G772" i="2"/>
  <c r="I772" i="2"/>
  <c r="Z772" i="2"/>
  <c r="AA772" i="2"/>
  <c r="AB772" i="2"/>
  <c r="AC772" i="2"/>
  <c r="AD772" i="2"/>
  <c r="AE772" i="2"/>
  <c r="AF772" i="2"/>
  <c r="D773" i="2"/>
  <c r="F773" i="2"/>
  <c r="G773" i="2"/>
  <c r="Z773" i="2"/>
  <c r="AA773" i="2"/>
  <c r="AB773" i="2"/>
  <c r="AC773" i="2"/>
  <c r="AD773" i="2"/>
  <c r="AE773" i="2"/>
  <c r="AF773" i="2"/>
  <c r="D774" i="2"/>
  <c r="F774" i="2"/>
  <c r="G774" i="2"/>
  <c r="Z774" i="2"/>
  <c r="AA774" i="2"/>
  <c r="AB774" i="2"/>
  <c r="AC774" i="2"/>
  <c r="AD774" i="2"/>
  <c r="AE774" i="2"/>
  <c r="AF774" i="2"/>
  <c r="D775" i="2"/>
  <c r="F775" i="2"/>
  <c r="G775" i="2"/>
  <c r="I775" i="2"/>
  <c r="Z775" i="2"/>
  <c r="AA775" i="2"/>
  <c r="AB775" i="2"/>
  <c r="AC775" i="2"/>
  <c r="AD775" i="2"/>
  <c r="AE775" i="2"/>
  <c r="AF775" i="2"/>
  <c r="D776" i="2"/>
  <c r="F776" i="2"/>
  <c r="G776" i="2"/>
  <c r="I776" i="2"/>
  <c r="Z776" i="2"/>
  <c r="AA776" i="2"/>
  <c r="AB776" i="2"/>
  <c r="AC776" i="2"/>
  <c r="AD776" i="2"/>
  <c r="AE776" i="2"/>
  <c r="AF776" i="2"/>
  <c r="D777" i="2"/>
  <c r="F777" i="2"/>
  <c r="G777" i="2"/>
  <c r="Z777" i="2"/>
  <c r="AA777" i="2"/>
  <c r="AB777" i="2"/>
  <c r="AC777" i="2"/>
  <c r="AD777" i="2"/>
  <c r="AE777" i="2"/>
  <c r="AF777" i="2"/>
  <c r="D778" i="2"/>
  <c r="F778" i="2"/>
  <c r="G778" i="2"/>
  <c r="Z778" i="2"/>
  <c r="AA778" i="2"/>
  <c r="AB778" i="2"/>
  <c r="AC778" i="2"/>
  <c r="AD778" i="2"/>
  <c r="AE778" i="2"/>
  <c r="AF778" i="2"/>
  <c r="D779" i="2"/>
  <c r="F779" i="2"/>
  <c r="G779" i="2"/>
  <c r="I779" i="2"/>
  <c r="Z779" i="2"/>
  <c r="AA779" i="2"/>
  <c r="AB779" i="2"/>
  <c r="AC779" i="2"/>
  <c r="AD779" i="2"/>
  <c r="AE779" i="2"/>
  <c r="AF779" i="2"/>
  <c r="D780" i="2"/>
  <c r="F780" i="2"/>
  <c r="G780" i="2"/>
  <c r="I780" i="2"/>
  <c r="Z780" i="2"/>
  <c r="AA780" i="2"/>
  <c r="AB780" i="2"/>
  <c r="AC780" i="2"/>
  <c r="AD780" i="2"/>
  <c r="AE780" i="2"/>
  <c r="AF780" i="2"/>
  <c r="D781" i="2"/>
  <c r="F781" i="2"/>
  <c r="G781" i="2"/>
  <c r="Z781" i="2"/>
  <c r="AA781" i="2"/>
  <c r="AB781" i="2"/>
  <c r="AC781" i="2"/>
  <c r="AD781" i="2"/>
  <c r="AE781" i="2"/>
  <c r="AF781" i="2"/>
  <c r="D782" i="2"/>
  <c r="F782" i="2"/>
  <c r="G782" i="2"/>
  <c r="Z782" i="2"/>
  <c r="AA782" i="2"/>
  <c r="AB782" i="2"/>
  <c r="AC782" i="2"/>
  <c r="AD782" i="2"/>
  <c r="AE782" i="2"/>
  <c r="AF782" i="2"/>
  <c r="D783" i="2"/>
  <c r="F783" i="2"/>
  <c r="G783" i="2"/>
  <c r="I783" i="2"/>
  <c r="Z783" i="2"/>
  <c r="AA783" i="2"/>
  <c r="AB783" i="2"/>
  <c r="AC783" i="2"/>
  <c r="AD783" i="2"/>
  <c r="AE783" i="2"/>
  <c r="AF783" i="2"/>
  <c r="D784" i="2"/>
  <c r="F784" i="2"/>
  <c r="G784" i="2"/>
  <c r="I784" i="2"/>
  <c r="Z784" i="2"/>
  <c r="AA784" i="2"/>
  <c r="AB784" i="2"/>
  <c r="AC784" i="2"/>
  <c r="AD784" i="2"/>
  <c r="AE784" i="2"/>
  <c r="AF784" i="2"/>
  <c r="D785" i="2"/>
  <c r="F785" i="2"/>
  <c r="G785" i="2"/>
  <c r="Z785" i="2"/>
  <c r="AA785" i="2"/>
  <c r="AB785" i="2"/>
  <c r="AC785" i="2"/>
  <c r="AD785" i="2"/>
  <c r="AE785" i="2"/>
  <c r="AF785" i="2"/>
  <c r="D786" i="2"/>
  <c r="F786" i="2"/>
  <c r="G786" i="2"/>
  <c r="Z786" i="2"/>
  <c r="AA786" i="2"/>
  <c r="AB786" i="2"/>
  <c r="AC786" i="2"/>
  <c r="AD786" i="2"/>
  <c r="AE786" i="2"/>
  <c r="AF786" i="2"/>
  <c r="D787" i="2"/>
  <c r="F787" i="2"/>
  <c r="G787" i="2"/>
  <c r="I787" i="2"/>
  <c r="Z787" i="2"/>
  <c r="AA787" i="2"/>
  <c r="AB787" i="2"/>
  <c r="AC787" i="2"/>
  <c r="AD787" i="2"/>
  <c r="AE787" i="2"/>
  <c r="AF787" i="2"/>
  <c r="D788" i="2"/>
  <c r="F788" i="2"/>
  <c r="G788" i="2"/>
  <c r="I788" i="2"/>
  <c r="Z788" i="2"/>
  <c r="AA788" i="2"/>
  <c r="AB788" i="2"/>
  <c r="AC788" i="2"/>
  <c r="AD788" i="2"/>
  <c r="AE788" i="2"/>
  <c r="AF788" i="2"/>
  <c r="D789" i="2"/>
  <c r="F789" i="2"/>
  <c r="G789" i="2"/>
  <c r="Z789" i="2"/>
  <c r="AA789" i="2"/>
  <c r="AB789" i="2"/>
  <c r="AC789" i="2"/>
  <c r="AD789" i="2"/>
  <c r="AE789" i="2"/>
  <c r="AF789" i="2"/>
  <c r="D790" i="2"/>
  <c r="F790" i="2"/>
  <c r="G790" i="2"/>
  <c r="Z790" i="2"/>
  <c r="AA790" i="2"/>
  <c r="AB790" i="2"/>
  <c r="AC790" i="2"/>
  <c r="AD790" i="2"/>
  <c r="AE790" i="2"/>
  <c r="AF790" i="2"/>
  <c r="D791" i="2"/>
  <c r="F791" i="2"/>
  <c r="G791" i="2"/>
  <c r="I791" i="2"/>
  <c r="Z791" i="2"/>
  <c r="AA791" i="2"/>
  <c r="AB791" i="2"/>
  <c r="AC791" i="2"/>
  <c r="AD791" i="2"/>
  <c r="AE791" i="2"/>
  <c r="AF791" i="2"/>
  <c r="D792" i="2"/>
  <c r="F792" i="2"/>
  <c r="G792" i="2"/>
  <c r="I792" i="2"/>
  <c r="Z792" i="2"/>
  <c r="AA792" i="2"/>
  <c r="AB792" i="2"/>
  <c r="AC792" i="2"/>
  <c r="AD792" i="2"/>
  <c r="AE792" i="2"/>
  <c r="AF792" i="2"/>
  <c r="D793" i="2"/>
  <c r="F793" i="2"/>
  <c r="G793" i="2"/>
  <c r="Z793" i="2"/>
  <c r="AA793" i="2"/>
  <c r="AB793" i="2"/>
  <c r="AC793" i="2"/>
  <c r="AD793" i="2"/>
  <c r="AE793" i="2"/>
  <c r="AF793" i="2"/>
  <c r="D794" i="2"/>
  <c r="F794" i="2"/>
  <c r="G794" i="2"/>
  <c r="Z794" i="2"/>
  <c r="AA794" i="2"/>
  <c r="AB794" i="2"/>
  <c r="AC794" i="2"/>
  <c r="AD794" i="2"/>
  <c r="AE794" i="2"/>
  <c r="AF794" i="2"/>
  <c r="D795" i="2"/>
  <c r="F795" i="2"/>
  <c r="G795" i="2"/>
  <c r="I795" i="2"/>
  <c r="Z795" i="2"/>
  <c r="AA795" i="2"/>
  <c r="AB795" i="2"/>
  <c r="AC795" i="2"/>
  <c r="AD795" i="2"/>
  <c r="AE795" i="2"/>
  <c r="AF795" i="2"/>
  <c r="D796" i="2"/>
  <c r="F796" i="2"/>
  <c r="G796" i="2"/>
  <c r="I796" i="2"/>
  <c r="Z796" i="2"/>
  <c r="AA796" i="2"/>
  <c r="AB796" i="2"/>
  <c r="AC796" i="2"/>
  <c r="AD796" i="2"/>
  <c r="AE796" i="2"/>
  <c r="AF796" i="2"/>
  <c r="D797" i="2"/>
  <c r="F797" i="2"/>
  <c r="G797" i="2"/>
  <c r="Z797" i="2"/>
  <c r="AA797" i="2"/>
  <c r="AB797" i="2"/>
  <c r="AC797" i="2"/>
  <c r="AD797" i="2"/>
  <c r="AE797" i="2"/>
  <c r="AF797" i="2"/>
  <c r="D798" i="2"/>
  <c r="F798" i="2"/>
  <c r="G798" i="2"/>
  <c r="Z798" i="2"/>
  <c r="AA798" i="2"/>
  <c r="AB798" i="2"/>
  <c r="AC798" i="2"/>
  <c r="AD798" i="2"/>
  <c r="AE798" i="2"/>
  <c r="AF798" i="2"/>
  <c r="D799" i="2"/>
  <c r="F799" i="2"/>
  <c r="G799" i="2"/>
  <c r="I799" i="2"/>
  <c r="Z799" i="2"/>
  <c r="AA799" i="2"/>
  <c r="AB799" i="2"/>
  <c r="AC799" i="2"/>
  <c r="AD799" i="2"/>
  <c r="AE799" i="2"/>
  <c r="AF799" i="2"/>
  <c r="D800" i="2"/>
  <c r="F800" i="2"/>
  <c r="G800" i="2"/>
  <c r="I800" i="2"/>
  <c r="Z800" i="2"/>
  <c r="AA800" i="2"/>
  <c r="AB800" i="2"/>
  <c r="AC800" i="2"/>
  <c r="AD800" i="2"/>
  <c r="AE800" i="2"/>
  <c r="AF800" i="2"/>
  <c r="D801" i="2"/>
  <c r="F801" i="2"/>
  <c r="G801" i="2"/>
  <c r="Z801" i="2"/>
  <c r="AA801" i="2"/>
  <c r="AB801" i="2"/>
  <c r="AC801" i="2"/>
  <c r="AD801" i="2"/>
  <c r="AE801" i="2"/>
  <c r="AF801" i="2"/>
  <c r="D802" i="2"/>
  <c r="F802" i="2"/>
  <c r="G802" i="2"/>
  <c r="Z802" i="2"/>
  <c r="AA802" i="2"/>
  <c r="AB802" i="2"/>
  <c r="AC802" i="2"/>
  <c r="AD802" i="2"/>
  <c r="AE802" i="2"/>
  <c r="AF802" i="2"/>
  <c r="D803" i="2"/>
  <c r="F803" i="2"/>
  <c r="G803" i="2"/>
  <c r="I803" i="2"/>
  <c r="Z803" i="2"/>
  <c r="AA803" i="2"/>
  <c r="AB803" i="2"/>
  <c r="AC803" i="2"/>
  <c r="AD803" i="2"/>
  <c r="AE803" i="2"/>
  <c r="AF803" i="2"/>
  <c r="D804" i="2"/>
  <c r="F804" i="2"/>
  <c r="G804" i="2"/>
  <c r="I804" i="2"/>
  <c r="Z804" i="2"/>
  <c r="AA804" i="2"/>
  <c r="AB804" i="2"/>
  <c r="AC804" i="2"/>
  <c r="AD804" i="2"/>
  <c r="AE804" i="2"/>
  <c r="AF804" i="2"/>
  <c r="D805" i="2"/>
  <c r="F805" i="2"/>
  <c r="G805" i="2"/>
  <c r="Z805" i="2"/>
  <c r="AA805" i="2"/>
  <c r="AB805" i="2"/>
  <c r="AC805" i="2"/>
  <c r="AD805" i="2"/>
  <c r="AE805" i="2"/>
  <c r="AF805" i="2"/>
  <c r="D806" i="2"/>
  <c r="F806" i="2"/>
  <c r="G806" i="2"/>
  <c r="Z806" i="2"/>
  <c r="AA806" i="2"/>
  <c r="AB806" i="2"/>
  <c r="AC806" i="2"/>
  <c r="AD806" i="2"/>
  <c r="AE806" i="2"/>
  <c r="AF806" i="2"/>
  <c r="D807" i="2"/>
  <c r="F807" i="2"/>
  <c r="G807" i="2"/>
  <c r="I807" i="2"/>
  <c r="Z807" i="2"/>
  <c r="AA807" i="2"/>
  <c r="AB807" i="2"/>
  <c r="AC807" i="2"/>
  <c r="AD807" i="2"/>
  <c r="AE807" i="2"/>
  <c r="AF807" i="2"/>
  <c r="D808" i="2"/>
  <c r="F808" i="2"/>
  <c r="G808" i="2"/>
  <c r="I808" i="2"/>
  <c r="Z808" i="2"/>
  <c r="AA808" i="2"/>
  <c r="AB808" i="2"/>
  <c r="AC808" i="2"/>
  <c r="AD808" i="2"/>
  <c r="AE808" i="2"/>
  <c r="AF808" i="2"/>
  <c r="D809" i="2"/>
  <c r="F809" i="2"/>
  <c r="G809" i="2"/>
  <c r="Z809" i="2"/>
  <c r="AA809" i="2"/>
  <c r="AB809" i="2"/>
  <c r="AC809" i="2"/>
  <c r="AD809" i="2"/>
  <c r="AE809" i="2"/>
  <c r="AF809" i="2"/>
  <c r="D810" i="2"/>
  <c r="F810" i="2"/>
  <c r="G810" i="2"/>
  <c r="Z810" i="2"/>
  <c r="AA810" i="2"/>
  <c r="AB810" i="2"/>
  <c r="AC810" i="2"/>
  <c r="AD810" i="2"/>
  <c r="AE810" i="2"/>
  <c r="AF810" i="2"/>
  <c r="C811" i="2"/>
  <c r="D811" i="2"/>
  <c r="F811" i="2"/>
  <c r="G811" i="2"/>
  <c r="I811" i="2"/>
  <c r="Z811" i="2"/>
  <c r="AA811" i="2"/>
  <c r="AB811" i="2"/>
  <c r="AC811" i="2"/>
  <c r="AD811" i="2"/>
  <c r="AE811" i="2"/>
  <c r="AF811" i="2"/>
  <c r="D812" i="2"/>
  <c r="F812" i="2"/>
  <c r="G812" i="2"/>
  <c r="I812" i="2"/>
  <c r="Z812" i="2"/>
  <c r="AA812" i="2"/>
  <c r="AB812" i="2"/>
  <c r="AC812" i="2"/>
  <c r="AD812" i="2"/>
  <c r="AE812" i="2"/>
  <c r="AF812" i="2"/>
  <c r="D813" i="2"/>
  <c r="F813" i="2"/>
  <c r="G813" i="2"/>
  <c r="Z813" i="2"/>
  <c r="AA813" i="2"/>
  <c r="AB813" i="2"/>
  <c r="AC813" i="2"/>
  <c r="AD813" i="2"/>
  <c r="AE813" i="2"/>
  <c r="AF813" i="2"/>
  <c r="D814" i="2"/>
  <c r="F814" i="2"/>
  <c r="G814" i="2"/>
  <c r="Z814" i="2"/>
  <c r="AA814" i="2"/>
  <c r="AB814" i="2"/>
  <c r="AC814" i="2"/>
  <c r="AD814" i="2"/>
  <c r="AE814" i="2"/>
  <c r="AF814" i="2"/>
  <c r="D815" i="2"/>
  <c r="F815" i="2"/>
  <c r="G815" i="2"/>
  <c r="I815" i="2"/>
  <c r="Z815" i="2"/>
  <c r="AA815" i="2"/>
  <c r="AB815" i="2"/>
  <c r="AC815" i="2"/>
  <c r="AD815" i="2"/>
  <c r="AE815" i="2"/>
  <c r="AF815" i="2"/>
  <c r="D816" i="2"/>
  <c r="F816" i="2"/>
  <c r="G816" i="2"/>
  <c r="I816" i="2"/>
  <c r="Z816" i="2"/>
  <c r="AA816" i="2"/>
  <c r="AB816" i="2"/>
  <c r="AC816" i="2"/>
  <c r="AD816" i="2"/>
  <c r="AE816" i="2"/>
  <c r="AF816" i="2"/>
  <c r="D817" i="2"/>
  <c r="F817" i="2"/>
  <c r="G817" i="2"/>
  <c r="Z817" i="2"/>
  <c r="AA817" i="2"/>
  <c r="AB817" i="2"/>
  <c r="AC817" i="2"/>
  <c r="AD817" i="2"/>
  <c r="AE817" i="2"/>
  <c r="AF817" i="2"/>
  <c r="D818" i="2"/>
  <c r="F818" i="2"/>
  <c r="G818" i="2"/>
  <c r="I818" i="2"/>
  <c r="Z818" i="2"/>
  <c r="AA818" i="2"/>
  <c r="AB818" i="2"/>
  <c r="AC818" i="2"/>
  <c r="AD818" i="2"/>
  <c r="AE818" i="2"/>
  <c r="AF818" i="2"/>
  <c r="D819" i="2"/>
  <c r="F819" i="2"/>
  <c r="G819" i="2"/>
  <c r="I819" i="2"/>
  <c r="Z819" i="2"/>
  <c r="AA819" i="2"/>
  <c r="AB819" i="2"/>
  <c r="AC819" i="2"/>
  <c r="AD819" i="2"/>
  <c r="AE819" i="2"/>
  <c r="AF819" i="2"/>
  <c r="D820" i="2"/>
  <c r="F820" i="2"/>
  <c r="G820" i="2"/>
  <c r="I820" i="2"/>
  <c r="Z820" i="2"/>
  <c r="AA820" i="2"/>
  <c r="AB820" i="2"/>
  <c r="AC820" i="2"/>
  <c r="AD820" i="2"/>
  <c r="AE820" i="2"/>
  <c r="AF820" i="2"/>
  <c r="D821" i="2"/>
  <c r="F821" i="2"/>
  <c r="G821" i="2"/>
  <c r="Z821" i="2"/>
  <c r="AA821" i="2"/>
  <c r="AB821" i="2"/>
  <c r="AC821" i="2"/>
  <c r="AD821" i="2"/>
  <c r="AE821" i="2"/>
  <c r="AF821" i="2"/>
  <c r="D822" i="2"/>
  <c r="F822" i="2"/>
  <c r="G822" i="2"/>
  <c r="Z822" i="2"/>
  <c r="AA822" i="2"/>
  <c r="AB822" i="2"/>
  <c r="AC822" i="2"/>
  <c r="AD822" i="2"/>
  <c r="AE822" i="2"/>
  <c r="AF822" i="2"/>
  <c r="D823" i="2"/>
  <c r="F823" i="2"/>
  <c r="G823" i="2"/>
  <c r="I823" i="2"/>
  <c r="Z823" i="2"/>
  <c r="AA823" i="2"/>
  <c r="AB823" i="2"/>
  <c r="AC823" i="2"/>
  <c r="AD823" i="2"/>
  <c r="AE823" i="2"/>
  <c r="AF823" i="2"/>
  <c r="D824" i="2"/>
  <c r="F824" i="2"/>
  <c r="G824" i="2"/>
  <c r="I824" i="2"/>
  <c r="Z824" i="2"/>
  <c r="AA824" i="2"/>
  <c r="AB824" i="2"/>
  <c r="AC824" i="2"/>
  <c r="AD824" i="2"/>
  <c r="AE824" i="2"/>
  <c r="AF824" i="2"/>
  <c r="D825" i="2"/>
  <c r="F825" i="2"/>
  <c r="G825" i="2"/>
  <c r="Z825" i="2"/>
  <c r="AA825" i="2"/>
  <c r="AB825" i="2"/>
  <c r="AC825" i="2"/>
  <c r="AD825" i="2"/>
  <c r="AE825" i="2"/>
  <c r="AF825" i="2"/>
  <c r="D826" i="2"/>
  <c r="F826" i="2"/>
  <c r="G826" i="2"/>
  <c r="Z826" i="2"/>
  <c r="AA826" i="2"/>
  <c r="AB826" i="2"/>
  <c r="AC826" i="2"/>
  <c r="AD826" i="2"/>
  <c r="AE826" i="2"/>
  <c r="AF826" i="2"/>
  <c r="D827" i="2"/>
  <c r="F827" i="2"/>
  <c r="G827" i="2"/>
  <c r="I827" i="2"/>
  <c r="Z827" i="2"/>
  <c r="AA827" i="2"/>
  <c r="AB827" i="2"/>
  <c r="AC827" i="2"/>
  <c r="AD827" i="2"/>
  <c r="AE827" i="2"/>
  <c r="AF827" i="2"/>
  <c r="D828" i="2"/>
  <c r="F828" i="2"/>
  <c r="G828" i="2"/>
  <c r="I828" i="2"/>
  <c r="Z828" i="2"/>
  <c r="AA828" i="2"/>
  <c r="AB828" i="2"/>
  <c r="AC828" i="2"/>
  <c r="AD828" i="2"/>
  <c r="AE828" i="2"/>
  <c r="AF828" i="2"/>
  <c r="D829" i="2"/>
  <c r="F829" i="2"/>
  <c r="G829" i="2"/>
  <c r="Z829" i="2"/>
  <c r="AA829" i="2"/>
  <c r="AB829" i="2"/>
  <c r="AC829" i="2"/>
  <c r="AD829" i="2"/>
  <c r="AE829" i="2"/>
  <c r="AF829" i="2"/>
  <c r="D830" i="2"/>
  <c r="F830" i="2"/>
  <c r="G830" i="2"/>
  <c r="Z830" i="2"/>
  <c r="AA830" i="2"/>
  <c r="AB830" i="2"/>
  <c r="AC830" i="2"/>
  <c r="AD830" i="2"/>
  <c r="AE830" i="2"/>
  <c r="AF830" i="2"/>
  <c r="D831" i="2"/>
  <c r="F831" i="2"/>
  <c r="G831" i="2"/>
  <c r="I831" i="2"/>
  <c r="Z831" i="2"/>
  <c r="AA831" i="2"/>
  <c r="AB831" i="2"/>
  <c r="AC831" i="2"/>
  <c r="AD831" i="2"/>
  <c r="AE831" i="2"/>
  <c r="AF831" i="2"/>
  <c r="D832" i="2"/>
  <c r="F832" i="2"/>
  <c r="G832" i="2"/>
  <c r="I832" i="2"/>
  <c r="Z832" i="2"/>
  <c r="AA832" i="2"/>
  <c r="AB832" i="2"/>
  <c r="AC832" i="2"/>
  <c r="AD832" i="2"/>
  <c r="AE832" i="2"/>
  <c r="AF832" i="2"/>
  <c r="D833" i="2"/>
  <c r="F833" i="2"/>
  <c r="G833" i="2"/>
  <c r="Z833" i="2"/>
  <c r="AA833" i="2"/>
  <c r="AB833" i="2"/>
  <c r="AC833" i="2"/>
  <c r="AD833" i="2"/>
  <c r="AE833" i="2"/>
  <c r="AF833" i="2"/>
  <c r="D834" i="2"/>
  <c r="F834" i="2"/>
  <c r="G834" i="2"/>
  <c r="Z834" i="2"/>
  <c r="AA834" i="2"/>
  <c r="AB834" i="2"/>
  <c r="AC834" i="2"/>
  <c r="AD834" i="2"/>
  <c r="AE834" i="2"/>
  <c r="AF834" i="2"/>
  <c r="D835" i="2"/>
  <c r="F835" i="2"/>
  <c r="G835" i="2"/>
  <c r="I835" i="2"/>
  <c r="Z835" i="2"/>
  <c r="AA835" i="2"/>
  <c r="AB835" i="2"/>
  <c r="AC835" i="2"/>
  <c r="AD835" i="2"/>
  <c r="AE835" i="2"/>
  <c r="AF835" i="2"/>
  <c r="D836" i="2"/>
  <c r="F836" i="2"/>
  <c r="G836" i="2"/>
  <c r="I836" i="2"/>
  <c r="Z836" i="2"/>
  <c r="AA836" i="2"/>
  <c r="AB836" i="2"/>
  <c r="AC836" i="2"/>
  <c r="AD836" i="2"/>
  <c r="AE836" i="2"/>
  <c r="AF836" i="2"/>
  <c r="D837" i="2"/>
  <c r="F837" i="2"/>
  <c r="G837" i="2"/>
  <c r="Z837" i="2"/>
  <c r="AA837" i="2"/>
  <c r="AB837" i="2"/>
  <c r="AC837" i="2"/>
  <c r="AD837" i="2"/>
  <c r="AE837" i="2"/>
  <c r="AF837" i="2"/>
  <c r="D838" i="2"/>
  <c r="F838" i="2"/>
  <c r="G838" i="2"/>
  <c r="Z838" i="2"/>
  <c r="AA838" i="2"/>
  <c r="AB838" i="2"/>
  <c r="AC838" i="2"/>
  <c r="AD838" i="2"/>
  <c r="AE838" i="2"/>
  <c r="AF838" i="2"/>
  <c r="D839" i="2"/>
  <c r="F839" i="2"/>
  <c r="G839" i="2"/>
  <c r="I839" i="2"/>
  <c r="Z839" i="2"/>
  <c r="AA839" i="2"/>
  <c r="AB839" i="2"/>
  <c r="AC839" i="2"/>
  <c r="AD839" i="2"/>
  <c r="AE839" i="2"/>
  <c r="AF839" i="2"/>
  <c r="D840" i="2"/>
  <c r="F840" i="2"/>
  <c r="G840" i="2"/>
  <c r="I840" i="2"/>
  <c r="Z840" i="2"/>
  <c r="AA840" i="2"/>
  <c r="AB840" i="2"/>
  <c r="AC840" i="2"/>
  <c r="AD840" i="2"/>
  <c r="AE840" i="2"/>
  <c r="AF840" i="2"/>
  <c r="D841" i="2"/>
  <c r="F841" i="2"/>
  <c r="G841" i="2"/>
  <c r="Z841" i="2"/>
  <c r="AA841" i="2"/>
  <c r="AB841" i="2"/>
  <c r="AC841" i="2"/>
  <c r="AD841" i="2"/>
  <c r="AE841" i="2"/>
  <c r="AF841" i="2"/>
  <c r="D842" i="2"/>
  <c r="F842" i="2"/>
  <c r="G842" i="2"/>
  <c r="Z842" i="2"/>
  <c r="AA842" i="2"/>
  <c r="AB842" i="2"/>
  <c r="AC842" i="2"/>
  <c r="AD842" i="2"/>
  <c r="AE842" i="2"/>
  <c r="AF842" i="2"/>
  <c r="D843" i="2"/>
  <c r="F843" i="2"/>
  <c r="G843" i="2"/>
  <c r="I843" i="2"/>
  <c r="Z843" i="2"/>
  <c r="AA843" i="2"/>
  <c r="AB843" i="2"/>
  <c r="AC843" i="2"/>
  <c r="AD843" i="2"/>
  <c r="AE843" i="2"/>
  <c r="AF843" i="2"/>
  <c r="D844" i="2"/>
  <c r="F844" i="2"/>
  <c r="G844" i="2"/>
  <c r="I844" i="2"/>
  <c r="Z844" i="2"/>
  <c r="AA844" i="2"/>
  <c r="AB844" i="2"/>
  <c r="AC844" i="2"/>
  <c r="AD844" i="2"/>
  <c r="AE844" i="2"/>
  <c r="AF844" i="2"/>
  <c r="D845" i="2"/>
  <c r="F845" i="2"/>
  <c r="G845" i="2"/>
  <c r="Z845" i="2"/>
  <c r="AA845" i="2"/>
  <c r="AB845" i="2"/>
  <c r="AC845" i="2"/>
  <c r="AD845" i="2"/>
  <c r="AE845" i="2"/>
  <c r="AF845" i="2"/>
  <c r="D846" i="2"/>
  <c r="F846" i="2"/>
  <c r="G846" i="2"/>
  <c r="Z846" i="2"/>
  <c r="AA846" i="2"/>
  <c r="AB846" i="2"/>
  <c r="AC846" i="2"/>
  <c r="AD846" i="2"/>
  <c r="AE846" i="2"/>
  <c r="AF846" i="2"/>
  <c r="D847" i="2"/>
  <c r="F847" i="2"/>
  <c r="G847" i="2"/>
  <c r="I847" i="2"/>
  <c r="Z847" i="2"/>
  <c r="AA847" i="2"/>
  <c r="AB847" i="2"/>
  <c r="AC847" i="2"/>
  <c r="AD847" i="2"/>
  <c r="AE847" i="2"/>
  <c r="AF847" i="2"/>
  <c r="D848" i="2"/>
  <c r="F848" i="2"/>
  <c r="G848" i="2"/>
  <c r="I848" i="2"/>
  <c r="Z848" i="2"/>
  <c r="AA848" i="2"/>
  <c r="AB848" i="2"/>
  <c r="AC848" i="2"/>
  <c r="AD848" i="2"/>
  <c r="AE848" i="2"/>
  <c r="AF848" i="2"/>
  <c r="D849" i="2"/>
  <c r="F849" i="2"/>
  <c r="G849" i="2"/>
  <c r="Z849" i="2"/>
  <c r="AA849" i="2"/>
  <c r="AB849" i="2"/>
  <c r="AC849" i="2"/>
  <c r="AD849" i="2"/>
  <c r="AE849" i="2"/>
  <c r="AF849" i="2"/>
  <c r="D850" i="2"/>
  <c r="F850" i="2"/>
  <c r="G850" i="2"/>
  <c r="Z850" i="2"/>
  <c r="AA850" i="2"/>
  <c r="AB850" i="2"/>
  <c r="AC850" i="2"/>
  <c r="AD850" i="2"/>
  <c r="AE850" i="2"/>
  <c r="AF850" i="2"/>
  <c r="D851" i="2"/>
  <c r="F851" i="2"/>
  <c r="G851" i="2"/>
  <c r="I851" i="2"/>
  <c r="Z851" i="2"/>
  <c r="AA851" i="2"/>
  <c r="AB851" i="2"/>
  <c r="AC851" i="2"/>
  <c r="AD851" i="2"/>
  <c r="AE851" i="2"/>
  <c r="AF851" i="2"/>
  <c r="D852" i="2"/>
  <c r="F852" i="2"/>
  <c r="G852" i="2"/>
  <c r="I852" i="2"/>
  <c r="Z852" i="2"/>
  <c r="AA852" i="2"/>
  <c r="AB852" i="2"/>
  <c r="AC852" i="2"/>
  <c r="AD852" i="2"/>
  <c r="AE852" i="2"/>
  <c r="AF852" i="2"/>
  <c r="D853" i="2"/>
  <c r="F853" i="2"/>
  <c r="G853" i="2"/>
  <c r="Z853" i="2"/>
  <c r="AA853" i="2"/>
  <c r="AB853" i="2"/>
  <c r="AC853" i="2"/>
  <c r="AD853" i="2"/>
  <c r="AE853" i="2"/>
  <c r="AF853" i="2"/>
  <c r="D854" i="2"/>
  <c r="F854" i="2"/>
  <c r="G854" i="2"/>
  <c r="Z854" i="2"/>
  <c r="AA854" i="2"/>
  <c r="AB854" i="2"/>
  <c r="AC854" i="2"/>
  <c r="AD854" i="2"/>
  <c r="AE854" i="2"/>
  <c r="AF854" i="2"/>
  <c r="D855" i="2"/>
  <c r="F855" i="2"/>
  <c r="G855" i="2"/>
  <c r="I855" i="2"/>
  <c r="Z855" i="2"/>
  <c r="AA855" i="2"/>
  <c r="AB855" i="2"/>
  <c r="AC855" i="2"/>
  <c r="AD855" i="2"/>
  <c r="AE855" i="2"/>
  <c r="AF855" i="2"/>
  <c r="D856" i="2"/>
  <c r="F856" i="2"/>
  <c r="G856" i="2"/>
  <c r="I856" i="2"/>
  <c r="Z856" i="2"/>
  <c r="AA856" i="2"/>
  <c r="AB856" i="2"/>
  <c r="AC856" i="2"/>
  <c r="AD856" i="2"/>
  <c r="AE856" i="2"/>
  <c r="AF856" i="2"/>
  <c r="D857" i="2"/>
  <c r="F857" i="2"/>
  <c r="G857" i="2"/>
  <c r="Z857" i="2"/>
  <c r="AA857" i="2"/>
  <c r="AB857" i="2"/>
  <c r="AC857" i="2"/>
  <c r="AD857" i="2"/>
  <c r="AE857" i="2"/>
  <c r="AF857" i="2"/>
  <c r="D858" i="2"/>
  <c r="F858" i="2"/>
  <c r="G858" i="2"/>
  <c r="Z858" i="2"/>
  <c r="AA858" i="2"/>
  <c r="AB858" i="2"/>
  <c r="AC858" i="2"/>
  <c r="AD858" i="2"/>
  <c r="AE858" i="2"/>
  <c r="AF858" i="2"/>
  <c r="D859" i="2"/>
  <c r="F859" i="2"/>
  <c r="G859" i="2"/>
  <c r="I859" i="2"/>
  <c r="Z859" i="2"/>
  <c r="AA859" i="2"/>
  <c r="AB859" i="2"/>
  <c r="AC859" i="2"/>
  <c r="AD859" i="2"/>
  <c r="AE859" i="2"/>
  <c r="AF859" i="2"/>
  <c r="D860" i="2"/>
  <c r="F860" i="2"/>
  <c r="G860" i="2"/>
  <c r="I860" i="2"/>
  <c r="Z860" i="2"/>
  <c r="AA860" i="2"/>
  <c r="AB860" i="2"/>
  <c r="AC860" i="2"/>
  <c r="AD860" i="2"/>
  <c r="AE860" i="2"/>
  <c r="AF860" i="2"/>
  <c r="D861" i="2"/>
  <c r="F861" i="2"/>
  <c r="G861" i="2"/>
  <c r="I861" i="2"/>
  <c r="Z861" i="2"/>
  <c r="AA861" i="2"/>
  <c r="AB861" i="2"/>
  <c r="AC861" i="2"/>
  <c r="AD861" i="2"/>
  <c r="AE861" i="2"/>
  <c r="AF861" i="2"/>
  <c r="D862" i="2"/>
  <c r="F862" i="2"/>
  <c r="G862" i="2"/>
  <c r="Z862" i="2"/>
  <c r="AA862" i="2"/>
  <c r="AB862" i="2"/>
  <c r="AC862" i="2"/>
  <c r="AD862" i="2"/>
  <c r="AE862" i="2"/>
  <c r="AF862" i="2"/>
  <c r="D863" i="2"/>
  <c r="F863" i="2"/>
  <c r="G863" i="2"/>
  <c r="I863" i="2"/>
  <c r="Z863" i="2"/>
  <c r="AA863" i="2"/>
  <c r="AB863" i="2"/>
  <c r="AC863" i="2"/>
  <c r="AD863" i="2"/>
  <c r="AE863" i="2"/>
  <c r="AF863" i="2"/>
  <c r="D864" i="2"/>
  <c r="F864" i="2"/>
  <c r="G864" i="2"/>
  <c r="I864" i="2"/>
  <c r="Z864" i="2"/>
  <c r="AA864" i="2"/>
  <c r="AB864" i="2"/>
  <c r="AC864" i="2"/>
  <c r="AD864" i="2"/>
  <c r="AE864" i="2"/>
  <c r="AF864" i="2"/>
  <c r="D865" i="2"/>
  <c r="F865" i="2"/>
  <c r="G865" i="2"/>
  <c r="I865" i="2"/>
  <c r="Z865" i="2"/>
  <c r="AA865" i="2"/>
  <c r="AB865" i="2"/>
  <c r="AC865" i="2"/>
  <c r="AD865" i="2"/>
  <c r="AE865" i="2"/>
  <c r="AF865" i="2"/>
  <c r="D866" i="2"/>
  <c r="F866" i="2"/>
  <c r="G866" i="2"/>
  <c r="Z866" i="2"/>
  <c r="AA866" i="2"/>
  <c r="AB866" i="2"/>
  <c r="AC866" i="2"/>
  <c r="AD866" i="2"/>
  <c r="AE866" i="2"/>
  <c r="AF866" i="2"/>
  <c r="D867" i="2"/>
  <c r="F867" i="2"/>
  <c r="G867" i="2"/>
  <c r="I867" i="2"/>
  <c r="Z867" i="2"/>
  <c r="AA867" i="2"/>
  <c r="AB867" i="2"/>
  <c r="AC867" i="2"/>
  <c r="AD867" i="2"/>
  <c r="AE867" i="2"/>
  <c r="AF867" i="2"/>
  <c r="D868" i="2"/>
  <c r="F868" i="2"/>
  <c r="G868" i="2"/>
  <c r="I868" i="2"/>
  <c r="Z868" i="2"/>
  <c r="AA868" i="2"/>
  <c r="AB868" i="2"/>
  <c r="AC868" i="2"/>
  <c r="AD868" i="2"/>
  <c r="AE868" i="2"/>
  <c r="AF868" i="2"/>
  <c r="D869" i="2"/>
  <c r="F869" i="2"/>
  <c r="G869" i="2"/>
  <c r="I869" i="2"/>
  <c r="Z869" i="2"/>
  <c r="AA869" i="2"/>
  <c r="AB869" i="2"/>
  <c r="AC869" i="2"/>
  <c r="AD869" i="2"/>
  <c r="AE869" i="2"/>
  <c r="AF869" i="2"/>
  <c r="D870" i="2"/>
  <c r="F870" i="2"/>
  <c r="G870" i="2"/>
  <c r="Z870" i="2"/>
  <c r="AA870" i="2"/>
  <c r="AB870" i="2"/>
  <c r="AC870" i="2"/>
  <c r="AD870" i="2"/>
  <c r="AE870" i="2"/>
  <c r="AF870" i="2"/>
  <c r="D871" i="2"/>
  <c r="F871" i="2"/>
  <c r="G871" i="2"/>
  <c r="I871" i="2"/>
  <c r="Z871" i="2"/>
  <c r="AA871" i="2"/>
  <c r="AB871" i="2"/>
  <c r="AC871" i="2"/>
  <c r="AD871" i="2"/>
  <c r="AE871" i="2"/>
  <c r="AF871" i="2"/>
  <c r="D872" i="2"/>
  <c r="F872" i="2"/>
  <c r="G872" i="2"/>
  <c r="I872" i="2"/>
  <c r="Z872" i="2"/>
  <c r="AA872" i="2"/>
  <c r="AB872" i="2"/>
  <c r="AC872" i="2"/>
  <c r="AD872" i="2"/>
  <c r="AE872" i="2"/>
  <c r="AF872" i="2"/>
  <c r="D873" i="2"/>
  <c r="F873" i="2"/>
  <c r="G873" i="2"/>
  <c r="I873" i="2"/>
  <c r="Z873" i="2"/>
  <c r="AA873" i="2"/>
  <c r="AB873" i="2"/>
  <c r="AC873" i="2"/>
  <c r="AD873" i="2"/>
  <c r="AE873" i="2"/>
  <c r="AF873" i="2"/>
  <c r="D874" i="2"/>
  <c r="F874" i="2"/>
  <c r="G874" i="2"/>
  <c r="Z874" i="2"/>
  <c r="AA874" i="2"/>
  <c r="AB874" i="2"/>
  <c r="AC874" i="2"/>
  <c r="AD874" i="2"/>
  <c r="AE874" i="2"/>
  <c r="AF874" i="2"/>
  <c r="D875" i="2"/>
  <c r="F875" i="2"/>
  <c r="G875" i="2"/>
  <c r="I875" i="2"/>
  <c r="Z875" i="2"/>
  <c r="AA875" i="2"/>
  <c r="AB875" i="2"/>
  <c r="AC875" i="2"/>
  <c r="AD875" i="2"/>
  <c r="AE875" i="2"/>
  <c r="AF875" i="2"/>
  <c r="D876" i="2"/>
  <c r="F876" i="2"/>
  <c r="G876" i="2"/>
  <c r="I876" i="2"/>
  <c r="Z876" i="2"/>
  <c r="AA876" i="2"/>
  <c r="AB876" i="2"/>
  <c r="AC876" i="2"/>
  <c r="AD876" i="2"/>
  <c r="AE876" i="2"/>
  <c r="AF876" i="2"/>
  <c r="D877" i="2"/>
  <c r="F877" i="2"/>
  <c r="G877" i="2"/>
  <c r="I877" i="2"/>
  <c r="Z877" i="2"/>
  <c r="AA877" i="2"/>
  <c r="AB877" i="2"/>
  <c r="AC877" i="2"/>
  <c r="AD877" i="2"/>
  <c r="AE877" i="2"/>
  <c r="AF877" i="2"/>
  <c r="D878" i="2"/>
  <c r="F878" i="2"/>
  <c r="G878" i="2"/>
  <c r="Z878" i="2"/>
  <c r="AA878" i="2"/>
  <c r="AB878" i="2"/>
  <c r="AC878" i="2"/>
  <c r="AD878" i="2"/>
  <c r="AE878" i="2"/>
  <c r="AF878" i="2"/>
  <c r="D879" i="2"/>
  <c r="F879" i="2"/>
  <c r="G879" i="2"/>
  <c r="I879" i="2"/>
  <c r="Z879" i="2"/>
  <c r="AA879" i="2"/>
  <c r="AB879" i="2"/>
  <c r="AC879" i="2"/>
  <c r="AD879" i="2"/>
  <c r="AE879" i="2"/>
  <c r="AF879" i="2"/>
  <c r="D880" i="2"/>
  <c r="F880" i="2"/>
  <c r="G880" i="2"/>
  <c r="I880" i="2"/>
  <c r="Z880" i="2"/>
  <c r="AA880" i="2"/>
  <c r="AB880" i="2"/>
  <c r="AC880" i="2"/>
  <c r="AD880" i="2"/>
  <c r="AE880" i="2"/>
  <c r="AF880" i="2"/>
  <c r="D881" i="2"/>
  <c r="F881" i="2"/>
  <c r="G881" i="2"/>
  <c r="I881" i="2"/>
  <c r="Z881" i="2"/>
  <c r="AA881" i="2"/>
  <c r="AB881" i="2"/>
  <c r="AC881" i="2"/>
  <c r="AD881" i="2"/>
  <c r="AE881" i="2"/>
  <c r="AF881" i="2"/>
  <c r="D882" i="2"/>
  <c r="F882" i="2"/>
  <c r="G882" i="2"/>
  <c r="Z882" i="2"/>
  <c r="AA882" i="2"/>
  <c r="AB882" i="2"/>
  <c r="AC882" i="2"/>
  <c r="AD882" i="2"/>
  <c r="AE882" i="2"/>
  <c r="AF882" i="2"/>
  <c r="D883" i="2"/>
  <c r="F883" i="2"/>
  <c r="G883" i="2"/>
  <c r="I883" i="2"/>
  <c r="Z883" i="2"/>
  <c r="AA883" i="2"/>
  <c r="AB883" i="2"/>
  <c r="AC883" i="2"/>
  <c r="AD883" i="2"/>
  <c r="AE883" i="2"/>
  <c r="AF883" i="2"/>
  <c r="D884" i="2"/>
  <c r="F884" i="2"/>
  <c r="G884" i="2"/>
  <c r="I884" i="2"/>
  <c r="Z884" i="2"/>
  <c r="AA884" i="2"/>
  <c r="AB884" i="2"/>
  <c r="AC884" i="2"/>
  <c r="AD884" i="2"/>
  <c r="AE884" i="2"/>
  <c r="AF884" i="2"/>
  <c r="D885" i="2"/>
  <c r="F885" i="2"/>
  <c r="G885" i="2"/>
  <c r="I885" i="2"/>
  <c r="Z885" i="2"/>
  <c r="AA885" i="2"/>
  <c r="AB885" i="2"/>
  <c r="AC885" i="2"/>
  <c r="AD885" i="2"/>
  <c r="AE885" i="2"/>
  <c r="AF885" i="2"/>
  <c r="D886" i="2"/>
  <c r="F886" i="2"/>
  <c r="G886" i="2"/>
  <c r="Z886" i="2"/>
  <c r="AA886" i="2"/>
  <c r="AB886" i="2"/>
  <c r="AC886" i="2"/>
  <c r="AD886" i="2"/>
  <c r="AE886" i="2"/>
  <c r="AF886" i="2"/>
  <c r="D887" i="2"/>
  <c r="F887" i="2"/>
  <c r="G887" i="2"/>
  <c r="I887" i="2"/>
  <c r="Z887" i="2"/>
  <c r="AA887" i="2"/>
  <c r="AB887" i="2"/>
  <c r="AC887" i="2"/>
  <c r="AD887" i="2"/>
  <c r="AE887" i="2"/>
  <c r="AF887" i="2"/>
  <c r="D888" i="2"/>
  <c r="F888" i="2"/>
  <c r="G888" i="2"/>
  <c r="I888" i="2"/>
  <c r="Z888" i="2"/>
  <c r="AA888" i="2"/>
  <c r="AB888" i="2"/>
  <c r="AC888" i="2"/>
  <c r="AD888" i="2"/>
  <c r="AE888" i="2"/>
  <c r="AF888" i="2"/>
  <c r="D889" i="2"/>
  <c r="F889" i="2"/>
  <c r="G889" i="2"/>
  <c r="I889" i="2"/>
  <c r="Z889" i="2"/>
  <c r="AA889" i="2"/>
  <c r="AB889" i="2"/>
  <c r="AC889" i="2"/>
  <c r="AD889" i="2"/>
  <c r="AE889" i="2"/>
  <c r="AF889" i="2"/>
  <c r="D890" i="2"/>
  <c r="F890" i="2"/>
  <c r="G890" i="2"/>
  <c r="Z890" i="2"/>
  <c r="AA890" i="2"/>
  <c r="AB890" i="2"/>
  <c r="AC890" i="2"/>
  <c r="AD890" i="2"/>
  <c r="AE890" i="2"/>
  <c r="AF890" i="2"/>
  <c r="D891" i="2"/>
  <c r="F891" i="2"/>
  <c r="G891" i="2"/>
  <c r="I891" i="2"/>
  <c r="Z891" i="2"/>
  <c r="AA891" i="2"/>
  <c r="AB891" i="2"/>
  <c r="AC891" i="2"/>
  <c r="AD891" i="2"/>
  <c r="AE891" i="2"/>
  <c r="AF891" i="2"/>
  <c r="D892" i="2"/>
  <c r="F892" i="2"/>
  <c r="G892" i="2"/>
  <c r="I892" i="2"/>
  <c r="Z892" i="2"/>
  <c r="AA892" i="2"/>
  <c r="AB892" i="2"/>
  <c r="AC892" i="2"/>
  <c r="AD892" i="2"/>
  <c r="AE892" i="2"/>
  <c r="AF892" i="2"/>
  <c r="D893" i="2"/>
  <c r="F893" i="2"/>
  <c r="G893" i="2"/>
  <c r="I893" i="2"/>
  <c r="Z893" i="2"/>
  <c r="AA893" i="2"/>
  <c r="AB893" i="2"/>
  <c r="AC893" i="2"/>
  <c r="AD893" i="2"/>
  <c r="AE893" i="2"/>
  <c r="AF893" i="2"/>
  <c r="D894" i="2"/>
  <c r="F894" i="2"/>
  <c r="G894" i="2"/>
  <c r="Z894" i="2"/>
  <c r="AA894" i="2"/>
  <c r="AB894" i="2"/>
  <c r="AC894" i="2"/>
  <c r="AD894" i="2"/>
  <c r="AE894" i="2"/>
  <c r="AF894" i="2"/>
  <c r="D895" i="2"/>
  <c r="F895" i="2"/>
  <c r="G895" i="2"/>
  <c r="I895" i="2"/>
  <c r="Z895" i="2"/>
  <c r="AA895" i="2"/>
  <c r="AB895" i="2"/>
  <c r="AC895" i="2"/>
  <c r="AD895" i="2"/>
  <c r="AE895" i="2"/>
  <c r="AF895" i="2"/>
  <c r="D896" i="2"/>
  <c r="F896" i="2"/>
  <c r="G896" i="2"/>
  <c r="I896" i="2"/>
  <c r="Z896" i="2"/>
  <c r="AA896" i="2"/>
  <c r="AB896" i="2"/>
  <c r="AC896" i="2"/>
  <c r="AD896" i="2"/>
  <c r="AE896" i="2"/>
  <c r="AF896" i="2"/>
  <c r="D897" i="2"/>
  <c r="F897" i="2"/>
  <c r="G897" i="2"/>
  <c r="I897" i="2"/>
  <c r="Z897" i="2"/>
  <c r="AA897" i="2"/>
  <c r="AB897" i="2"/>
  <c r="AC897" i="2"/>
  <c r="AD897" i="2"/>
  <c r="AE897" i="2"/>
  <c r="AF897" i="2"/>
  <c r="D898" i="2"/>
  <c r="F898" i="2"/>
  <c r="G898" i="2"/>
  <c r="Z898" i="2"/>
  <c r="AA898" i="2"/>
  <c r="AB898" i="2"/>
  <c r="AC898" i="2"/>
  <c r="AD898" i="2"/>
  <c r="AE898" i="2"/>
  <c r="AF898" i="2"/>
  <c r="D899" i="2"/>
  <c r="F899" i="2"/>
  <c r="G899" i="2"/>
  <c r="I899" i="2"/>
  <c r="Z899" i="2"/>
  <c r="AA899" i="2"/>
  <c r="AB899" i="2"/>
  <c r="AC899" i="2"/>
  <c r="AD899" i="2"/>
  <c r="AE899" i="2"/>
  <c r="AF899" i="2"/>
  <c r="D900" i="2"/>
  <c r="F900" i="2"/>
  <c r="G900" i="2"/>
  <c r="I900" i="2"/>
  <c r="Z900" i="2"/>
  <c r="AA900" i="2"/>
  <c r="AB900" i="2"/>
  <c r="AC900" i="2"/>
  <c r="AD900" i="2"/>
  <c r="AE900" i="2"/>
  <c r="AF900" i="2"/>
  <c r="D901" i="2"/>
  <c r="F901" i="2"/>
  <c r="G901" i="2"/>
  <c r="I901" i="2"/>
  <c r="Z901" i="2"/>
  <c r="AA901" i="2"/>
  <c r="AB901" i="2"/>
  <c r="AC901" i="2"/>
  <c r="AD901" i="2"/>
  <c r="AE901" i="2"/>
  <c r="AF901" i="2"/>
  <c r="D902" i="2"/>
  <c r="F902" i="2"/>
  <c r="G902" i="2"/>
  <c r="Z902" i="2"/>
  <c r="AA902" i="2"/>
  <c r="AB902" i="2"/>
  <c r="AC902" i="2"/>
  <c r="AD902" i="2"/>
  <c r="AE902" i="2"/>
  <c r="AF902" i="2"/>
  <c r="D903" i="2"/>
  <c r="F903" i="2"/>
  <c r="G903" i="2"/>
  <c r="I903" i="2"/>
  <c r="Z903" i="2"/>
  <c r="AA903" i="2"/>
  <c r="AB903" i="2"/>
  <c r="AC903" i="2"/>
  <c r="AD903" i="2"/>
  <c r="AE903" i="2"/>
  <c r="AF903" i="2"/>
  <c r="D904" i="2"/>
  <c r="F904" i="2"/>
  <c r="G904" i="2"/>
  <c r="I904" i="2"/>
  <c r="Z904" i="2"/>
  <c r="AA904" i="2"/>
  <c r="AB904" i="2"/>
  <c r="AC904" i="2"/>
  <c r="AD904" i="2"/>
  <c r="AE904" i="2"/>
  <c r="AF904" i="2"/>
  <c r="D905" i="2"/>
  <c r="F905" i="2"/>
  <c r="G905" i="2"/>
  <c r="I905" i="2"/>
  <c r="Z905" i="2"/>
  <c r="AA905" i="2"/>
  <c r="AB905" i="2"/>
  <c r="AC905" i="2"/>
  <c r="AD905" i="2"/>
  <c r="AE905" i="2"/>
  <c r="AF905" i="2"/>
  <c r="D906" i="2"/>
  <c r="F906" i="2"/>
  <c r="G906" i="2"/>
  <c r="Z906" i="2"/>
  <c r="AA906" i="2"/>
  <c r="AB906" i="2"/>
  <c r="AC906" i="2"/>
  <c r="AD906" i="2"/>
  <c r="AE906" i="2"/>
  <c r="AF906" i="2"/>
  <c r="D907" i="2"/>
  <c r="F907" i="2"/>
  <c r="G907" i="2"/>
  <c r="I907" i="2"/>
  <c r="Z907" i="2"/>
  <c r="AA907" i="2"/>
  <c r="AB907" i="2"/>
  <c r="AC907" i="2"/>
  <c r="AD907" i="2"/>
  <c r="AE907" i="2"/>
  <c r="AF907" i="2"/>
  <c r="D908" i="2"/>
  <c r="F908" i="2"/>
  <c r="G908" i="2"/>
  <c r="I908" i="2"/>
  <c r="Z908" i="2"/>
  <c r="AA908" i="2"/>
  <c r="AB908" i="2"/>
  <c r="AC908" i="2"/>
  <c r="AD908" i="2"/>
  <c r="AE908" i="2"/>
  <c r="AF908" i="2"/>
  <c r="D909" i="2"/>
  <c r="F909" i="2"/>
  <c r="G909" i="2"/>
  <c r="I909" i="2"/>
  <c r="Z909" i="2"/>
  <c r="AA909" i="2"/>
  <c r="AB909" i="2"/>
  <c r="AC909" i="2"/>
  <c r="AD909" i="2"/>
  <c r="AE909" i="2"/>
  <c r="AF909" i="2"/>
  <c r="D910" i="2"/>
  <c r="F910" i="2"/>
  <c r="G910" i="2"/>
  <c r="Z910" i="2"/>
  <c r="AA910" i="2"/>
  <c r="AB910" i="2"/>
  <c r="AC910" i="2"/>
  <c r="AD910" i="2"/>
  <c r="AE910" i="2"/>
  <c r="AF910" i="2"/>
  <c r="D911" i="2"/>
  <c r="F911" i="2"/>
  <c r="G911" i="2"/>
  <c r="I911" i="2"/>
  <c r="Z911" i="2"/>
  <c r="AA911" i="2"/>
  <c r="AB911" i="2"/>
  <c r="AC911" i="2"/>
  <c r="AD911" i="2"/>
  <c r="AE911" i="2"/>
  <c r="AF911" i="2"/>
  <c r="D912" i="2"/>
  <c r="F912" i="2"/>
  <c r="G912" i="2"/>
  <c r="I912" i="2"/>
  <c r="Z912" i="2"/>
  <c r="AA912" i="2"/>
  <c r="AB912" i="2"/>
  <c r="AC912" i="2"/>
  <c r="AD912" i="2"/>
  <c r="AE912" i="2"/>
  <c r="AF912" i="2"/>
  <c r="D913" i="2"/>
  <c r="F913" i="2"/>
  <c r="G913" i="2"/>
  <c r="I913" i="2"/>
  <c r="Z913" i="2"/>
  <c r="AA913" i="2"/>
  <c r="AB913" i="2"/>
  <c r="AC913" i="2"/>
  <c r="AD913" i="2"/>
  <c r="AE913" i="2"/>
  <c r="AF913" i="2"/>
  <c r="D914" i="2"/>
  <c r="F914" i="2"/>
  <c r="G914" i="2"/>
  <c r="Z914" i="2"/>
  <c r="AA914" i="2"/>
  <c r="AB914" i="2"/>
  <c r="AC914" i="2"/>
  <c r="AD914" i="2"/>
  <c r="AE914" i="2"/>
  <c r="AF914" i="2"/>
  <c r="D915" i="2"/>
  <c r="F915" i="2"/>
  <c r="G915" i="2"/>
  <c r="I915" i="2"/>
  <c r="Z915" i="2"/>
  <c r="AA915" i="2"/>
  <c r="AB915" i="2"/>
  <c r="AC915" i="2"/>
  <c r="AD915" i="2"/>
  <c r="AE915" i="2"/>
  <c r="AF915" i="2"/>
  <c r="D916" i="2"/>
  <c r="F916" i="2"/>
  <c r="G916" i="2"/>
  <c r="I916" i="2"/>
  <c r="Z916" i="2"/>
  <c r="AA916" i="2"/>
  <c r="AB916" i="2"/>
  <c r="AC916" i="2"/>
  <c r="AD916" i="2"/>
  <c r="AE916" i="2"/>
  <c r="AF916" i="2"/>
  <c r="D917" i="2"/>
  <c r="F917" i="2"/>
  <c r="G917" i="2"/>
  <c r="I917" i="2"/>
  <c r="Z917" i="2"/>
  <c r="AA917" i="2"/>
  <c r="AB917" i="2"/>
  <c r="AC917" i="2"/>
  <c r="AD917" i="2"/>
  <c r="AE917" i="2"/>
  <c r="AF917" i="2"/>
  <c r="D918" i="2"/>
  <c r="F918" i="2"/>
  <c r="G918" i="2"/>
  <c r="Z918" i="2"/>
  <c r="AA918" i="2"/>
  <c r="AB918" i="2"/>
  <c r="AC918" i="2"/>
  <c r="AD918" i="2"/>
  <c r="AE918" i="2"/>
  <c r="AF918" i="2"/>
  <c r="D919" i="2"/>
  <c r="F919" i="2"/>
  <c r="G919" i="2"/>
  <c r="I919" i="2"/>
  <c r="Z919" i="2"/>
  <c r="AA919" i="2"/>
  <c r="AB919" i="2"/>
  <c r="AC919" i="2"/>
  <c r="AD919" i="2"/>
  <c r="AE919" i="2"/>
  <c r="AF919" i="2"/>
  <c r="D920" i="2"/>
  <c r="F920" i="2"/>
  <c r="G920" i="2"/>
  <c r="I920" i="2"/>
  <c r="Z920" i="2"/>
  <c r="AA920" i="2"/>
  <c r="AB920" i="2"/>
  <c r="AC920" i="2"/>
  <c r="AD920" i="2"/>
  <c r="AE920" i="2"/>
  <c r="AF920" i="2"/>
  <c r="D921" i="2"/>
  <c r="F921" i="2"/>
  <c r="G921" i="2"/>
  <c r="I921" i="2"/>
  <c r="Z921" i="2"/>
  <c r="AA921" i="2"/>
  <c r="AB921" i="2"/>
  <c r="AC921" i="2"/>
  <c r="AD921" i="2"/>
  <c r="AE921" i="2"/>
  <c r="AF921" i="2"/>
  <c r="D922" i="2"/>
  <c r="F922" i="2"/>
  <c r="G922" i="2"/>
  <c r="Z922" i="2"/>
  <c r="AA922" i="2"/>
  <c r="AB922" i="2"/>
  <c r="AC922" i="2"/>
  <c r="AD922" i="2"/>
  <c r="AE922" i="2"/>
  <c r="AF922" i="2"/>
  <c r="D923" i="2"/>
  <c r="F923" i="2"/>
  <c r="G923" i="2"/>
  <c r="I923" i="2"/>
  <c r="Z923" i="2"/>
  <c r="AA923" i="2"/>
  <c r="AB923" i="2"/>
  <c r="AC923" i="2"/>
  <c r="AD923" i="2"/>
  <c r="AE923" i="2"/>
  <c r="AF923" i="2"/>
  <c r="D924" i="2"/>
  <c r="F924" i="2"/>
  <c r="G924" i="2"/>
  <c r="I924" i="2"/>
  <c r="Z924" i="2"/>
  <c r="AA924" i="2"/>
  <c r="AB924" i="2"/>
  <c r="AC924" i="2"/>
  <c r="AD924" i="2"/>
  <c r="AE924" i="2"/>
  <c r="AF924" i="2"/>
  <c r="D925" i="2"/>
  <c r="F925" i="2"/>
  <c r="G925" i="2"/>
  <c r="I925" i="2"/>
  <c r="Z925" i="2"/>
  <c r="AA925" i="2"/>
  <c r="AB925" i="2"/>
  <c r="AC925" i="2"/>
  <c r="AD925" i="2"/>
  <c r="AE925" i="2"/>
  <c r="AF925" i="2"/>
  <c r="D926" i="2"/>
  <c r="F926" i="2"/>
  <c r="G926" i="2"/>
  <c r="Z926" i="2"/>
  <c r="AA926" i="2"/>
  <c r="AB926" i="2"/>
  <c r="AC926" i="2"/>
  <c r="AD926" i="2"/>
  <c r="AE926" i="2"/>
  <c r="AF926" i="2"/>
  <c r="D927" i="2"/>
  <c r="F927" i="2"/>
  <c r="G927" i="2"/>
  <c r="I927" i="2"/>
  <c r="Z927" i="2"/>
  <c r="AA927" i="2"/>
  <c r="AB927" i="2"/>
  <c r="AC927" i="2"/>
  <c r="AD927" i="2"/>
  <c r="AE927" i="2"/>
  <c r="AF927" i="2"/>
  <c r="D928" i="2"/>
  <c r="F928" i="2"/>
  <c r="G928" i="2"/>
  <c r="I928" i="2"/>
  <c r="Z928" i="2"/>
  <c r="AA928" i="2"/>
  <c r="AB928" i="2"/>
  <c r="AC928" i="2"/>
  <c r="AD928" i="2"/>
  <c r="AE928" i="2"/>
  <c r="AF928" i="2"/>
  <c r="D929" i="2"/>
  <c r="F929" i="2"/>
  <c r="G929" i="2"/>
  <c r="I929" i="2"/>
  <c r="Z929" i="2"/>
  <c r="AA929" i="2"/>
  <c r="AB929" i="2"/>
  <c r="AC929" i="2"/>
  <c r="AD929" i="2"/>
  <c r="AE929" i="2"/>
  <c r="AF929" i="2"/>
  <c r="D930" i="2"/>
  <c r="F930" i="2"/>
  <c r="G930" i="2"/>
  <c r="Z930" i="2"/>
  <c r="AA930" i="2"/>
  <c r="AB930" i="2"/>
  <c r="AC930" i="2"/>
  <c r="AD930" i="2"/>
  <c r="AE930" i="2"/>
  <c r="AF930" i="2"/>
  <c r="D931" i="2"/>
  <c r="F931" i="2"/>
  <c r="G931" i="2"/>
  <c r="I931" i="2"/>
  <c r="Z931" i="2"/>
  <c r="AA931" i="2"/>
  <c r="AB931" i="2"/>
  <c r="AC931" i="2"/>
  <c r="AD931" i="2"/>
  <c r="AE931" i="2"/>
  <c r="AF931" i="2"/>
  <c r="D932" i="2"/>
  <c r="F932" i="2"/>
  <c r="G932" i="2"/>
  <c r="I932" i="2"/>
  <c r="Z932" i="2"/>
  <c r="AA932" i="2"/>
  <c r="AB932" i="2"/>
  <c r="AC932" i="2"/>
  <c r="AD932" i="2"/>
  <c r="AE932" i="2"/>
  <c r="AF932" i="2"/>
  <c r="D933" i="2"/>
  <c r="F933" i="2"/>
  <c r="G933" i="2"/>
  <c r="I933" i="2"/>
  <c r="Z933" i="2"/>
  <c r="AA933" i="2"/>
  <c r="AB933" i="2"/>
  <c r="AC933" i="2"/>
  <c r="AD933" i="2"/>
  <c r="AE933" i="2"/>
  <c r="AF933" i="2"/>
  <c r="D934" i="2"/>
  <c r="F934" i="2"/>
  <c r="G934" i="2"/>
  <c r="Z934" i="2"/>
  <c r="AA934" i="2"/>
  <c r="AB934" i="2"/>
  <c r="AC934" i="2"/>
  <c r="AD934" i="2"/>
  <c r="AE934" i="2"/>
  <c r="AF934" i="2"/>
  <c r="D935" i="2"/>
  <c r="F935" i="2"/>
  <c r="G935" i="2"/>
  <c r="I935" i="2"/>
  <c r="Z935" i="2"/>
  <c r="AA935" i="2"/>
  <c r="AB935" i="2"/>
  <c r="AC935" i="2"/>
  <c r="AD935" i="2"/>
  <c r="AE935" i="2"/>
  <c r="AF935" i="2"/>
  <c r="D936" i="2"/>
  <c r="F936" i="2"/>
  <c r="G936" i="2"/>
  <c r="I936" i="2"/>
  <c r="Z936" i="2"/>
  <c r="AA936" i="2"/>
  <c r="AB936" i="2"/>
  <c r="AC936" i="2"/>
  <c r="AD936" i="2"/>
  <c r="AE936" i="2"/>
  <c r="AF936" i="2"/>
  <c r="D937" i="2"/>
  <c r="F937" i="2"/>
  <c r="G937" i="2"/>
  <c r="I937" i="2"/>
  <c r="Z937" i="2"/>
  <c r="AA937" i="2"/>
  <c r="AB937" i="2"/>
  <c r="AC937" i="2"/>
  <c r="AD937" i="2"/>
  <c r="AE937" i="2"/>
  <c r="AF937" i="2"/>
  <c r="C938" i="2"/>
  <c r="D938" i="2" s="1"/>
  <c r="F938" i="2"/>
  <c r="G938" i="2"/>
  <c r="Z938" i="2"/>
  <c r="AA938" i="2"/>
  <c r="AB938" i="2"/>
  <c r="AC938" i="2"/>
  <c r="AD938" i="2"/>
  <c r="AE938" i="2"/>
  <c r="AF938" i="2"/>
  <c r="D939" i="2"/>
  <c r="F939" i="2"/>
  <c r="G939" i="2"/>
  <c r="I939" i="2"/>
  <c r="Z939" i="2"/>
  <c r="AA939" i="2"/>
  <c r="AB939" i="2"/>
  <c r="AC939" i="2"/>
  <c r="AD939" i="2"/>
  <c r="AE939" i="2"/>
  <c r="AF939" i="2"/>
  <c r="D940" i="2"/>
  <c r="F940" i="2"/>
  <c r="G940" i="2"/>
  <c r="I940" i="2"/>
  <c r="Z940" i="2"/>
  <c r="AA940" i="2"/>
  <c r="AB940" i="2"/>
  <c r="AC940" i="2"/>
  <c r="AD940" i="2"/>
  <c r="AE940" i="2"/>
  <c r="AF940" i="2"/>
  <c r="D941" i="2"/>
  <c r="F941" i="2"/>
  <c r="G941" i="2"/>
  <c r="I941" i="2"/>
  <c r="Z941" i="2"/>
  <c r="AA941" i="2"/>
  <c r="AB941" i="2"/>
  <c r="AC941" i="2"/>
  <c r="AD941" i="2"/>
  <c r="AE941" i="2"/>
  <c r="AF941" i="2"/>
  <c r="D942" i="2"/>
  <c r="F942" i="2"/>
  <c r="G942" i="2"/>
  <c r="Z942" i="2"/>
  <c r="AA942" i="2"/>
  <c r="AB942" i="2"/>
  <c r="AC942" i="2"/>
  <c r="AD942" i="2"/>
  <c r="AE942" i="2"/>
  <c r="AF942" i="2"/>
  <c r="D943" i="2"/>
  <c r="F943" i="2"/>
  <c r="G943" i="2"/>
  <c r="I943" i="2"/>
  <c r="Z943" i="2"/>
  <c r="AA943" i="2"/>
  <c r="AB943" i="2"/>
  <c r="AC943" i="2"/>
  <c r="AD943" i="2"/>
  <c r="AE943" i="2"/>
  <c r="AF943" i="2"/>
  <c r="D944" i="2"/>
  <c r="F944" i="2"/>
  <c r="G944" i="2"/>
  <c r="I944" i="2"/>
  <c r="Z944" i="2"/>
  <c r="AA944" i="2"/>
  <c r="AB944" i="2"/>
  <c r="AC944" i="2"/>
  <c r="AD944" i="2"/>
  <c r="AE944" i="2"/>
  <c r="AF944" i="2"/>
  <c r="D945" i="2"/>
  <c r="F945" i="2"/>
  <c r="G945" i="2"/>
  <c r="I945" i="2"/>
  <c r="Z945" i="2"/>
  <c r="AA945" i="2"/>
  <c r="AB945" i="2"/>
  <c r="AC945" i="2"/>
  <c r="AD945" i="2"/>
  <c r="AE945" i="2"/>
  <c r="AF945" i="2"/>
  <c r="D946" i="2"/>
  <c r="F946" i="2"/>
  <c r="G946" i="2"/>
  <c r="Z946" i="2"/>
  <c r="AA946" i="2"/>
  <c r="AB946" i="2"/>
  <c r="AC946" i="2"/>
  <c r="AD946" i="2"/>
  <c r="AE946" i="2"/>
  <c r="AF946" i="2"/>
  <c r="D947" i="2"/>
  <c r="F947" i="2"/>
  <c r="G947" i="2"/>
  <c r="I947" i="2"/>
  <c r="Z947" i="2"/>
  <c r="AA947" i="2"/>
  <c r="AB947" i="2"/>
  <c r="AC947" i="2"/>
  <c r="AD947" i="2"/>
  <c r="AE947" i="2"/>
  <c r="AF947" i="2"/>
  <c r="D948" i="2"/>
  <c r="F948" i="2"/>
  <c r="G948" i="2"/>
  <c r="I948" i="2"/>
  <c r="Z948" i="2"/>
  <c r="AA948" i="2"/>
  <c r="AB948" i="2"/>
  <c r="AC948" i="2"/>
  <c r="AD948" i="2"/>
  <c r="AE948" i="2"/>
  <c r="AF948" i="2"/>
  <c r="D949" i="2"/>
  <c r="F949" i="2"/>
  <c r="G949" i="2"/>
  <c r="I949" i="2"/>
  <c r="Z949" i="2"/>
  <c r="AA949" i="2"/>
  <c r="AB949" i="2"/>
  <c r="AC949" i="2"/>
  <c r="AD949" i="2"/>
  <c r="AE949" i="2"/>
  <c r="AF949" i="2"/>
  <c r="D950" i="2"/>
  <c r="F950" i="2"/>
  <c r="G950" i="2"/>
  <c r="Z950" i="2"/>
  <c r="AA950" i="2"/>
  <c r="AB950" i="2"/>
  <c r="AC950" i="2"/>
  <c r="AD950" i="2"/>
  <c r="AE950" i="2"/>
  <c r="AF950" i="2"/>
  <c r="D951" i="2"/>
  <c r="F951" i="2"/>
  <c r="G951" i="2"/>
  <c r="I951" i="2"/>
  <c r="Z951" i="2"/>
  <c r="AA951" i="2"/>
  <c r="AB951" i="2"/>
  <c r="AC951" i="2"/>
  <c r="AD951" i="2"/>
  <c r="AE951" i="2"/>
  <c r="AF951" i="2"/>
  <c r="D952" i="2"/>
  <c r="F952" i="2"/>
  <c r="G952" i="2"/>
  <c r="I952" i="2"/>
  <c r="Z952" i="2"/>
  <c r="AA952" i="2"/>
  <c r="AB952" i="2"/>
  <c r="AC952" i="2"/>
  <c r="AD952" i="2"/>
  <c r="AE952" i="2"/>
  <c r="AF952" i="2"/>
  <c r="D953" i="2"/>
  <c r="F953" i="2"/>
  <c r="G953" i="2"/>
  <c r="I953" i="2"/>
  <c r="Z953" i="2"/>
  <c r="AA953" i="2"/>
  <c r="AB953" i="2"/>
  <c r="AC953" i="2"/>
  <c r="AD953" i="2"/>
  <c r="AE953" i="2"/>
  <c r="AF953" i="2"/>
  <c r="D954" i="2"/>
  <c r="F954" i="2"/>
  <c r="G954" i="2"/>
  <c r="Z954" i="2"/>
  <c r="AA954" i="2"/>
  <c r="AB954" i="2"/>
  <c r="AC954" i="2"/>
  <c r="AD954" i="2"/>
  <c r="AE954" i="2"/>
  <c r="AF954" i="2"/>
  <c r="D955" i="2"/>
  <c r="F955" i="2"/>
  <c r="G955" i="2"/>
  <c r="I955" i="2"/>
  <c r="Z955" i="2"/>
  <c r="AA955" i="2"/>
  <c r="AB955" i="2"/>
  <c r="AC955" i="2"/>
  <c r="AD955" i="2"/>
  <c r="AE955" i="2"/>
  <c r="AF955" i="2"/>
  <c r="D956" i="2"/>
  <c r="F956" i="2"/>
  <c r="G956" i="2"/>
  <c r="I956" i="2"/>
  <c r="Z956" i="2"/>
  <c r="AA956" i="2"/>
  <c r="AB956" i="2"/>
  <c r="AC956" i="2"/>
  <c r="AD956" i="2"/>
  <c r="AE956" i="2"/>
  <c r="AF956" i="2"/>
  <c r="D957" i="2"/>
  <c r="F957" i="2"/>
  <c r="G957" i="2"/>
  <c r="I957" i="2"/>
  <c r="Z957" i="2"/>
  <c r="AA957" i="2"/>
  <c r="AB957" i="2"/>
  <c r="AC957" i="2"/>
  <c r="AD957" i="2"/>
  <c r="AE957" i="2"/>
  <c r="AF957" i="2"/>
  <c r="D958" i="2"/>
  <c r="F958" i="2"/>
  <c r="G958" i="2"/>
  <c r="Z958" i="2"/>
  <c r="AA958" i="2"/>
  <c r="AB958" i="2"/>
  <c r="AC958" i="2"/>
  <c r="AD958" i="2"/>
  <c r="AE958" i="2"/>
  <c r="AF958" i="2"/>
  <c r="D959" i="2"/>
  <c r="F959" i="2"/>
  <c r="G959" i="2"/>
  <c r="I959" i="2"/>
  <c r="Z959" i="2"/>
  <c r="AA959" i="2"/>
  <c r="AB959" i="2"/>
  <c r="AC959" i="2"/>
  <c r="AD959" i="2"/>
  <c r="AE959" i="2"/>
  <c r="AF959" i="2"/>
  <c r="D960" i="2"/>
  <c r="F960" i="2"/>
  <c r="G960" i="2"/>
  <c r="I960" i="2"/>
  <c r="Z960" i="2"/>
  <c r="AA960" i="2"/>
  <c r="AB960" i="2"/>
  <c r="AC960" i="2"/>
  <c r="AD960" i="2"/>
  <c r="AE960" i="2"/>
  <c r="AF960" i="2"/>
  <c r="D961" i="2"/>
  <c r="F961" i="2"/>
  <c r="G961" i="2"/>
  <c r="I961" i="2"/>
  <c r="Z961" i="2"/>
  <c r="AA961" i="2"/>
  <c r="AB961" i="2"/>
  <c r="AC961" i="2"/>
  <c r="AD961" i="2"/>
  <c r="AE961" i="2"/>
  <c r="AF961" i="2"/>
  <c r="D962" i="2"/>
  <c r="F962" i="2"/>
  <c r="G962" i="2"/>
  <c r="Z962" i="2"/>
  <c r="AA962" i="2"/>
  <c r="AB962" i="2"/>
  <c r="AC962" i="2"/>
  <c r="AD962" i="2"/>
  <c r="AE962" i="2"/>
  <c r="AF962" i="2"/>
  <c r="D963" i="2"/>
  <c r="F963" i="2"/>
  <c r="G963" i="2"/>
  <c r="I963" i="2"/>
  <c r="Z963" i="2"/>
  <c r="AA963" i="2"/>
  <c r="AB963" i="2"/>
  <c r="AC963" i="2"/>
  <c r="AD963" i="2"/>
  <c r="AE963" i="2"/>
  <c r="AF963" i="2"/>
  <c r="D964" i="2"/>
  <c r="F964" i="2"/>
  <c r="G964" i="2"/>
  <c r="I964" i="2"/>
  <c r="Z964" i="2"/>
  <c r="AA964" i="2"/>
  <c r="AB964" i="2"/>
  <c r="AC964" i="2"/>
  <c r="AD964" i="2"/>
  <c r="AE964" i="2"/>
  <c r="AF964" i="2"/>
  <c r="D965" i="2"/>
  <c r="F965" i="2"/>
  <c r="G965" i="2"/>
  <c r="I965" i="2"/>
  <c r="Z965" i="2"/>
  <c r="AA965" i="2"/>
  <c r="AB965" i="2"/>
  <c r="AC965" i="2"/>
  <c r="AD965" i="2"/>
  <c r="AE965" i="2"/>
  <c r="AF965" i="2"/>
  <c r="C966" i="2"/>
  <c r="D966" i="2" s="1"/>
  <c r="F966" i="2"/>
  <c r="G966" i="2"/>
  <c r="Z966" i="2"/>
  <c r="AA966" i="2"/>
  <c r="AB966" i="2"/>
  <c r="AC966" i="2"/>
  <c r="AD966" i="2"/>
  <c r="AE966" i="2"/>
  <c r="AF966" i="2"/>
  <c r="C967" i="2"/>
  <c r="D967" i="2" s="1"/>
  <c r="F967" i="2"/>
  <c r="G967" i="2"/>
  <c r="I967" i="2"/>
  <c r="Z967" i="2"/>
  <c r="AA967" i="2"/>
  <c r="AB967" i="2"/>
  <c r="AC967" i="2"/>
  <c r="AD967" i="2"/>
  <c r="AE967" i="2"/>
  <c r="AF967" i="2"/>
  <c r="D968" i="2"/>
  <c r="F968" i="2"/>
  <c r="G968" i="2"/>
  <c r="I968" i="2"/>
  <c r="Z968" i="2"/>
  <c r="AA968" i="2"/>
  <c r="AB968" i="2"/>
  <c r="AC968" i="2"/>
  <c r="AD968" i="2"/>
  <c r="AE968" i="2"/>
  <c r="AF968" i="2"/>
  <c r="D969" i="2"/>
  <c r="F969" i="2"/>
  <c r="G969" i="2"/>
  <c r="Z969" i="2"/>
  <c r="AA969" i="2"/>
  <c r="AB969" i="2"/>
  <c r="AC969" i="2"/>
  <c r="AD969" i="2"/>
  <c r="AE969" i="2"/>
  <c r="AF969" i="2"/>
  <c r="D970" i="2"/>
  <c r="F970" i="2"/>
  <c r="G970" i="2"/>
  <c r="Z970" i="2"/>
  <c r="AA970" i="2"/>
  <c r="AB970" i="2"/>
  <c r="AC970" i="2"/>
  <c r="AD970" i="2"/>
  <c r="AE970" i="2"/>
  <c r="AF970" i="2"/>
  <c r="D971" i="2"/>
  <c r="F971" i="2"/>
  <c r="G971" i="2"/>
  <c r="I971" i="2"/>
  <c r="Z971" i="2"/>
  <c r="AA971" i="2"/>
  <c r="AB971" i="2"/>
  <c r="AC971" i="2"/>
  <c r="AD971" i="2"/>
  <c r="AE971" i="2"/>
  <c r="AF971" i="2"/>
  <c r="D972" i="2"/>
  <c r="F972" i="2"/>
  <c r="G972" i="2"/>
  <c r="I972" i="2"/>
  <c r="Z972" i="2"/>
  <c r="AA972" i="2"/>
  <c r="AB972" i="2"/>
  <c r="AC972" i="2"/>
  <c r="AD972" i="2"/>
  <c r="AE972" i="2"/>
  <c r="AF972" i="2"/>
  <c r="D973" i="2"/>
  <c r="F973" i="2"/>
  <c r="G973" i="2"/>
  <c r="Z973" i="2"/>
  <c r="AA973" i="2"/>
  <c r="AB973" i="2"/>
  <c r="AC973" i="2"/>
  <c r="AD973" i="2"/>
  <c r="AE973" i="2"/>
  <c r="AF973" i="2"/>
  <c r="D974" i="2"/>
  <c r="F974" i="2"/>
  <c r="G974" i="2"/>
  <c r="Z974" i="2"/>
  <c r="AA974" i="2"/>
  <c r="AB974" i="2"/>
  <c r="AC974" i="2"/>
  <c r="AD974" i="2"/>
  <c r="AE974" i="2"/>
  <c r="AF974" i="2"/>
  <c r="D975" i="2"/>
  <c r="F975" i="2"/>
  <c r="G975" i="2"/>
  <c r="I975" i="2"/>
  <c r="Z975" i="2"/>
  <c r="AA975" i="2"/>
  <c r="AB975" i="2"/>
  <c r="AC975" i="2"/>
  <c r="AD975" i="2"/>
  <c r="AE975" i="2"/>
  <c r="AF975" i="2"/>
  <c r="D976" i="2"/>
  <c r="F976" i="2"/>
  <c r="G976" i="2"/>
  <c r="I976" i="2"/>
  <c r="Z976" i="2"/>
  <c r="AA976" i="2"/>
  <c r="AB976" i="2"/>
  <c r="AC976" i="2"/>
  <c r="AD976" i="2"/>
  <c r="AE976" i="2"/>
  <c r="AF976" i="2"/>
  <c r="D977" i="2"/>
  <c r="F977" i="2"/>
  <c r="G977" i="2"/>
  <c r="Z977" i="2"/>
  <c r="AA977" i="2"/>
  <c r="AB977" i="2"/>
  <c r="AC977" i="2"/>
  <c r="AD977" i="2"/>
  <c r="AE977" i="2"/>
  <c r="AF977" i="2"/>
  <c r="D978" i="2"/>
  <c r="F978" i="2"/>
  <c r="G978" i="2"/>
  <c r="Z978" i="2"/>
  <c r="AA978" i="2"/>
  <c r="AB978" i="2"/>
  <c r="AC978" i="2"/>
  <c r="AD978" i="2"/>
  <c r="AE978" i="2"/>
  <c r="AF978" i="2"/>
  <c r="D979" i="2"/>
  <c r="F979" i="2"/>
  <c r="G979" i="2"/>
  <c r="I979" i="2"/>
  <c r="Z979" i="2"/>
  <c r="AA979" i="2"/>
  <c r="AB979" i="2"/>
  <c r="AC979" i="2"/>
  <c r="AD979" i="2"/>
  <c r="AE979" i="2"/>
  <c r="AF979" i="2"/>
  <c r="D980" i="2"/>
  <c r="F980" i="2"/>
  <c r="G980" i="2"/>
  <c r="I980" i="2"/>
  <c r="Z980" i="2"/>
  <c r="AA980" i="2"/>
  <c r="AB980" i="2"/>
  <c r="AC980" i="2"/>
  <c r="AD980" i="2"/>
  <c r="AE980" i="2"/>
  <c r="AF980" i="2"/>
  <c r="D981" i="2"/>
  <c r="F981" i="2"/>
  <c r="G981" i="2"/>
  <c r="Z981" i="2"/>
  <c r="AA981" i="2"/>
  <c r="AB981" i="2"/>
  <c r="AC981" i="2"/>
  <c r="AD981" i="2"/>
  <c r="AE981" i="2"/>
  <c r="AF981" i="2"/>
  <c r="D982" i="2"/>
  <c r="F982" i="2"/>
  <c r="G982" i="2"/>
  <c r="Z982" i="2"/>
  <c r="AA982" i="2"/>
  <c r="AB982" i="2"/>
  <c r="AC982" i="2"/>
  <c r="AD982" i="2"/>
  <c r="AE982" i="2"/>
  <c r="AF982" i="2"/>
  <c r="D983" i="2"/>
  <c r="F983" i="2"/>
  <c r="G983" i="2"/>
  <c r="I983" i="2"/>
  <c r="Z983" i="2"/>
  <c r="AA983" i="2"/>
  <c r="AB983" i="2"/>
  <c r="AC983" i="2"/>
  <c r="AD983" i="2"/>
  <c r="AE983" i="2"/>
  <c r="AF983" i="2"/>
  <c r="D984" i="2"/>
  <c r="F984" i="2"/>
  <c r="G984" i="2"/>
  <c r="I984" i="2"/>
  <c r="Z984" i="2"/>
  <c r="AA984" i="2"/>
  <c r="AB984" i="2"/>
  <c r="AC984" i="2"/>
  <c r="AD984" i="2"/>
  <c r="AE984" i="2"/>
  <c r="AF984" i="2"/>
  <c r="D985" i="2"/>
  <c r="F985" i="2"/>
  <c r="G985" i="2"/>
  <c r="Z985" i="2"/>
  <c r="AA985" i="2"/>
  <c r="AB985" i="2"/>
  <c r="AC985" i="2"/>
  <c r="AD985" i="2"/>
  <c r="AE985" i="2"/>
  <c r="AF985" i="2"/>
  <c r="D986" i="2"/>
  <c r="F986" i="2"/>
  <c r="G986" i="2"/>
  <c r="Z986" i="2"/>
  <c r="AA986" i="2"/>
  <c r="AB986" i="2"/>
  <c r="AC986" i="2"/>
  <c r="AD986" i="2"/>
  <c r="AE986" i="2"/>
  <c r="AF986" i="2"/>
  <c r="D987" i="2"/>
  <c r="F987" i="2"/>
  <c r="G987" i="2"/>
  <c r="I987" i="2"/>
  <c r="Z987" i="2"/>
  <c r="AA987" i="2"/>
  <c r="AB987" i="2"/>
  <c r="AC987" i="2"/>
  <c r="AD987" i="2"/>
  <c r="AE987" i="2"/>
  <c r="AF987" i="2"/>
  <c r="D988" i="2"/>
  <c r="F988" i="2"/>
  <c r="G988" i="2"/>
  <c r="I988" i="2"/>
  <c r="Z988" i="2"/>
  <c r="AA988" i="2"/>
  <c r="AB988" i="2"/>
  <c r="AC988" i="2"/>
  <c r="AD988" i="2"/>
  <c r="AE988" i="2"/>
  <c r="AF988" i="2"/>
  <c r="D989" i="2"/>
  <c r="F989" i="2"/>
  <c r="G989" i="2"/>
  <c r="Z989" i="2"/>
  <c r="AA989" i="2"/>
  <c r="AB989" i="2"/>
  <c r="AC989" i="2"/>
  <c r="AD989" i="2"/>
  <c r="AE989" i="2"/>
  <c r="AF989" i="2"/>
  <c r="D990" i="2"/>
  <c r="F990" i="2"/>
  <c r="G990" i="2"/>
  <c r="Z990" i="2"/>
  <c r="AA990" i="2"/>
  <c r="AB990" i="2"/>
  <c r="AC990" i="2"/>
  <c r="AD990" i="2"/>
  <c r="AE990" i="2"/>
  <c r="AF990" i="2"/>
  <c r="D991" i="2"/>
  <c r="F991" i="2"/>
  <c r="G991" i="2"/>
  <c r="I991" i="2"/>
  <c r="Z991" i="2"/>
  <c r="AA991" i="2"/>
  <c r="AB991" i="2"/>
  <c r="AC991" i="2"/>
  <c r="AD991" i="2"/>
  <c r="AE991" i="2"/>
  <c r="AF991" i="2"/>
  <c r="D992" i="2"/>
  <c r="F992" i="2"/>
  <c r="G992" i="2"/>
  <c r="I992" i="2"/>
  <c r="Z992" i="2"/>
  <c r="AA992" i="2"/>
  <c r="AB992" i="2"/>
  <c r="AC992" i="2"/>
  <c r="AD992" i="2"/>
  <c r="AE992" i="2"/>
  <c r="AF992" i="2"/>
  <c r="D993" i="2"/>
  <c r="F993" i="2"/>
  <c r="G993" i="2"/>
  <c r="Z993" i="2"/>
  <c r="AA993" i="2"/>
  <c r="AB993" i="2"/>
  <c r="AC993" i="2"/>
  <c r="AD993" i="2"/>
  <c r="AE993" i="2"/>
  <c r="AF993" i="2"/>
  <c r="D994" i="2"/>
  <c r="F994" i="2"/>
  <c r="G994" i="2"/>
  <c r="I994" i="2"/>
  <c r="Z994" i="2"/>
  <c r="AA994" i="2"/>
  <c r="AB994" i="2"/>
  <c r="AC994" i="2"/>
  <c r="AD994" i="2"/>
  <c r="AE994" i="2"/>
  <c r="AF994" i="2"/>
  <c r="D995" i="2"/>
  <c r="F995" i="2"/>
  <c r="G995" i="2"/>
  <c r="I995" i="2"/>
  <c r="Z995" i="2"/>
  <c r="AA995" i="2"/>
  <c r="AB995" i="2"/>
  <c r="AC995" i="2"/>
  <c r="AD995" i="2"/>
  <c r="AE995" i="2"/>
  <c r="AF995" i="2"/>
  <c r="D996" i="2"/>
  <c r="F996" i="2"/>
  <c r="G996" i="2"/>
  <c r="I996" i="2"/>
  <c r="Z996" i="2"/>
  <c r="AA996" i="2"/>
  <c r="AB996" i="2"/>
  <c r="AC996" i="2"/>
  <c r="AD996" i="2"/>
  <c r="AE996" i="2"/>
  <c r="AF996" i="2"/>
  <c r="D997" i="2"/>
  <c r="F997" i="2"/>
  <c r="G997" i="2"/>
  <c r="Z997" i="2"/>
  <c r="AA997" i="2"/>
  <c r="AB997" i="2"/>
  <c r="AC997" i="2"/>
  <c r="AD997" i="2"/>
  <c r="AE997" i="2"/>
  <c r="AF997" i="2"/>
  <c r="D998" i="2"/>
  <c r="F998" i="2"/>
  <c r="G998" i="2"/>
  <c r="Z998" i="2"/>
  <c r="AA998" i="2"/>
  <c r="AB998" i="2"/>
  <c r="AC998" i="2"/>
  <c r="AD998" i="2"/>
  <c r="AE998" i="2"/>
  <c r="AF998" i="2"/>
  <c r="D999" i="2"/>
  <c r="F999" i="2"/>
  <c r="G999" i="2"/>
  <c r="I999" i="2"/>
  <c r="Z999" i="2"/>
  <c r="AA999" i="2"/>
  <c r="AB999" i="2"/>
  <c r="AC999" i="2"/>
  <c r="AD999" i="2"/>
  <c r="AE999" i="2"/>
  <c r="AF999" i="2"/>
  <c r="D1000" i="2"/>
  <c r="F1000" i="2"/>
  <c r="G1000" i="2"/>
  <c r="I1000" i="2"/>
  <c r="Z1000" i="2"/>
  <c r="AA1000" i="2"/>
  <c r="AB1000" i="2"/>
  <c r="AC1000" i="2"/>
  <c r="AD1000" i="2"/>
  <c r="AE1000" i="2"/>
  <c r="AF1000" i="2"/>
  <c r="D1001" i="2"/>
  <c r="F1001" i="2"/>
  <c r="G1001" i="2"/>
  <c r="Z1001" i="2"/>
  <c r="AA1001" i="2"/>
  <c r="AB1001" i="2"/>
  <c r="AC1001" i="2"/>
  <c r="AD1001" i="2"/>
  <c r="AE1001" i="2"/>
  <c r="AF1001" i="2"/>
  <c r="D1002" i="2"/>
  <c r="F1002" i="2"/>
  <c r="G1002" i="2"/>
  <c r="Z1002" i="2"/>
  <c r="AA1002" i="2"/>
  <c r="AB1002" i="2"/>
  <c r="AC1002" i="2"/>
  <c r="AD1002" i="2"/>
  <c r="AE1002" i="2"/>
  <c r="AF1002" i="2"/>
  <c r="C1003" i="2"/>
  <c r="D1003" i="2" s="1"/>
  <c r="F1003" i="2"/>
  <c r="G1003" i="2"/>
  <c r="I1003" i="2"/>
  <c r="Z1003" i="2"/>
  <c r="AA1003" i="2"/>
  <c r="AB1003" i="2"/>
  <c r="AC1003" i="2"/>
  <c r="AD1003" i="2"/>
  <c r="AE1003" i="2"/>
  <c r="AF1003" i="2"/>
  <c r="C1004" i="2"/>
  <c r="D1004" i="2" s="1"/>
  <c r="F1004" i="2"/>
  <c r="G1004" i="2"/>
  <c r="I1004" i="2"/>
  <c r="Z1004" i="2"/>
  <c r="AA1004" i="2"/>
  <c r="AB1004" i="2"/>
  <c r="AC1004" i="2"/>
  <c r="AD1004" i="2"/>
  <c r="AE1004" i="2"/>
  <c r="AF1004" i="2"/>
  <c r="D1005" i="2"/>
  <c r="F1005" i="2"/>
  <c r="G1005" i="2"/>
  <c r="I1005" i="2"/>
  <c r="Z1005" i="2"/>
  <c r="AA1005" i="2"/>
  <c r="AB1005" i="2"/>
  <c r="AC1005" i="2"/>
  <c r="AD1005" i="2"/>
  <c r="AE1005" i="2"/>
  <c r="AF1005" i="2"/>
  <c r="D1006" i="2"/>
  <c r="F1006" i="2"/>
  <c r="G1006" i="2"/>
  <c r="Z1006" i="2"/>
  <c r="AA1006" i="2"/>
  <c r="AB1006" i="2"/>
  <c r="AC1006" i="2"/>
  <c r="AD1006" i="2"/>
  <c r="AE1006" i="2"/>
  <c r="AF1006" i="2"/>
  <c r="D1007" i="2"/>
  <c r="F1007" i="2"/>
  <c r="G1007" i="2"/>
  <c r="I1007" i="2"/>
  <c r="Z1007" i="2"/>
  <c r="AA1007" i="2"/>
  <c r="AB1007" i="2"/>
  <c r="AC1007" i="2"/>
  <c r="AD1007" i="2"/>
  <c r="AE1007" i="2"/>
  <c r="AF1007" i="2"/>
  <c r="D1008" i="2"/>
  <c r="F1008" i="2"/>
  <c r="G1008" i="2"/>
  <c r="I1008" i="2"/>
  <c r="Z1008" i="2"/>
  <c r="AA1008" i="2"/>
  <c r="AB1008" i="2"/>
  <c r="AC1008" i="2"/>
  <c r="AD1008" i="2"/>
  <c r="AE1008" i="2"/>
  <c r="AF1008" i="2"/>
  <c r="D1009" i="2"/>
  <c r="F1009" i="2"/>
  <c r="G1009" i="2"/>
  <c r="I1009" i="2"/>
  <c r="Z1009" i="2"/>
  <c r="AA1009" i="2"/>
  <c r="AB1009" i="2"/>
  <c r="AC1009" i="2"/>
  <c r="AD1009" i="2"/>
  <c r="AE1009" i="2"/>
  <c r="AF1009" i="2"/>
  <c r="D1010" i="2"/>
  <c r="F1010" i="2"/>
  <c r="G1010" i="2"/>
  <c r="Z1010" i="2"/>
  <c r="AA1010" i="2"/>
  <c r="AB1010" i="2"/>
  <c r="AC1010" i="2"/>
  <c r="AD1010" i="2"/>
  <c r="AE1010" i="2"/>
  <c r="AF1010" i="2"/>
  <c r="D1011" i="2"/>
  <c r="F1011" i="2"/>
  <c r="G1011" i="2"/>
  <c r="I1011" i="2"/>
  <c r="Z1011" i="2"/>
  <c r="AA1011" i="2"/>
  <c r="AB1011" i="2"/>
  <c r="AC1011" i="2"/>
  <c r="AD1011" i="2"/>
  <c r="AE1011" i="2"/>
  <c r="AF1011" i="2"/>
  <c r="D1012" i="2"/>
  <c r="F1012" i="2"/>
  <c r="G1012" i="2"/>
  <c r="I1012" i="2"/>
  <c r="Z1012" i="2"/>
  <c r="AA1012" i="2"/>
  <c r="AB1012" i="2"/>
  <c r="AC1012" i="2"/>
  <c r="AD1012" i="2"/>
  <c r="AE1012" i="2"/>
  <c r="AF1012" i="2"/>
  <c r="D1013" i="2"/>
  <c r="F1013" i="2"/>
  <c r="G1013" i="2"/>
  <c r="Z1013" i="2"/>
  <c r="AA1013" i="2"/>
  <c r="AB1013" i="2"/>
  <c r="AC1013" i="2"/>
  <c r="AD1013" i="2"/>
  <c r="AE1013" i="2"/>
  <c r="AF1013" i="2"/>
  <c r="D1014" i="2"/>
  <c r="F1014" i="2"/>
  <c r="G1014" i="2"/>
  <c r="Z1014" i="2"/>
  <c r="AA1014" i="2"/>
  <c r="AB1014" i="2"/>
  <c r="AC1014" i="2"/>
  <c r="AD1014" i="2"/>
  <c r="AE1014" i="2"/>
  <c r="AF1014" i="2"/>
  <c r="D1015" i="2"/>
  <c r="F1015" i="2"/>
  <c r="G1015" i="2"/>
  <c r="I1015" i="2"/>
  <c r="Z1015" i="2"/>
  <c r="AA1015" i="2"/>
  <c r="AB1015" i="2"/>
  <c r="AC1015" i="2"/>
  <c r="AD1015" i="2"/>
  <c r="AE1015" i="2"/>
  <c r="AF1015" i="2"/>
  <c r="D1016" i="2"/>
  <c r="F1016" i="2"/>
  <c r="G1016" i="2"/>
  <c r="I1016" i="2"/>
  <c r="Z1016" i="2"/>
  <c r="AA1016" i="2"/>
  <c r="AB1016" i="2"/>
  <c r="AC1016" i="2"/>
  <c r="AD1016" i="2"/>
  <c r="AE1016" i="2"/>
  <c r="AF1016" i="2"/>
  <c r="D1017" i="2"/>
  <c r="F1017" i="2"/>
  <c r="G1017" i="2"/>
  <c r="Z1017" i="2"/>
  <c r="AA1017" i="2"/>
  <c r="AB1017" i="2"/>
  <c r="AC1017" i="2"/>
  <c r="AD1017" i="2"/>
  <c r="AE1017" i="2"/>
  <c r="AF1017" i="2"/>
  <c r="D1018" i="2"/>
  <c r="F1018" i="2"/>
  <c r="G1018" i="2"/>
  <c r="Z1018" i="2"/>
  <c r="AA1018" i="2"/>
  <c r="AB1018" i="2"/>
  <c r="AC1018" i="2"/>
  <c r="AD1018" i="2"/>
  <c r="AE1018" i="2"/>
  <c r="AF1018" i="2"/>
  <c r="D1019" i="2"/>
  <c r="F1019" i="2"/>
  <c r="G1019" i="2"/>
  <c r="I1019" i="2"/>
  <c r="Z1019" i="2"/>
  <c r="AA1019" i="2"/>
  <c r="AB1019" i="2"/>
  <c r="AC1019" i="2"/>
  <c r="AD1019" i="2"/>
  <c r="AE1019" i="2"/>
  <c r="AF1019" i="2"/>
  <c r="D1020" i="2"/>
  <c r="F1020" i="2"/>
  <c r="G1020" i="2"/>
  <c r="I1020" i="2"/>
  <c r="Z1020" i="2"/>
  <c r="AA1020" i="2"/>
  <c r="AB1020" i="2"/>
  <c r="AC1020" i="2"/>
  <c r="AD1020" i="2"/>
  <c r="AE1020" i="2"/>
  <c r="AF1020" i="2"/>
  <c r="D1021" i="2"/>
  <c r="F1021" i="2"/>
  <c r="G1021" i="2"/>
  <c r="I1021" i="2"/>
  <c r="Z1021" i="2"/>
  <c r="AA1021" i="2"/>
  <c r="AB1021" i="2"/>
  <c r="AC1021" i="2"/>
  <c r="AD1021" i="2"/>
  <c r="AE1021" i="2"/>
  <c r="AF1021" i="2"/>
  <c r="D1022" i="2"/>
  <c r="F1022" i="2"/>
  <c r="G1022" i="2"/>
  <c r="Z1022" i="2"/>
  <c r="AA1022" i="2"/>
  <c r="AB1022" i="2"/>
  <c r="AC1022" i="2"/>
  <c r="AD1022" i="2"/>
  <c r="AE1022" i="2"/>
  <c r="AF1022" i="2"/>
  <c r="D1023" i="2"/>
  <c r="F1023" i="2"/>
  <c r="G1023" i="2"/>
  <c r="I1023" i="2"/>
  <c r="Z1023" i="2"/>
  <c r="AA1023" i="2"/>
  <c r="AB1023" i="2"/>
  <c r="AC1023" i="2"/>
  <c r="AD1023" i="2"/>
  <c r="AE1023" i="2"/>
  <c r="AF1023" i="2"/>
  <c r="D1024" i="2"/>
  <c r="F1024" i="2"/>
  <c r="G1024" i="2"/>
  <c r="I1024" i="2"/>
  <c r="Z1024" i="2"/>
  <c r="AA1024" i="2"/>
  <c r="AB1024" i="2"/>
  <c r="AC1024" i="2"/>
  <c r="AD1024" i="2"/>
  <c r="AE1024" i="2"/>
  <c r="AF1024" i="2"/>
  <c r="D1025" i="2"/>
  <c r="F1025" i="2"/>
  <c r="G1025" i="2"/>
  <c r="I1025" i="2"/>
  <c r="Z1025" i="2"/>
  <c r="AA1025" i="2"/>
  <c r="AB1025" i="2"/>
  <c r="AC1025" i="2"/>
  <c r="AD1025" i="2"/>
  <c r="AE1025" i="2"/>
  <c r="AF1025" i="2"/>
  <c r="D1026" i="2"/>
  <c r="F1026" i="2"/>
  <c r="G1026" i="2"/>
  <c r="Z1026" i="2"/>
  <c r="AA1026" i="2"/>
  <c r="AB1026" i="2"/>
  <c r="AC1026" i="2"/>
  <c r="AD1026" i="2"/>
  <c r="AE1026" i="2"/>
  <c r="AF1026" i="2"/>
  <c r="D1027" i="2"/>
  <c r="F1027" i="2"/>
  <c r="G1027" i="2"/>
  <c r="I1027" i="2"/>
  <c r="Z1027" i="2"/>
  <c r="AA1027" i="2"/>
  <c r="AB1027" i="2"/>
  <c r="AC1027" i="2"/>
  <c r="AD1027" i="2"/>
  <c r="AE1027" i="2"/>
  <c r="AF1027" i="2"/>
  <c r="D1028" i="2"/>
  <c r="F1028" i="2"/>
  <c r="G1028" i="2"/>
  <c r="I1028" i="2"/>
  <c r="Z1028" i="2"/>
  <c r="AA1028" i="2"/>
  <c r="AB1028" i="2"/>
  <c r="AC1028" i="2"/>
  <c r="AD1028" i="2"/>
  <c r="AE1028" i="2"/>
  <c r="AF1028" i="2"/>
  <c r="D1029" i="2"/>
  <c r="F1029" i="2"/>
  <c r="G1029" i="2"/>
  <c r="Z1029" i="2"/>
  <c r="AA1029" i="2"/>
  <c r="AB1029" i="2"/>
  <c r="AC1029" i="2"/>
  <c r="AD1029" i="2"/>
  <c r="AE1029" i="2"/>
  <c r="AF1029" i="2"/>
  <c r="D1030" i="2"/>
  <c r="F1030" i="2"/>
  <c r="G1030" i="2"/>
  <c r="Z1030" i="2"/>
  <c r="AA1030" i="2"/>
  <c r="AB1030" i="2"/>
  <c r="AC1030" i="2"/>
  <c r="AD1030" i="2"/>
  <c r="AE1030" i="2"/>
  <c r="AF1030" i="2"/>
  <c r="C1031" i="2"/>
  <c r="D1031" i="2"/>
  <c r="F1031" i="2"/>
  <c r="G1031" i="2"/>
  <c r="I1031" i="2"/>
  <c r="Z1031" i="2"/>
  <c r="AA1031" i="2"/>
  <c r="AB1031" i="2"/>
  <c r="AC1031" i="2"/>
  <c r="AD1031" i="2"/>
  <c r="AE1031" i="2"/>
  <c r="AF1031" i="2"/>
  <c r="D1032" i="2"/>
  <c r="F1032" i="2"/>
  <c r="G1032" i="2"/>
  <c r="I1032" i="2"/>
  <c r="Z1032" i="2"/>
  <c r="AA1032" i="2"/>
  <c r="AB1032" i="2"/>
  <c r="AC1032" i="2"/>
  <c r="AD1032" i="2"/>
  <c r="AE1032" i="2"/>
  <c r="AF1032" i="2"/>
  <c r="D1033" i="2"/>
  <c r="F1033" i="2"/>
  <c r="G1033" i="2"/>
  <c r="Z1033" i="2"/>
  <c r="AA1033" i="2"/>
  <c r="AB1033" i="2"/>
  <c r="AC1033" i="2"/>
  <c r="AD1033" i="2"/>
  <c r="AE1033" i="2"/>
  <c r="AF1033" i="2"/>
  <c r="D1034" i="2"/>
  <c r="F1034" i="2"/>
  <c r="G1034" i="2"/>
  <c r="Z1034" i="2"/>
  <c r="AA1034" i="2"/>
  <c r="AB1034" i="2"/>
  <c r="AC1034" i="2"/>
  <c r="AD1034" i="2"/>
  <c r="AE1034" i="2"/>
  <c r="AF1034" i="2"/>
  <c r="D1035" i="2"/>
  <c r="F1035" i="2"/>
  <c r="G1035" i="2"/>
  <c r="I1035" i="2"/>
  <c r="Z1035" i="2"/>
  <c r="AA1035" i="2"/>
  <c r="AB1035" i="2"/>
  <c r="AC1035" i="2"/>
  <c r="AD1035" i="2"/>
  <c r="AE1035" i="2"/>
  <c r="AF1035" i="2"/>
  <c r="D1036" i="2"/>
  <c r="F1036" i="2"/>
  <c r="G1036" i="2"/>
  <c r="I1036" i="2"/>
  <c r="Z1036" i="2"/>
  <c r="AA1036" i="2"/>
  <c r="AB1036" i="2"/>
  <c r="AC1036" i="2"/>
  <c r="AD1036" i="2"/>
  <c r="AE1036" i="2"/>
  <c r="AF1036" i="2"/>
  <c r="D1037" i="2"/>
  <c r="F1037" i="2"/>
  <c r="G1037" i="2"/>
  <c r="Z1037" i="2"/>
  <c r="AA1037" i="2"/>
  <c r="AB1037" i="2"/>
  <c r="AC1037" i="2"/>
  <c r="AD1037" i="2"/>
  <c r="AE1037" i="2"/>
  <c r="AF1037" i="2"/>
  <c r="D1038" i="2"/>
  <c r="F1038" i="2"/>
  <c r="G1038" i="2"/>
  <c r="Z1038" i="2"/>
  <c r="AA1038" i="2"/>
  <c r="AB1038" i="2"/>
  <c r="AC1038" i="2"/>
  <c r="AD1038" i="2"/>
  <c r="AE1038" i="2"/>
  <c r="AF1038" i="2"/>
  <c r="D1039" i="2"/>
  <c r="F1039" i="2"/>
  <c r="G1039" i="2"/>
  <c r="I1039" i="2"/>
  <c r="Z1039" i="2"/>
  <c r="AA1039" i="2"/>
  <c r="AB1039" i="2"/>
  <c r="AC1039" i="2"/>
  <c r="AD1039" i="2"/>
  <c r="AE1039" i="2"/>
  <c r="AF1039" i="2"/>
  <c r="D1040" i="2"/>
  <c r="F1040" i="2"/>
  <c r="G1040" i="2"/>
  <c r="I1040" i="2"/>
  <c r="Z1040" i="2"/>
  <c r="AA1040" i="2"/>
  <c r="AB1040" i="2"/>
  <c r="AC1040" i="2"/>
  <c r="AD1040" i="2"/>
  <c r="AE1040" i="2"/>
  <c r="AF1040" i="2"/>
  <c r="D1041" i="2"/>
  <c r="F1041" i="2"/>
  <c r="G1041" i="2"/>
  <c r="Z1041" i="2"/>
  <c r="AA1041" i="2"/>
  <c r="AB1041" i="2"/>
  <c r="AC1041" i="2"/>
  <c r="AD1041" i="2"/>
  <c r="AE1041" i="2"/>
  <c r="AF1041" i="2"/>
  <c r="D1042" i="2"/>
  <c r="F1042" i="2"/>
  <c r="G1042" i="2"/>
  <c r="Z1042" i="2"/>
  <c r="AA1042" i="2"/>
  <c r="AB1042" i="2"/>
  <c r="AC1042" i="2"/>
  <c r="AD1042" i="2"/>
  <c r="AE1042" i="2"/>
  <c r="AF1042" i="2"/>
  <c r="D1043" i="2"/>
  <c r="F1043" i="2"/>
  <c r="G1043" i="2"/>
  <c r="I1043" i="2"/>
  <c r="Z1043" i="2"/>
  <c r="AA1043" i="2"/>
  <c r="AB1043" i="2"/>
  <c r="AC1043" i="2"/>
  <c r="AD1043" i="2"/>
  <c r="AE1043" i="2"/>
  <c r="AF1043" i="2"/>
  <c r="D1044" i="2"/>
  <c r="F1044" i="2"/>
  <c r="G1044" i="2"/>
  <c r="I1044" i="2"/>
  <c r="Z1044" i="2"/>
  <c r="AA1044" i="2"/>
  <c r="AB1044" i="2"/>
  <c r="AC1044" i="2"/>
  <c r="AD1044" i="2"/>
  <c r="AE1044" i="2"/>
  <c r="AF1044" i="2"/>
  <c r="D1045" i="2"/>
  <c r="F1045" i="2"/>
  <c r="G1045" i="2"/>
  <c r="Z1045" i="2"/>
  <c r="AA1045" i="2"/>
  <c r="AB1045" i="2"/>
  <c r="AC1045" i="2"/>
  <c r="AD1045" i="2"/>
  <c r="AE1045" i="2"/>
  <c r="AF1045" i="2"/>
  <c r="D1046" i="2"/>
  <c r="F1046" i="2"/>
  <c r="G1046" i="2"/>
  <c r="Z1046" i="2"/>
  <c r="AA1046" i="2"/>
  <c r="AB1046" i="2"/>
  <c r="AC1046" i="2"/>
  <c r="AD1046" i="2"/>
  <c r="AE1046" i="2"/>
  <c r="AF1046" i="2"/>
  <c r="D1047" i="2"/>
  <c r="F1047" i="2"/>
  <c r="G1047" i="2"/>
  <c r="I1047" i="2"/>
  <c r="Z1047" i="2"/>
  <c r="AA1047" i="2"/>
  <c r="AB1047" i="2"/>
  <c r="AC1047" i="2"/>
  <c r="AD1047" i="2"/>
  <c r="AE1047" i="2"/>
  <c r="AF1047" i="2"/>
  <c r="D1048" i="2"/>
  <c r="F1048" i="2"/>
  <c r="G1048" i="2"/>
  <c r="I1048" i="2"/>
  <c r="Z1048" i="2"/>
  <c r="AA1048" i="2"/>
  <c r="AB1048" i="2"/>
  <c r="AC1048" i="2"/>
  <c r="AD1048" i="2"/>
  <c r="AE1048" i="2"/>
  <c r="AF1048" i="2"/>
  <c r="D1049" i="2"/>
  <c r="F1049" i="2"/>
  <c r="G1049" i="2"/>
  <c r="Z1049" i="2"/>
  <c r="AA1049" i="2"/>
  <c r="AB1049" i="2"/>
  <c r="AC1049" i="2"/>
  <c r="AD1049" i="2"/>
  <c r="AE1049" i="2"/>
  <c r="AF1049" i="2"/>
  <c r="D1050" i="2"/>
  <c r="F1050" i="2"/>
  <c r="G1050" i="2"/>
  <c r="Z1050" i="2"/>
  <c r="AA1050" i="2"/>
  <c r="AB1050" i="2"/>
  <c r="AC1050" i="2"/>
  <c r="AD1050" i="2"/>
  <c r="AE1050" i="2"/>
  <c r="AF1050" i="2"/>
  <c r="D1051" i="2"/>
  <c r="F1051" i="2"/>
  <c r="G1051" i="2"/>
  <c r="I1051" i="2"/>
  <c r="Z1051" i="2"/>
  <c r="AA1051" i="2"/>
  <c r="AB1051" i="2"/>
  <c r="AC1051" i="2"/>
  <c r="AD1051" i="2"/>
  <c r="AE1051" i="2"/>
  <c r="AF1051" i="2"/>
  <c r="D1052" i="2"/>
  <c r="F1052" i="2"/>
  <c r="G1052" i="2"/>
  <c r="I1052" i="2"/>
  <c r="Z1052" i="2"/>
  <c r="AA1052" i="2"/>
  <c r="AB1052" i="2"/>
  <c r="AC1052" i="2"/>
  <c r="AD1052" i="2"/>
  <c r="AE1052" i="2"/>
  <c r="AF1052" i="2"/>
  <c r="C1053" i="2"/>
  <c r="D1053" i="2" s="1"/>
  <c r="F1053" i="2"/>
  <c r="G1053" i="2"/>
  <c r="Z1053" i="2"/>
  <c r="AA1053" i="2"/>
  <c r="AB1053" i="2"/>
  <c r="AC1053" i="2"/>
  <c r="AD1053" i="2"/>
  <c r="AE1053" i="2"/>
  <c r="AF1053" i="2"/>
  <c r="D1054" i="2"/>
  <c r="F1054" i="2"/>
  <c r="G1054" i="2"/>
  <c r="Z1054" i="2"/>
  <c r="AA1054" i="2"/>
  <c r="AB1054" i="2"/>
  <c r="AC1054" i="2"/>
  <c r="AD1054" i="2"/>
  <c r="AE1054" i="2"/>
  <c r="AF1054" i="2"/>
  <c r="D1055" i="2"/>
  <c r="F1055" i="2"/>
  <c r="G1055" i="2"/>
  <c r="I1055" i="2"/>
  <c r="Z1055" i="2"/>
  <c r="AA1055" i="2"/>
  <c r="AB1055" i="2"/>
  <c r="AC1055" i="2"/>
  <c r="AD1055" i="2"/>
  <c r="AE1055" i="2"/>
  <c r="AF1055" i="2"/>
  <c r="D1056" i="2"/>
  <c r="F1056" i="2"/>
  <c r="G1056" i="2"/>
  <c r="I1056" i="2"/>
  <c r="Z1056" i="2"/>
  <c r="AA1056" i="2"/>
  <c r="AB1056" i="2"/>
  <c r="AC1056" i="2"/>
  <c r="AD1056" i="2"/>
  <c r="AE1056" i="2"/>
  <c r="AF1056" i="2"/>
  <c r="D1057" i="2"/>
  <c r="F1057" i="2"/>
  <c r="G1057" i="2"/>
  <c r="Z1057" i="2"/>
  <c r="AA1057" i="2"/>
  <c r="AB1057" i="2"/>
  <c r="AC1057" i="2"/>
  <c r="AD1057" i="2"/>
  <c r="AE1057" i="2"/>
  <c r="AF1057" i="2"/>
  <c r="D1058" i="2"/>
  <c r="F1058" i="2"/>
  <c r="G1058" i="2"/>
  <c r="Z1058" i="2"/>
  <c r="AA1058" i="2"/>
  <c r="AB1058" i="2"/>
  <c r="AC1058" i="2"/>
  <c r="AD1058" i="2"/>
  <c r="AE1058" i="2"/>
  <c r="AF1058" i="2"/>
  <c r="D1059" i="2"/>
  <c r="F1059" i="2"/>
  <c r="G1059" i="2"/>
  <c r="I1059" i="2"/>
  <c r="Z1059" i="2"/>
  <c r="AA1059" i="2"/>
  <c r="AB1059" i="2"/>
  <c r="AC1059" i="2"/>
  <c r="AD1059" i="2"/>
  <c r="AE1059" i="2"/>
  <c r="AF1059" i="2"/>
  <c r="D1060" i="2"/>
  <c r="F1060" i="2"/>
  <c r="G1060" i="2"/>
  <c r="I1060" i="2"/>
  <c r="Z1060" i="2"/>
  <c r="AA1060" i="2"/>
  <c r="AB1060" i="2"/>
  <c r="AC1060" i="2"/>
  <c r="AD1060" i="2"/>
  <c r="AE1060" i="2"/>
  <c r="AF1060" i="2"/>
  <c r="D1061" i="2"/>
  <c r="F1061" i="2"/>
  <c r="G1061" i="2"/>
  <c r="Z1061" i="2"/>
  <c r="AA1061" i="2"/>
  <c r="AB1061" i="2"/>
  <c r="AC1061" i="2"/>
  <c r="AD1061" i="2"/>
  <c r="AE1061" i="2"/>
  <c r="AF1061" i="2"/>
  <c r="D1062" i="2"/>
  <c r="F1062" i="2"/>
  <c r="G1062" i="2"/>
  <c r="Z1062" i="2"/>
  <c r="AA1062" i="2"/>
  <c r="AB1062" i="2"/>
  <c r="AC1062" i="2"/>
  <c r="AD1062" i="2"/>
  <c r="AE1062" i="2"/>
  <c r="AF1062" i="2"/>
  <c r="D1063" i="2"/>
  <c r="F1063" i="2"/>
  <c r="G1063" i="2"/>
  <c r="I1063" i="2"/>
  <c r="Z1063" i="2"/>
  <c r="AA1063" i="2"/>
  <c r="AB1063" i="2"/>
  <c r="AC1063" i="2"/>
  <c r="AD1063" i="2"/>
  <c r="AE1063" i="2"/>
  <c r="AF1063" i="2"/>
  <c r="D1064" i="2"/>
  <c r="F1064" i="2"/>
  <c r="G1064" i="2"/>
  <c r="I1064" i="2"/>
  <c r="Z1064" i="2"/>
  <c r="AA1064" i="2"/>
  <c r="AB1064" i="2"/>
  <c r="AC1064" i="2"/>
  <c r="AD1064" i="2"/>
  <c r="AE1064" i="2"/>
  <c r="AF1064" i="2"/>
  <c r="D1065" i="2"/>
  <c r="F1065" i="2"/>
  <c r="G1065" i="2"/>
  <c r="Z1065" i="2"/>
  <c r="AA1065" i="2"/>
  <c r="AB1065" i="2"/>
  <c r="AC1065" i="2"/>
  <c r="AD1065" i="2"/>
  <c r="AE1065" i="2"/>
  <c r="AF1065" i="2"/>
  <c r="D1066" i="2"/>
  <c r="F1066" i="2"/>
  <c r="G1066" i="2"/>
  <c r="Z1066" i="2"/>
  <c r="AA1066" i="2"/>
  <c r="AB1066" i="2"/>
  <c r="AC1066" i="2"/>
  <c r="AD1066" i="2"/>
  <c r="AE1066" i="2"/>
  <c r="AF1066" i="2"/>
  <c r="D1067" i="2"/>
  <c r="F1067" i="2"/>
  <c r="G1067" i="2"/>
  <c r="I1067" i="2"/>
  <c r="Z1067" i="2"/>
  <c r="AA1067" i="2"/>
  <c r="AB1067" i="2"/>
  <c r="AC1067" i="2"/>
  <c r="AD1067" i="2"/>
  <c r="AE1067" i="2"/>
  <c r="AF1067" i="2"/>
  <c r="D1068" i="2"/>
  <c r="F1068" i="2"/>
  <c r="G1068" i="2"/>
  <c r="I1068" i="2"/>
  <c r="Z1068" i="2"/>
  <c r="AA1068" i="2"/>
  <c r="AB1068" i="2"/>
  <c r="AC1068" i="2"/>
  <c r="AD1068" i="2"/>
  <c r="AE1068" i="2"/>
  <c r="AF1068" i="2"/>
  <c r="D1069" i="2"/>
  <c r="F1069" i="2"/>
  <c r="G1069" i="2"/>
  <c r="Z1069" i="2"/>
  <c r="AA1069" i="2"/>
  <c r="AB1069" i="2"/>
  <c r="AC1069" i="2"/>
  <c r="AD1069" i="2"/>
  <c r="AE1069" i="2"/>
  <c r="AF1069" i="2"/>
  <c r="D1070" i="2"/>
  <c r="F1070" i="2"/>
  <c r="G1070" i="2"/>
  <c r="Z1070" i="2"/>
  <c r="AA1070" i="2"/>
  <c r="AB1070" i="2"/>
  <c r="AC1070" i="2"/>
  <c r="AD1070" i="2"/>
  <c r="AE1070" i="2"/>
  <c r="AF1070" i="2"/>
  <c r="D1071" i="2"/>
  <c r="F1071" i="2"/>
  <c r="G1071" i="2"/>
  <c r="I1071" i="2"/>
  <c r="Z1071" i="2"/>
  <c r="AA1071" i="2"/>
  <c r="AB1071" i="2"/>
  <c r="AC1071" i="2"/>
  <c r="AD1071" i="2"/>
  <c r="AE1071" i="2"/>
  <c r="AF1071" i="2"/>
  <c r="D1072" i="2"/>
  <c r="F1072" i="2"/>
  <c r="G1072" i="2"/>
  <c r="I1072" i="2"/>
  <c r="Z1072" i="2"/>
  <c r="AA1072" i="2"/>
  <c r="AB1072" i="2"/>
  <c r="AC1072" i="2"/>
  <c r="AD1072" i="2"/>
  <c r="AE1072" i="2"/>
  <c r="AF1072" i="2"/>
  <c r="D1073" i="2"/>
  <c r="F1073" i="2"/>
  <c r="G1073" i="2"/>
  <c r="Z1073" i="2"/>
  <c r="AA1073" i="2"/>
  <c r="AB1073" i="2"/>
  <c r="AC1073" i="2"/>
  <c r="AD1073" i="2"/>
  <c r="AE1073" i="2"/>
  <c r="AF1073" i="2"/>
  <c r="D1074" i="2"/>
  <c r="F1074" i="2"/>
  <c r="G1074" i="2"/>
  <c r="Z1074" i="2"/>
  <c r="AA1074" i="2"/>
  <c r="AB1074" i="2"/>
  <c r="AC1074" i="2"/>
  <c r="AD1074" i="2"/>
  <c r="AE1074" i="2"/>
  <c r="AF1074" i="2"/>
  <c r="D1075" i="2"/>
  <c r="F1075" i="2"/>
  <c r="G1075" i="2"/>
  <c r="I1075" i="2"/>
  <c r="Z1075" i="2"/>
  <c r="AA1075" i="2"/>
  <c r="AB1075" i="2"/>
  <c r="AC1075" i="2"/>
  <c r="AD1075" i="2"/>
  <c r="AE1075" i="2"/>
  <c r="AF1075" i="2"/>
  <c r="D1076" i="2"/>
  <c r="F1076" i="2"/>
  <c r="G1076" i="2"/>
  <c r="I1076" i="2"/>
  <c r="Z1076" i="2"/>
  <c r="AA1076" i="2"/>
  <c r="AB1076" i="2"/>
  <c r="AC1076" i="2"/>
  <c r="AD1076" i="2"/>
  <c r="AE1076" i="2"/>
  <c r="AF1076" i="2"/>
  <c r="D1077" i="2"/>
  <c r="F1077" i="2"/>
  <c r="G1077" i="2"/>
  <c r="Z1077" i="2"/>
  <c r="AA1077" i="2"/>
  <c r="AB1077" i="2"/>
  <c r="AC1077" i="2"/>
  <c r="AD1077" i="2"/>
  <c r="AE1077" i="2"/>
  <c r="AF1077" i="2"/>
  <c r="D1078" i="2"/>
  <c r="F1078" i="2"/>
  <c r="G1078" i="2"/>
  <c r="Z1078" i="2"/>
  <c r="AA1078" i="2"/>
  <c r="AB1078" i="2"/>
  <c r="AC1078" i="2"/>
  <c r="AD1078" i="2"/>
  <c r="AE1078" i="2"/>
  <c r="AF1078" i="2"/>
  <c r="D1079" i="2"/>
  <c r="F1079" i="2"/>
  <c r="G1079" i="2"/>
  <c r="I1079" i="2"/>
  <c r="Z1079" i="2"/>
  <c r="AA1079" i="2"/>
  <c r="AB1079" i="2"/>
  <c r="AC1079" i="2"/>
  <c r="AD1079" i="2"/>
  <c r="AE1079" i="2"/>
  <c r="AF1079" i="2"/>
  <c r="D1080" i="2"/>
  <c r="F1080" i="2"/>
  <c r="G1080" i="2"/>
  <c r="I1080" i="2"/>
  <c r="Z1080" i="2"/>
  <c r="AA1080" i="2"/>
  <c r="AB1080" i="2"/>
  <c r="AC1080" i="2"/>
  <c r="AD1080" i="2"/>
  <c r="AE1080" i="2"/>
  <c r="AF1080" i="2"/>
  <c r="D1081" i="2"/>
  <c r="F1081" i="2"/>
  <c r="G1081" i="2"/>
  <c r="Z1081" i="2"/>
  <c r="AA1081" i="2"/>
  <c r="AB1081" i="2"/>
  <c r="AC1081" i="2"/>
  <c r="AD1081" i="2"/>
  <c r="AE1081" i="2"/>
  <c r="AF1081" i="2"/>
  <c r="D1082" i="2"/>
  <c r="F1082" i="2"/>
  <c r="G1082" i="2"/>
  <c r="Z1082" i="2"/>
  <c r="AA1082" i="2"/>
  <c r="AB1082" i="2"/>
  <c r="AC1082" i="2"/>
  <c r="AD1082" i="2"/>
  <c r="AE1082" i="2"/>
  <c r="AF1082" i="2"/>
  <c r="D1083" i="2"/>
  <c r="F1083" i="2"/>
  <c r="G1083" i="2"/>
  <c r="I1083" i="2"/>
  <c r="Z1083" i="2"/>
  <c r="AA1083" i="2"/>
  <c r="AB1083" i="2"/>
  <c r="AC1083" i="2"/>
  <c r="AD1083" i="2"/>
  <c r="AE1083" i="2"/>
  <c r="AF1083" i="2"/>
  <c r="D1084" i="2"/>
  <c r="F1084" i="2"/>
  <c r="G1084" i="2"/>
  <c r="I1084" i="2"/>
  <c r="Z1084" i="2"/>
  <c r="AA1084" i="2"/>
  <c r="AB1084" i="2"/>
  <c r="AC1084" i="2"/>
  <c r="AD1084" i="2"/>
  <c r="AE1084" i="2"/>
  <c r="AF1084" i="2"/>
  <c r="D1085" i="2"/>
  <c r="F1085" i="2"/>
  <c r="G1085" i="2"/>
  <c r="Z1085" i="2"/>
  <c r="AA1085" i="2"/>
  <c r="AB1085" i="2"/>
  <c r="AC1085" i="2"/>
  <c r="AD1085" i="2"/>
  <c r="AE1085" i="2"/>
  <c r="AF1085" i="2"/>
  <c r="D1086" i="2"/>
  <c r="F1086" i="2"/>
  <c r="G1086" i="2"/>
  <c r="Z1086" i="2"/>
  <c r="AA1086" i="2"/>
  <c r="AB1086" i="2"/>
  <c r="AC1086" i="2"/>
  <c r="AD1086" i="2"/>
  <c r="AE1086" i="2"/>
  <c r="AF1086" i="2"/>
  <c r="D1087" i="2"/>
  <c r="F1087" i="2"/>
  <c r="G1087" i="2"/>
  <c r="I1087" i="2"/>
  <c r="Z1087" i="2"/>
  <c r="AA1087" i="2"/>
  <c r="AB1087" i="2"/>
  <c r="AC1087" i="2"/>
  <c r="AD1087" i="2"/>
  <c r="AE1087" i="2"/>
  <c r="AF1087" i="2"/>
  <c r="D1088" i="2"/>
  <c r="F1088" i="2"/>
  <c r="G1088" i="2"/>
  <c r="I1088" i="2"/>
  <c r="Z1088" i="2"/>
  <c r="AA1088" i="2"/>
  <c r="AB1088" i="2"/>
  <c r="AC1088" i="2"/>
  <c r="AD1088" i="2"/>
  <c r="AE1088" i="2"/>
  <c r="AF1088" i="2"/>
  <c r="D1089" i="2"/>
  <c r="F1089" i="2"/>
  <c r="G1089" i="2"/>
  <c r="Z1089" i="2"/>
  <c r="AA1089" i="2"/>
  <c r="AB1089" i="2"/>
  <c r="AC1089" i="2"/>
  <c r="AD1089" i="2"/>
  <c r="AE1089" i="2"/>
  <c r="AF1089" i="2"/>
  <c r="D1090" i="2"/>
  <c r="F1090" i="2"/>
  <c r="G1090" i="2"/>
  <c r="Z1090" i="2"/>
  <c r="AA1090" i="2"/>
  <c r="AB1090" i="2"/>
  <c r="AC1090" i="2"/>
  <c r="AD1090" i="2"/>
  <c r="AE1090" i="2"/>
  <c r="AF1090" i="2"/>
  <c r="D1091" i="2"/>
  <c r="F1091" i="2"/>
  <c r="G1091" i="2"/>
  <c r="I1091" i="2"/>
  <c r="Z1091" i="2"/>
  <c r="AA1091" i="2"/>
  <c r="AB1091" i="2"/>
  <c r="AC1091" i="2"/>
  <c r="AD1091" i="2"/>
  <c r="AE1091" i="2"/>
  <c r="AF1091" i="2"/>
  <c r="D1092" i="2"/>
  <c r="F1092" i="2"/>
  <c r="G1092" i="2"/>
  <c r="I1092" i="2"/>
  <c r="Z1092" i="2"/>
  <c r="AA1092" i="2"/>
  <c r="AB1092" i="2"/>
  <c r="AC1092" i="2"/>
  <c r="AD1092" i="2"/>
  <c r="AE1092" i="2"/>
  <c r="AF1092" i="2"/>
  <c r="D1093" i="2"/>
  <c r="F1093" i="2"/>
  <c r="G1093" i="2"/>
  <c r="Z1093" i="2"/>
  <c r="AA1093" i="2"/>
  <c r="AB1093" i="2"/>
  <c r="AC1093" i="2"/>
  <c r="AD1093" i="2"/>
  <c r="AE1093" i="2"/>
  <c r="AF1093" i="2"/>
  <c r="D1094" i="2"/>
  <c r="F1094" i="2"/>
  <c r="G1094" i="2"/>
  <c r="Z1094" i="2"/>
  <c r="AA1094" i="2"/>
  <c r="AB1094" i="2"/>
  <c r="AC1094" i="2"/>
  <c r="AD1094" i="2"/>
  <c r="AE1094" i="2"/>
  <c r="AF1094" i="2"/>
  <c r="D1095" i="2"/>
  <c r="F1095" i="2"/>
  <c r="G1095" i="2"/>
  <c r="I1095" i="2"/>
  <c r="Z1095" i="2"/>
  <c r="AA1095" i="2"/>
  <c r="AB1095" i="2"/>
  <c r="AC1095" i="2"/>
  <c r="AD1095" i="2"/>
  <c r="AE1095" i="2"/>
  <c r="AF1095" i="2"/>
  <c r="D1096" i="2"/>
  <c r="F1096" i="2"/>
  <c r="G1096" i="2"/>
  <c r="I1096" i="2"/>
  <c r="Z1096" i="2"/>
  <c r="AA1096" i="2"/>
  <c r="AB1096" i="2"/>
  <c r="AC1096" i="2"/>
  <c r="AD1096" i="2"/>
  <c r="AE1096" i="2"/>
  <c r="AF1096" i="2"/>
  <c r="D1097" i="2"/>
  <c r="F1097" i="2"/>
  <c r="G1097" i="2"/>
  <c r="Z1097" i="2"/>
  <c r="AA1097" i="2"/>
  <c r="AB1097" i="2"/>
  <c r="AC1097" i="2"/>
  <c r="AD1097" i="2"/>
  <c r="AE1097" i="2"/>
  <c r="AF1097" i="2"/>
  <c r="D1098" i="2"/>
  <c r="F1098" i="2"/>
  <c r="G1098" i="2"/>
  <c r="Z1098" i="2"/>
  <c r="AA1098" i="2"/>
  <c r="AB1098" i="2"/>
  <c r="AC1098" i="2"/>
  <c r="AD1098" i="2"/>
  <c r="AE1098" i="2"/>
  <c r="AF1098" i="2"/>
  <c r="D1099" i="2"/>
  <c r="F1099" i="2"/>
  <c r="G1099" i="2"/>
  <c r="I1099" i="2"/>
  <c r="Z1099" i="2"/>
  <c r="AA1099" i="2"/>
  <c r="AB1099" i="2"/>
  <c r="AC1099" i="2"/>
  <c r="AD1099" i="2"/>
  <c r="AE1099" i="2"/>
  <c r="AF1099" i="2"/>
  <c r="D1100" i="2"/>
  <c r="F1100" i="2"/>
  <c r="G1100" i="2"/>
  <c r="I1100" i="2"/>
  <c r="Z1100" i="2"/>
  <c r="AA1100" i="2"/>
  <c r="AB1100" i="2"/>
  <c r="AC1100" i="2"/>
  <c r="AD1100" i="2"/>
  <c r="AE1100" i="2"/>
  <c r="AF1100" i="2"/>
  <c r="D1101" i="2"/>
  <c r="F1101" i="2"/>
  <c r="G1101" i="2"/>
  <c r="Z1101" i="2"/>
  <c r="AA1101" i="2"/>
  <c r="AB1101" i="2"/>
  <c r="AC1101" i="2"/>
  <c r="AD1101" i="2"/>
  <c r="AE1101" i="2"/>
  <c r="AF1101" i="2"/>
  <c r="D1102" i="2"/>
  <c r="F1102" i="2"/>
  <c r="G1102" i="2"/>
  <c r="Z1102" i="2"/>
  <c r="AA1102" i="2"/>
  <c r="AB1102" i="2"/>
  <c r="AC1102" i="2"/>
  <c r="AD1102" i="2"/>
  <c r="AE1102" i="2"/>
  <c r="AF1102" i="2"/>
  <c r="D1103" i="2"/>
  <c r="F1103" i="2"/>
  <c r="G1103" i="2"/>
  <c r="I1103" i="2"/>
  <c r="Z1103" i="2"/>
  <c r="AA1103" i="2"/>
  <c r="AB1103" i="2"/>
  <c r="AC1103" i="2"/>
  <c r="AD1103" i="2"/>
  <c r="AE1103" i="2"/>
  <c r="AF1103" i="2"/>
  <c r="D1104" i="2"/>
  <c r="F1104" i="2"/>
  <c r="G1104" i="2"/>
  <c r="I1104" i="2"/>
  <c r="Z1104" i="2"/>
  <c r="AA1104" i="2"/>
  <c r="AB1104" i="2"/>
  <c r="AC1104" i="2"/>
  <c r="AD1104" i="2"/>
  <c r="AE1104" i="2"/>
  <c r="AF1104" i="2"/>
  <c r="D1105" i="2"/>
  <c r="F1105" i="2"/>
  <c r="G1105" i="2"/>
  <c r="Z1105" i="2"/>
  <c r="AA1105" i="2"/>
  <c r="AB1105" i="2"/>
  <c r="AC1105" i="2"/>
  <c r="AD1105" i="2"/>
  <c r="AE1105" i="2"/>
  <c r="AF1105" i="2"/>
  <c r="D1106" i="2"/>
  <c r="F1106" i="2"/>
  <c r="G1106" i="2"/>
  <c r="Z1106" i="2"/>
  <c r="AA1106" i="2"/>
  <c r="AB1106" i="2"/>
  <c r="AC1106" i="2"/>
  <c r="AD1106" i="2"/>
  <c r="AE1106" i="2"/>
  <c r="AF1106" i="2"/>
  <c r="D1107" i="2"/>
  <c r="F1107" i="2"/>
  <c r="G1107" i="2"/>
  <c r="I1107" i="2"/>
  <c r="Z1107" i="2"/>
  <c r="AA1107" i="2"/>
  <c r="AB1107" i="2"/>
  <c r="AC1107" i="2"/>
  <c r="AD1107" i="2"/>
  <c r="AE1107" i="2"/>
  <c r="AF1107" i="2"/>
  <c r="D1108" i="2"/>
  <c r="F1108" i="2"/>
  <c r="G1108" i="2"/>
  <c r="I1108" i="2"/>
  <c r="Z1108" i="2"/>
  <c r="AA1108" i="2"/>
  <c r="AB1108" i="2"/>
  <c r="AC1108" i="2"/>
  <c r="AD1108" i="2"/>
  <c r="AE1108" i="2"/>
  <c r="AF1108" i="2"/>
  <c r="D1109" i="2"/>
  <c r="F1109" i="2"/>
  <c r="G1109" i="2"/>
  <c r="Z1109" i="2"/>
  <c r="AA1109" i="2"/>
  <c r="AB1109" i="2"/>
  <c r="AC1109" i="2"/>
  <c r="AD1109" i="2"/>
  <c r="AE1109" i="2"/>
  <c r="AF1109" i="2"/>
  <c r="D1110" i="2"/>
  <c r="F1110" i="2"/>
  <c r="G1110" i="2"/>
  <c r="Z1110" i="2"/>
  <c r="AA1110" i="2"/>
  <c r="AB1110" i="2"/>
  <c r="AC1110" i="2"/>
  <c r="AD1110" i="2"/>
  <c r="AE1110" i="2"/>
  <c r="AF1110" i="2"/>
  <c r="D1111" i="2"/>
  <c r="F1111" i="2"/>
  <c r="G1111" i="2"/>
  <c r="I1111" i="2"/>
  <c r="Z1111" i="2"/>
  <c r="AA1111" i="2"/>
  <c r="AB1111" i="2"/>
  <c r="AC1111" i="2"/>
  <c r="AD1111" i="2"/>
  <c r="AE1111" i="2"/>
  <c r="AF1111" i="2"/>
  <c r="D1112" i="2"/>
  <c r="F1112" i="2"/>
  <c r="G1112" i="2"/>
  <c r="I1112" i="2"/>
  <c r="Z1112" i="2"/>
  <c r="AA1112" i="2"/>
  <c r="AB1112" i="2"/>
  <c r="AC1112" i="2"/>
  <c r="AD1112" i="2"/>
  <c r="AE1112" i="2"/>
  <c r="AF1112" i="2"/>
  <c r="D1113" i="2"/>
  <c r="F1113" i="2"/>
  <c r="G1113" i="2"/>
  <c r="Z1113" i="2"/>
  <c r="AA1113" i="2"/>
  <c r="AB1113" i="2"/>
  <c r="AC1113" i="2"/>
  <c r="AD1113" i="2"/>
  <c r="AE1113" i="2"/>
  <c r="AF1113" i="2"/>
  <c r="D1114" i="2"/>
  <c r="F1114" i="2"/>
  <c r="G1114" i="2"/>
  <c r="Z1114" i="2"/>
  <c r="AA1114" i="2"/>
  <c r="AB1114" i="2"/>
  <c r="AC1114" i="2"/>
  <c r="AD1114" i="2"/>
  <c r="AE1114" i="2"/>
  <c r="AF1114" i="2"/>
  <c r="D1115" i="2"/>
  <c r="F1115" i="2"/>
  <c r="G1115" i="2"/>
  <c r="I1115" i="2"/>
  <c r="Z1115" i="2"/>
  <c r="AA1115" i="2"/>
  <c r="AB1115" i="2"/>
  <c r="AC1115" i="2"/>
  <c r="AD1115" i="2"/>
  <c r="AE1115" i="2"/>
  <c r="AF1115" i="2"/>
  <c r="D1116" i="2"/>
  <c r="F1116" i="2"/>
  <c r="G1116" i="2"/>
  <c r="I1116" i="2"/>
  <c r="Z1116" i="2"/>
  <c r="AA1116" i="2"/>
  <c r="AB1116" i="2"/>
  <c r="AC1116" i="2"/>
  <c r="AD1116" i="2"/>
  <c r="AE1116" i="2"/>
  <c r="AF1116" i="2"/>
  <c r="D1117" i="2"/>
  <c r="F1117" i="2"/>
  <c r="G1117" i="2"/>
  <c r="Z1117" i="2"/>
  <c r="AA1117" i="2"/>
  <c r="AB1117" i="2"/>
  <c r="AC1117" i="2"/>
  <c r="AD1117" i="2"/>
  <c r="AE1117" i="2"/>
  <c r="AF1117" i="2"/>
  <c r="C1118" i="2"/>
  <c r="D1118" i="2"/>
  <c r="F1118" i="2"/>
  <c r="G1118" i="2"/>
  <c r="Z1118" i="2"/>
  <c r="AA1118" i="2"/>
  <c r="AB1118" i="2"/>
  <c r="AC1118" i="2"/>
  <c r="AD1118" i="2"/>
  <c r="AE1118" i="2"/>
  <c r="AF1118" i="2"/>
  <c r="D1119" i="2"/>
  <c r="F1119" i="2"/>
  <c r="G1119" i="2"/>
  <c r="I1119" i="2"/>
  <c r="Z1119" i="2"/>
  <c r="AA1119" i="2"/>
  <c r="AB1119" i="2"/>
  <c r="AC1119" i="2"/>
  <c r="AD1119" i="2"/>
  <c r="AE1119" i="2"/>
  <c r="AF1119" i="2"/>
  <c r="D1120" i="2"/>
  <c r="F1120" i="2"/>
  <c r="G1120" i="2"/>
  <c r="I1120" i="2"/>
  <c r="Z1120" i="2"/>
  <c r="AA1120" i="2"/>
  <c r="AB1120" i="2"/>
  <c r="AC1120" i="2"/>
  <c r="AD1120" i="2"/>
  <c r="AE1120" i="2"/>
  <c r="AF1120" i="2"/>
  <c r="D1121" i="2"/>
  <c r="F1121" i="2"/>
  <c r="G1121" i="2"/>
  <c r="I1121" i="2"/>
  <c r="Z1121" i="2"/>
  <c r="AA1121" i="2"/>
  <c r="AB1121" i="2"/>
  <c r="AC1121" i="2"/>
  <c r="AD1121" i="2"/>
  <c r="AE1121" i="2"/>
  <c r="AF1121" i="2"/>
  <c r="D1122" i="2"/>
  <c r="F1122" i="2"/>
  <c r="G1122" i="2"/>
  <c r="Z1122" i="2"/>
  <c r="AA1122" i="2"/>
  <c r="AB1122" i="2"/>
  <c r="AC1122" i="2"/>
  <c r="AD1122" i="2"/>
  <c r="AE1122" i="2"/>
  <c r="AF1122" i="2"/>
  <c r="D1123" i="2"/>
  <c r="F1123" i="2"/>
  <c r="G1123" i="2"/>
  <c r="I1123" i="2"/>
  <c r="Z1123" i="2"/>
  <c r="AA1123" i="2"/>
  <c r="AB1123" i="2"/>
  <c r="AC1123" i="2"/>
  <c r="AD1123" i="2"/>
  <c r="AE1123" i="2"/>
  <c r="AF1123" i="2"/>
  <c r="D1124" i="2"/>
  <c r="F1124" i="2"/>
  <c r="G1124" i="2"/>
  <c r="I1124" i="2"/>
  <c r="Z1124" i="2"/>
  <c r="AA1124" i="2"/>
  <c r="AB1124" i="2"/>
  <c r="AC1124" i="2"/>
  <c r="AD1124" i="2"/>
  <c r="AE1124" i="2"/>
  <c r="AF1124" i="2"/>
  <c r="D1125" i="2"/>
  <c r="F1125" i="2"/>
  <c r="G1125" i="2"/>
  <c r="I1125" i="2"/>
  <c r="Z1125" i="2"/>
  <c r="AA1125" i="2"/>
  <c r="AB1125" i="2"/>
  <c r="AC1125" i="2"/>
  <c r="AD1125" i="2"/>
  <c r="AE1125" i="2"/>
  <c r="AF1125" i="2"/>
  <c r="D1126" i="2"/>
  <c r="F1126" i="2"/>
  <c r="G1126" i="2"/>
  <c r="Z1126" i="2"/>
  <c r="AA1126" i="2"/>
  <c r="AB1126" i="2"/>
  <c r="AC1126" i="2"/>
  <c r="AD1126" i="2"/>
  <c r="AE1126" i="2"/>
  <c r="AF1126" i="2"/>
  <c r="D1127" i="2"/>
  <c r="F1127" i="2"/>
  <c r="G1127" i="2"/>
  <c r="I1127" i="2"/>
  <c r="Z1127" i="2"/>
  <c r="AA1127" i="2"/>
  <c r="AB1127" i="2"/>
  <c r="AC1127" i="2"/>
  <c r="AD1127" i="2"/>
  <c r="AE1127" i="2"/>
  <c r="AF1127" i="2"/>
  <c r="D1128" i="2"/>
  <c r="F1128" i="2"/>
  <c r="G1128" i="2"/>
  <c r="I1128" i="2"/>
  <c r="Z1128" i="2"/>
  <c r="AA1128" i="2"/>
  <c r="AB1128" i="2"/>
  <c r="AC1128" i="2"/>
  <c r="AD1128" i="2"/>
  <c r="AE1128" i="2"/>
  <c r="AF1128" i="2"/>
  <c r="D1129" i="2"/>
  <c r="F1129" i="2"/>
  <c r="G1129" i="2"/>
  <c r="I1129" i="2"/>
  <c r="Z1129" i="2"/>
  <c r="AA1129" i="2"/>
  <c r="AB1129" i="2"/>
  <c r="AC1129" i="2"/>
  <c r="AD1129" i="2"/>
  <c r="AE1129" i="2"/>
  <c r="AF1129" i="2"/>
  <c r="D1130" i="2"/>
  <c r="F1130" i="2"/>
  <c r="G1130" i="2"/>
  <c r="Z1130" i="2"/>
  <c r="AA1130" i="2"/>
  <c r="AB1130" i="2"/>
  <c r="AC1130" i="2"/>
  <c r="AD1130" i="2"/>
  <c r="AE1130" i="2"/>
  <c r="AF1130" i="2"/>
  <c r="D1131" i="2"/>
  <c r="F1131" i="2"/>
  <c r="G1131" i="2"/>
  <c r="I1131" i="2"/>
  <c r="Z1131" i="2"/>
  <c r="AA1131" i="2"/>
  <c r="AB1131" i="2"/>
  <c r="AC1131" i="2"/>
  <c r="AD1131" i="2"/>
  <c r="AE1131" i="2"/>
  <c r="AF1131" i="2"/>
  <c r="D1132" i="2"/>
  <c r="F1132" i="2"/>
  <c r="G1132" i="2"/>
  <c r="I1132" i="2"/>
  <c r="Z1132" i="2"/>
  <c r="AA1132" i="2"/>
  <c r="AB1132" i="2"/>
  <c r="AC1132" i="2"/>
  <c r="AD1132" i="2"/>
  <c r="AE1132" i="2"/>
  <c r="AF1132" i="2"/>
  <c r="D1133" i="2"/>
  <c r="F1133" i="2"/>
  <c r="G1133" i="2"/>
  <c r="I1133" i="2"/>
  <c r="Z1133" i="2"/>
  <c r="AA1133" i="2"/>
  <c r="AB1133" i="2"/>
  <c r="AC1133" i="2"/>
  <c r="AD1133" i="2"/>
  <c r="AE1133" i="2"/>
  <c r="AF1133" i="2"/>
  <c r="D1134" i="2"/>
  <c r="F1134" i="2"/>
  <c r="G1134" i="2"/>
  <c r="Z1134" i="2"/>
  <c r="AA1134" i="2"/>
  <c r="AB1134" i="2"/>
  <c r="AC1134" i="2"/>
  <c r="AD1134" i="2"/>
  <c r="AE1134" i="2"/>
  <c r="AF1134" i="2"/>
  <c r="D1135" i="2"/>
  <c r="F1135" i="2"/>
  <c r="G1135" i="2"/>
  <c r="I1135" i="2"/>
  <c r="Z1135" i="2"/>
  <c r="AA1135" i="2"/>
  <c r="AB1135" i="2"/>
  <c r="AC1135" i="2"/>
  <c r="AD1135" i="2"/>
  <c r="AE1135" i="2"/>
  <c r="AF1135" i="2"/>
  <c r="D1136" i="2"/>
  <c r="F1136" i="2"/>
  <c r="G1136" i="2"/>
  <c r="I1136" i="2"/>
  <c r="Z1136" i="2"/>
  <c r="AA1136" i="2"/>
  <c r="AB1136" i="2"/>
  <c r="AC1136" i="2"/>
  <c r="AD1136" i="2"/>
  <c r="AE1136" i="2"/>
  <c r="AF1136" i="2"/>
  <c r="D1137" i="2"/>
  <c r="F1137" i="2"/>
  <c r="G1137" i="2"/>
  <c r="I1137" i="2"/>
  <c r="Z1137" i="2"/>
  <c r="AA1137" i="2"/>
  <c r="AB1137" i="2"/>
  <c r="AC1137" i="2"/>
  <c r="AD1137" i="2"/>
  <c r="AE1137" i="2"/>
  <c r="AF1137" i="2"/>
  <c r="D1138" i="2"/>
  <c r="F1138" i="2"/>
  <c r="G1138" i="2"/>
  <c r="Z1138" i="2"/>
  <c r="AA1138" i="2"/>
  <c r="AB1138" i="2"/>
  <c r="AC1138" i="2"/>
  <c r="AD1138" i="2"/>
  <c r="AE1138" i="2"/>
  <c r="AF1138" i="2"/>
  <c r="D1139" i="2"/>
  <c r="F1139" i="2"/>
  <c r="G1139" i="2"/>
  <c r="I1139" i="2"/>
  <c r="Z1139" i="2"/>
  <c r="AA1139" i="2"/>
  <c r="AB1139" i="2"/>
  <c r="AC1139" i="2"/>
  <c r="AD1139" i="2"/>
  <c r="AE1139" i="2"/>
  <c r="AF1139" i="2"/>
  <c r="D1140" i="2"/>
  <c r="F1140" i="2"/>
  <c r="G1140" i="2"/>
  <c r="I1140" i="2"/>
  <c r="Z1140" i="2"/>
  <c r="AA1140" i="2"/>
  <c r="AB1140" i="2"/>
  <c r="AC1140" i="2"/>
  <c r="AD1140" i="2"/>
  <c r="AE1140" i="2"/>
  <c r="AF1140" i="2"/>
  <c r="D1141" i="2"/>
  <c r="F1141" i="2"/>
  <c r="G1141" i="2"/>
  <c r="I1141" i="2"/>
  <c r="Z1141" i="2"/>
  <c r="AA1141" i="2"/>
  <c r="AB1141" i="2"/>
  <c r="AC1141" i="2"/>
  <c r="AD1141" i="2"/>
  <c r="AE1141" i="2"/>
  <c r="AF1141" i="2"/>
  <c r="D1142" i="2"/>
  <c r="F1142" i="2"/>
  <c r="G1142" i="2"/>
  <c r="Z1142" i="2"/>
  <c r="AA1142" i="2"/>
  <c r="AB1142" i="2"/>
  <c r="AC1142" i="2"/>
  <c r="AD1142" i="2"/>
  <c r="AE1142" i="2"/>
  <c r="AF1142" i="2"/>
  <c r="D1143" i="2"/>
  <c r="F1143" i="2"/>
  <c r="G1143" i="2"/>
  <c r="I1143" i="2"/>
  <c r="Z1143" i="2"/>
  <c r="AA1143" i="2"/>
  <c r="AB1143" i="2"/>
  <c r="AC1143" i="2"/>
  <c r="AD1143" i="2"/>
  <c r="AE1143" i="2"/>
  <c r="AF1143" i="2"/>
  <c r="D1144" i="2"/>
  <c r="F1144" i="2"/>
  <c r="G1144" i="2"/>
  <c r="I1144" i="2"/>
  <c r="Z1144" i="2"/>
  <c r="AA1144" i="2"/>
  <c r="AB1144" i="2"/>
  <c r="AC1144" i="2"/>
  <c r="AD1144" i="2"/>
  <c r="AE1144" i="2"/>
  <c r="AF1144" i="2"/>
  <c r="D1145" i="2"/>
  <c r="F1145" i="2"/>
  <c r="G1145" i="2"/>
  <c r="I1145" i="2"/>
  <c r="Z1145" i="2"/>
  <c r="AA1145" i="2"/>
  <c r="AB1145" i="2"/>
  <c r="AC1145" i="2"/>
  <c r="AD1145" i="2"/>
  <c r="AE1145" i="2"/>
  <c r="AF1145" i="2"/>
  <c r="D1146" i="2"/>
  <c r="F1146" i="2"/>
  <c r="G1146" i="2"/>
  <c r="Z1146" i="2"/>
  <c r="AA1146" i="2"/>
  <c r="AB1146" i="2"/>
  <c r="AC1146" i="2"/>
  <c r="AD1146" i="2"/>
  <c r="AE1146" i="2"/>
  <c r="AF1146" i="2"/>
  <c r="D1147" i="2"/>
  <c r="F1147" i="2"/>
  <c r="G1147" i="2"/>
  <c r="I1147" i="2"/>
  <c r="Z1147" i="2"/>
  <c r="AA1147" i="2"/>
  <c r="AB1147" i="2"/>
  <c r="AC1147" i="2"/>
  <c r="AD1147" i="2"/>
  <c r="AE1147" i="2"/>
  <c r="AF1147" i="2"/>
  <c r="D1148" i="2"/>
  <c r="F1148" i="2"/>
  <c r="G1148" i="2"/>
  <c r="I1148" i="2"/>
  <c r="Z1148" i="2"/>
  <c r="AA1148" i="2"/>
  <c r="AB1148" i="2"/>
  <c r="AC1148" i="2"/>
  <c r="AD1148" i="2"/>
  <c r="AE1148" i="2"/>
  <c r="AF1148" i="2"/>
  <c r="D1149" i="2"/>
  <c r="F1149" i="2"/>
  <c r="G1149" i="2"/>
  <c r="I1149" i="2"/>
  <c r="Z1149" i="2"/>
  <c r="AA1149" i="2"/>
  <c r="AB1149" i="2"/>
  <c r="AC1149" i="2"/>
  <c r="AD1149" i="2"/>
  <c r="AE1149" i="2"/>
  <c r="AF1149" i="2"/>
  <c r="D1150" i="2"/>
  <c r="F1150" i="2"/>
  <c r="G1150" i="2"/>
  <c r="Z1150" i="2"/>
  <c r="AA1150" i="2"/>
  <c r="AB1150" i="2"/>
  <c r="AC1150" i="2"/>
  <c r="AD1150" i="2"/>
  <c r="AE1150" i="2"/>
  <c r="AF1150" i="2"/>
  <c r="D1151" i="2"/>
  <c r="F1151" i="2"/>
  <c r="G1151" i="2"/>
  <c r="I1151" i="2"/>
  <c r="Z1151" i="2"/>
  <c r="AA1151" i="2"/>
  <c r="AB1151" i="2"/>
  <c r="AC1151" i="2"/>
  <c r="AD1151" i="2"/>
  <c r="AE1151" i="2"/>
  <c r="AF1151" i="2"/>
  <c r="D1152" i="2"/>
  <c r="F1152" i="2"/>
  <c r="G1152" i="2"/>
  <c r="I1152" i="2"/>
  <c r="Z1152" i="2"/>
  <c r="AA1152" i="2"/>
  <c r="AB1152" i="2"/>
  <c r="AC1152" i="2"/>
  <c r="AD1152" i="2"/>
  <c r="AE1152" i="2"/>
  <c r="AF1152" i="2"/>
  <c r="D1153" i="2"/>
  <c r="F1153" i="2"/>
  <c r="G1153" i="2"/>
  <c r="I1153" i="2"/>
  <c r="Z1153" i="2"/>
  <c r="AA1153" i="2"/>
  <c r="AB1153" i="2"/>
  <c r="AC1153" i="2"/>
  <c r="AD1153" i="2"/>
  <c r="AE1153" i="2"/>
  <c r="AF1153" i="2"/>
  <c r="D1154" i="2"/>
  <c r="F1154" i="2"/>
  <c r="G1154" i="2"/>
  <c r="Z1154" i="2"/>
  <c r="AA1154" i="2"/>
  <c r="AB1154" i="2"/>
  <c r="AC1154" i="2"/>
  <c r="AD1154" i="2"/>
  <c r="AE1154" i="2"/>
  <c r="AF1154" i="2"/>
  <c r="D1155" i="2"/>
  <c r="F1155" i="2"/>
  <c r="G1155" i="2"/>
  <c r="I1155" i="2"/>
  <c r="Z1155" i="2"/>
  <c r="AA1155" i="2"/>
  <c r="AB1155" i="2"/>
  <c r="AC1155" i="2"/>
  <c r="AD1155" i="2"/>
  <c r="AE1155" i="2"/>
  <c r="AF1155" i="2"/>
  <c r="D1156" i="2"/>
  <c r="F1156" i="2"/>
  <c r="G1156" i="2"/>
  <c r="I1156" i="2"/>
  <c r="Z1156" i="2"/>
  <c r="AA1156" i="2"/>
  <c r="AB1156" i="2"/>
  <c r="AC1156" i="2"/>
  <c r="AD1156" i="2"/>
  <c r="AE1156" i="2"/>
  <c r="AF1156" i="2"/>
  <c r="D1157" i="2"/>
  <c r="F1157" i="2"/>
  <c r="G1157" i="2"/>
  <c r="I1157" i="2"/>
  <c r="Z1157" i="2"/>
  <c r="AA1157" i="2"/>
  <c r="AB1157" i="2"/>
  <c r="AC1157" i="2"/>
  <c r="AD1157" i="2"/>
  <c r="AE1157" i="2"/>
  <c r="AF1157" i="2"/>
  <c r="D1158" i="2"/>
  <c r="F1158" i="2"/>
  <c r="G1158" i="2"/>
  <c r="Z1158" i="2"/>
  <c r="AA1158" i="2"/>
  <c r="AB1158" i="2"/>
  <c r="AC1158" i="2"/>
  <c r="AD1158" i="2"/>
  <c r="AE1158" i="2"/>
  <c r="AF1158" i="2"/>
  <c r="D1159" i="2"/>
  <c r="F1159" i="2"/>
  <c r="G1159" i="2"/>
  <c r="I1159" i="2"/>
  <c r="Z1159" i="2"/>
  <c r="AA1159" i="2"/>
  <c r="AB1159" i="2"/>
  <c r="AC1159" i="2"/>
  <c r="AD1159" i="2"/>
  <c r="AE1159" i="2"/>
  <c r="AF1159" i="2"/>
  <c r="D1160" i="2"/>
  <c r="F1160" i="2"/>
  <c r="G1160" i="2"/>
  <c r="I1160" i="2"/>
  <c r="Z1160" i="2"/>
  <c r="AA1160" i="2"/>
  <c r="AB1160" i="2"/>
  <c r="AC1160" i="2"/>
  <c r="AD1160" i="2"/>
  <c r="AE1160" i="2"/>
  <c r="AF1160" i="2"/>
  <c r="D1161" i="2"/>
  <c r="F1161" i="2"/>
  <c r="G1161" i="2"/>
  <c r="I1161" i="2"/>
  <c r="Z1161" i="2"/>
  <c r="AA1161" i="2"/>
  <c r="AB1161" i="2"/>
  <c r="AC1161" i="2"/>
  <c r="AD1161" i="2"/>
  <c r="AE1161" i="2"/>
  <c r="AF1161" i="2"/>
  <c r="D1162" i="2"/>
  <c r="F1162" i="2"/>
  <c r="G1162" i="2"/>
  <c r="Z1162" i="2"/>
  <c r="AA1162" i="2"/>
  <c r="AB1162" i="2"/>
  <c r="AC1162" i="2"/>
  <c r="AD1162" i="2"/>
  <c r="AE1162" i="2"/>
  <c r="AF1162" i="2"/>
  <c r="D1163" i="2"/>
  <c r="F1163" i="2"/>
  <c r="G1163" i="2"/>
  <c r="I1163" i="2"/>
  <c r="Z1163" i="2"/>
  <c r="AA1163" i="2"/>
  <c r="AB1163" i="2"/>
  <c r="AC1163" i="2"/>
  <c r="AD1163" i="2"/>
  <c r="AE1163" i="2"/>
  <c r="AF1163" i="2"/>
  <c r="C1164" i="2"/>
  <c r="D1164" i="2" s="1"/>
  <c r="F1164" i="2"/>
  <c r="G1164" i="2"/>
  <c r="I1164" i="2"/>
  <c r="Z1164" i="2"/>
  <c r="AA1164" i="2"/>
  <c r="AB1164" i="2"/>
  <c r="AC1164" i="2"/>
  <c r="AD1164" i="2"/>
  <c r="AE1164" i="2"/>
  <c r="AF1164" i="2"/>
  <c r="D1165" i="2"/>
  <c r="F1165" i="2"/>
  <c r="G1165" i="2"/>
  <c r="I1165" i="2"/>
  <c r="Z1165" i="2"/>
  <c r="AA1165" i="2"/>
  <c r="AB1165" i="2"/>
  <c r="AC1165" i="2"/>
  <c r="AD1165" i="2"/>
  <c r="AE1165" i="2"/>
  <c r="AF1165" i="2"/>
  <c r="D1166" i="2"/>
  <c r="F1166" i="2"/>
  <c r="G1166" i="2"/>
  <c r="Z1166" i="2"/>
  <c r="AA1166" i="2"/>
  <c r="AB1166" i="2"/>
  <c r="AC1166" i="2"/>
  <c r="AD1166" i="2"/>
  <c r="AE1166" i="2"/>
  <c r="AF1166" i="2"/>
  <c r="D1167" i="2"/>
  <c r="F1167" i="2"/>
  <c r="G1167" i="2"/>
  <c r="I1167" i="2"/>
  <c r="Z1167" i="2"/>
  <c r="AA1167" i="2"/>
  <c r="AB1167" i="2"/>
  <c r="AC1167" i="2"/>
  <c r="AD1167" i="2"/>
  <c r="AE1167" i="2"/>
  <c r="AF1167" i="2"/>
  <c r="D1168" i="2"/>
  <c r="F1168" i="2"/>
  <c r="G1168" i="2"/>
  <c r="I1168" i="2"/>
  <c r="Z1168" i="2"/>
  <c r="AA1168" i="2"/>
  <c r="AB1168" i="2"/>
  <c r="AC1168" i="2"/>
  <c r="AD1168" i="2"/>
  <c r="AE1168" i="2"/>
  <c r="AF1168" i="2"/>
  <c r="D1169" i="2"/>
  <c r="F1169" i="2"/>
  <c r="G1169" i="2"/>
  <c r="I1169" i="2"/>
  <c r="Z1169" i="2"/>
  <c r="AA1169" i="2"/>
  <c r="AB1169" i="2"/>
  <c r="AC1169" i="2"/>
  <c r="AD1169" i="2"/>
  <c r="AE1169" i="2"/>
  <c r="AF1169" i="2"/>
  <c r="D1170" i="2"/>
  <c r="F1170" i="2"/>
  <c r="G1170" i="2"/>
  <c r="Z1170" i="2"/>
  <c r="AA1170" i="2"/>
  <c r="AB1170" i="2"/>
  <c r="AC1170" i="2"/>
  <c r="AD1170" i="2"/>
  <c r="AE1170" i="2"/>
  <c r="AF1170" i="2"/>
  <c r="D1171" i="2"/>
  <c r="F1171" i="2"/>
  <c r="G1171" i="2"/>
  <c r="I1171" i="2"/>
  <c r="Z1171" i="2"/>
  <c r="AA1171" i="2"/>
  <c r="AB1171" i="2"/>
  <c r="AC1171" i="2"/>
  <c r="AD1171" i="2"/>
  <c r="AE1171" i="2"/>
  <c r="AF1171" i="2"/>
  <c r="D1172" i="2"/>
  <c r="F1172" i="2"/>
  <c r="G1172" i="2"/>
  <c r="I1172" i="2"/>
  <c r="Z1172" i="2"/>
  <c r="AA1172" i="2"/>
  <c r="AB1172" i="2"/>
  <c r="AC1172" i="2"/>
  <c r="AD1172" i="2"/>
  <c r="AE1172" i="2"/>
  <c r="AF1172" i="2"/>
  <c r="D1173" i="2"/>
  <c r="F1173" i="2"/>
  <c r="G1173" i="2"/>
  <c r="I1173" i="2"/>
  <c r="Z1173" i="2"/>
  <c r="AA1173" i="2"/>
  <c r="AB1173" i="2"/>
  <c r="AC1173" i="2"/>
  <c r="AD1173" i="2"/>
  <c r="AE1173" i="2"/>
  <c r="AF1173" i="2"/>
  <c r="D1174" i="2"/>
  <c r="F1174" i="2"/>
  <c r="G1174" i="2"/>
  <c r="Z1174" i="2"/>
  <c r="AA1174" i="2"/>
  <c r="AB1174" i="2"/>
  <c r="AC1174" i="2"/>
  <c r="AD1174" i="2"/>
  <c r="AE1174" i="2"/>
  <c r="AF1174" i="2"/>
  <c r="D1175" i="2"/>
  <c r="F1175" i="2"/>
  <c r="G1175" i="2"/>
  <c r="I1175" i="2"/>
  <c r="Z1175" i="2"/>
  <c r="AA1175" i="2"/>
  <c r="AB1175" i="2"/>
  <c r="AC1175" i="2"/>
  <c r="AD1175" i="2"/>
  <c r="AE1175" i="2"/>
  <c r="AF1175" i="2"/>
  <c r="D1176" i="2"/>
  <c r="F1176" i="2"/>
  <c r="G1176" i="2"/>
  <c r="I1176" i="2"/>
  <c r="Z1176" i="2"/>
  <c r="AA1176" i="2"/>
  <c r="AB1176" i="2"/>
  <c r="AC1176" i="2"/>
  <c r="AD1176" i="2"/>
  <c r="AE1176" i="2"/>
  <c r="AF1176" i="2"/>
  <c r="D1177" i="2"/>
  <c r="F1177" i="2"/>
  <c r="G1177" i="2"/>
  <c r="I1177" i="2"/>
  <c r="Z1177" i="2"/>
  <c r="AA1177" i="2"/>
  <c r="AB1177" i="2"/>
  <c r="AC1177" i="2"/>
  <c r="AD1177" i="2"/>
  <c r="AE1177" i="2"/>
  <c r="AF1177" i="2"/>
  <c r="D1178" i="2"/>
  <c r="F1178" i="2"/>
  <c r="G1178" i="2"/>
  <c r="Z1178" i="2"/>
  <c r="AA1178" i="2"/>
  <c r="AB1178" i="2"/>
  <c r="AC1178" i="2"/>
  <c r="AD1178" i="2"/>
  <c r="AE1178" i="2"/>
  <c r="AF1178" i="2"/>
  <c r="D1179" i="2"/>
  <c r="F1179" i="2"/>
  <c r="G1179" i="2"/>
  <c r="I1179" i="2"/>
  <c r="Z1179" i="2"/>
  <c r="AA1179" i="2"/>
  <c r="AB1179" i="2"/>
  <c r="AC1179" i="2"/>
  <c r="AD1179" i="2"/>
  <c r="AE1179" i="2"/>
  <c r="AF1179" i="2"/>
  <c r="D1180" i="2"/>
  <c r="F1180" i="2"/>
  <c r="G1180" i="2"/>
  <c r="I1180" i="2"/>
  <c r="Z1180" i="2"/>
  <c r="AA1180" i="2"/>
  <c r="AB1180" i="2"/>
  <c r="AC1180" i="2"/>
  <c r="AD1180" i="2"/>
  <c r="AE1180" i="2"/>
  <c r="AF1180" i="2"/>
  <c r="D1181" i="2"/>
  <c r="F1181" i="2"/>
  <c r="G1181" i="2"/>
  <c r="I1181" i="2"/>
  <c r="Z1181" i="2"/>
  <c r="AA1181" i="2"/>
  <c r="AB1181" i="2"/>
  <c r="AC1181" i="2"/>
  <c r="AD1181" i="2"/>
  <c r="AE1181" i="2"/>
  <c r="AF1181" i="2"/>
  <c r="D1182" i="2"/>
  <c r="F1182" i="2"/>
  <c r="G1182" i="2"/>
  <c r="Z1182" i="2"/>
  <c r="AA1182" i="2"/>
  <c r="AB1182" i="2"/>
  <c r="AC1182" i="2"/>
  <c r="AD1182" i="2"/>
  <c r="AE1182" i="2"/>
  <c r="AF1182" i="2"/>
  <c r="D1183" i="2"/>
  <c r="F1183" i="2"/>
  <c r="G1183" i="2"/>
  <c r="I1183" i="2"/>
  <c r="Z1183" i="2"/>
  <c r="AA1183" i="2"/>
  <c r="AB1183" i="2"/>
  <c r="AC1183" i="2"/>
  <c r="AD1183" i="2"/>
  <c r="AE1183" i="2"/>
  <c r="AF1183" i="2"/>
  <c r="C1184" i="2"/>
  <c r="D1184" i="2" s="1"/>
  <c r="F1184" i="2"/>
  <c r="G1184" i="2"/>
  <c r="I1184" i="2"/>
  <c r="Z1184" i="2"/>
  <c r="AA1184" i="2"/>
  <c r="AB1184" i="2"/>
  <c r="AC1184" i="2"/>
  <c r="AD1184" i="2"/>
  <c r="AE1184" i="2"/>
  <c r="AF1184" i="2"/>
  <c r="D1185" i="2"/>
  <c r="F1185" i="2"/>
  <c r="G1185" i="2"/>
  <c r="I1185" i="2"/>
  <c r="Z1185" i="2"/>
  <c r="AA1185" i="2"/>
  <c r="AB1185" i="2"/>
  <c r="AC1185" i="2"/>
  <c r="AD1185" i="2"/>
  <c r="AE1185" i="2"/>
  <c r="AF1185" i="2"/>
  <c r="D1186" i="2"/>
  <c r="F1186" i="2"/>
  <c r="G1186" i="2"/>
  <c r="Z1186" i="2"/>
  <c r="AA1186" i="2"/>
  <c r="AB1186" i="2"/>
  <c r="AC1186" i="2"/>
  <c r="AD1186" i="2"/>
  <c r="AE1186" i="2"/>
  <c r="AF1186" i="2"/>
  <c r="D1187" i="2"/>
  <c r="F1187" i="2"/>
  <c r="G1187" i="2"/>
  <c r="I1187" i="2"/>
  <c r="Z1187" i="2"/>
  <c r="AA1187" i="2"/>
  <c r="AB1187" i="2"/>
  <c r="AC1187" i="2"/>
  <c r="AD1187" i="2"/>
  <c r="AE1187" i="2"/>
  <c r="AF1187" i="2"/>
  <c r="D1188" i="2"/>
  <c r="F1188" i="2"/>
  <c r="G1188" i="2"/>
  <c r="I1188" i="2"/>
  <c r="Z1188" i="2"/>
  <c r="AA1188" i="2"/>
  <c r="AB1188" i="2"/>
  <c r="AC1188" i="2"/>
  <c r="AD1188" i="2"/>
  <c r="AE1188" i="2"/>
  <c r="AF1188" i="2"/>
  <c r="D1189" i="2"/>
  <c r="F1189" i="2"/>
  <c r="G1189" i="2"/>
  <c r="I1189" i="2"/>
  <c r="Z1189" i="2"/>
  <c r="AA1189" i="2"/>
  <c r="AB1189" i="2"/>
  <c r="AC1189" i="2"/>
  <c r="AD1189" i="2"/>
  <c r="AE1189" i="2"/>
  <c r="AF1189" i="2"/>
  <c r="D1190" i="2"/>
  <c r="F1190" i="2"/>
  <c r="G1190" i="2"/>
  <c r="Z1190" i="2"/>
  <c r="AA1190" i="2"/>
  <c r="AB1190" i="2"/>
  <c r="AC1190" i="2"/>
  <c r="AD1190" i="2"/>
  <c r="AE1190" i="2"/>
  <c r="AF1190" i="2"/>
  <c r="D1191" i="2"/>
  <c r="F1191" i="2"/>
  <c r="G1191" i="2"/>
  <c r="I1191" i="2"/>
  <c r="Z1191" i="2"/>
  <c r="AA1191" i="2"/>
  <c r="AB1191" i="2"/>
  <c r="AC1191" i="2"/>
  <c r="AD1191" i="2"/>
  <c r="AE1191" i="2"/>
  <c r="AF1191" i="2"/>
  <c r="D1192" i="2"/>
  <c r="F1192" i="2"/>
  <c r="G1192" i="2"/>
  <c r="I1192" i="2"/>
  <c r="Z1192" i="2"/>
  <c r="AA1192" i="2"/>
  <c r="AB1192" i="2"/>
  <c r="AC1192" i="2"/>
  <c r="AD1192" i="2"/>
  <c r="AE1192" i="2"/>
  <c r="AF1192" i="2"/>
  <c r="D1193" i="2"/>
  <c r="F1193" i="2"/>
  <c r="G1193" i="2"/>
  <c r="I1193" i="2"/>
  <c r="Z1193" i="2"/>
  <c r="AA1193" i="2"/>
  <c r="AB1193" i="2"/>
  <c r="AC1193" i="2"/>
  <c r="AD1193" i="2"/>
  <c r="AE1193" i="2"/>
  <c r="AF1193" i="2"/>
  <c r="D1194" i="2"/>
  <c r="F1194" i="2"/>
  <c r="G1194" i="2"/>
  <c r="Z1194" i="2"/>
  <c r="AA1194" i="2"/>
  <c r="AB1194" i="2"/>
  <c r="AC1194" i="2"/>
  <c r="AD1194" i="2"/>
  <c r="AE1194" i="2"/>
  <c r="AF1194" i="2"/>
  <c r="D1195" i="2"/>
  <c r="F1195" i="2"/>
  <c r="G1195" i="2"/>
  <c r="I1195" i="2"/>
  <c r="Z1195" i="2"/>
  <c r="AA1195" i="2"/>
  <c r="AB1195" i="2"/>
  <c r="AC1195" i="2"/>
  <c r="AD1195" i="2"/>
  <c r="AE1195" i="2"/>
  <c r="AF1195" i="2"/>
  <c r="D1196" i="2"/>
  <c r="F1196" i="2"/>
  <c r="G1196" i="2"/>
  <c r="I1196" i="2"/>
  <c r="Z1196" i="2"/>
  <c r="AA1196" i="2"/>
  <c r="AB1196" i="2"/>
  <c r="AC1196" i="2"/>
  <c r="AD1196" i="2"/>
  <c r="AE1196" i="2"/>
  <c r="AF1196" i="2"/>
  <c r="D1197" i="2"/>
  <c r="F1197" i="2"/>
  <c r="G1197" i="2"/>
  <c r="I1197" i="2"/>
  <c r="Z1197" i="2"/>
  <c r="AA1197" i="2"/>
  <c r="AB1197" i="2"/>
  <c r="AC1197" i="2"/>
  <c r="AD1197" i="2"/>
  <c r="AE1197" i="2"/>
  <c r="AF1197" i="2"/>
  <c r="D1198" i="2"/>
  <c r="F1198" i="2"/>
  <c r="G1198" i="2"/>
  <c r="Z1198" i="2"/>
  <c r="AA1198" i="2"/>
  <c r="AB1198" i="2"/>
  <c r="AC1198" i="2"/>
  <c r="AD1198" i="2"/>
  <c r="AE1198" i="2"/>
  <c r="AF1198" i="2"/>
  <c r="D1199" i="2"/>
  <c r="F1199" i="2"/>
  <c r="G1199" i="2"/>
  <c r="I1199" i="2"/>
  <c r="Z1199" i="2"/>
  <c r="AA1199" i="2"/>
  <c r="AB1199" i="2"/>
  <c r="AC1199" i="2"/>
  <c r="AD1199" i="2"/>
  <c r="AE1199" i="2"/>
  <c r="AF1199" i="2"/>
  <c r="D1200" i="2"/>
  <c r="F1200" i="2"/>
  <c r="G1200" i="2"/>
  <c r="I1200" i="2"/>
  <c r="Z1200" i="2"/>
  <c r="AA1200" i="2"/>
  <c r="AB1200" i="2"/>
  <c r="AC1200" i="2"/>
  <c r="AD1200" i="2"/>
  <c r="AE1200" i="2"/>
  <c r="AF1200" i="2"/>
  <c r="D1201" i="2"/>
  <c r="F1201" i="2"/>
  <c r="G1201" i="2"/>
  <c r="I1201" i="2"/>
  <c r="Z1201" i="2"/>
  <c r="AA1201" i="2"/>
  <c r="AB1201" i="2"/>
  <c r="AC1201" i="2"/>
  <c r="AD1201" i="2"/>
  <c r="AE1201" i="2"/>
  <c r="AF1201" i="2"/>
  <c r="D1202" i="2"/>
  <c r="F1202" i="2"/>
  <c r="G1202" i="2"/>
  <c r="Z1202" i="2"/>
  <c r="AA1202" i="2"/>
  <c r="AB1202" i="2"/>
  <c r="AC1202" i="2"/>
  <c r="AD1202" i="2"/>
  <c r="AE1202" i="2"/>
  <c r="AF1202" i="2"/>
  <c r="D1203" i="2"/>
  <c r="F1203" i="2"/>
  <c r="G1203" i="2"/>
  <c r="I1203" i="2"/>
  <c r="Z1203" i="2"/>
  <c r="AA1203" i="2"/>
  <c r="AB1203" i="2"/>
  <c r="AC1203" i="2"/>
  <c r="AD1203" i="2"/>
  <c r="AE1203" i="2"/>
  <c r="AF1203" i="2"/>
  <c r="D1204" i="2"/>
  <c r="F1204" i="2"/>
  <c r="G1204" i="2"/>
  <c r="I1204" i="2"/>
  <c r="Z1204" i="2"/>
  <c r="AA1204" i="2"/>
  <c r="AB1204" i="2"/>
  <c r="AC1204" i="2"/>
  <c r="AD1204" i="2"/>
  <c r="AE1204" i="2"/>
  <c r="AF1204" i="2"/>
  <c r="D1205" i="2"/>
  <c r="F1205" i="2"/>
  <c r="G1205" i="2"/>
  <c r="I1205" i="2"/>
  <c r="Z1205" i="2"/>
  <c r="AA1205" i="2"/>
  <c r="AB1205" i="2"/>
  <c r="AC1205" i="2"/>
  <c r="AD1205" i="2"/>
  <c r="AE1205" i="2"/>
  <c r="AF1205" i="2"/>
  <c r="D1206" i="2"/>
  <c r="F1206" i="2"/>
  <c r="G1206" i="2"/>
  <c r="Z1206" i="2"/>
  <c r="AA1206" i="2"/>
  <c r="AB1206" i="2"/>
  <c r="AC1206" i="2"/>
  <c r="AD1206" i="2"/>
  <c r="AE1206" i="2"/>
  <c r="AF1206" i="2"/>
  <c r="D1207" i="2"/>
  <c r="F1207" i="2"/>
  <c r="G1207" i="2"/>
  <c r="I1207" i="2"/>
  <c r="Z1207" i="2"/>
  <c r="AA1207" i="2"/>
  <c r="AB1207" i="2"/>
  <c r="AC1207" i="2"/>
  <c r="AD1207" i="2"/>
  <c r="AE1207" i="2"/>
  <c r="AF1207" i="2"/>
  <c r="D1208" i="2"/>
  <c r="F1208" i="2"/>
  <c r="G1208" i="2"/>
  <c r="I1208" i="2"/>
  <c r="Z1208" i="2"/>
  <c r="AA1208" i="2"/>
  <c r="AB1208" i="2"/>
  <c r="AC1208" i="2"/>
  <c r="AD1208" i="2"/>
  <c r="AE1208" i="2"/>
  <c r="AF1208" i="2"/>
  <c r="D1209" i="2"/>
  <c r="F1209" i="2"/>
  <c r="G1209" i="2"/>
  <c r="I1209" i="2"/>
  <c r="Z1209" i="2"/>
  <c r="AA1209" i="2"/>
  <c r="AB1209" i="2"/>
  <c r="AC1209" i="2"/>
  <c r="AD1209" i="2"/>
  <c r="AE1209" i="2"/>
  <c r="AF1209" i="2"/>
  <c r="D1210" i="2"/>
  <c r="F1210" i="2"/>
  <c r="G1210" i="2"/>
  <c r="Z1210" i="2"/>
  <c r="AA1210" i="2"/>
  <c r="AB1210" i="2"/>
  <c r="AC1210" i="2"/>
  <c r="AD1210" i="2"/>
  <c r="AE1210" i="2"/>
  <c r="AF1210" i="2"/>
  <c r="D1211" i="2"/>
  <c r="F1211" i="2"/>
  <c r="G1211" i="2"/>
  <c r="I1211" i="2"/>
  <c r="Z1211" i="2"/>
  <c r="AA1211" i="2"/>
  <c r="AB1211" i="2"/>
  <c r="AC1211" i="2"/>
  <c r="AD1211" i="2"/>
  <c r="AE1211" i="2"/>
  <c r="AF1211" i="2"/>
  <c r="D1212" i="2"/>
  <c r="F1212" i="2"/>
  <c r="G1212" i="2"/>
  <c r="I1212" i="2"/>
  <c r="Z1212" i="2"/>
  <c r="AA1212" i="2"/>
  <c r="AB1212" i="2"/>
  <c r="AC1212" i="2"/>
  <c r="AD1212" i="2"/>
  <c r="AE1212" i="2"/>
  <c r="AF1212" i="2"/>
  <c r="D1213" i="2"/>
  <c r="F1213" i="2"/>
  <c r="G1213" i="2"/>
  <c r="I1213" i="2"/>
  <c r="Z1213" i="2"/>
  <c r="AA1213" i="2"/>
  <c r="AB1213" i="2"/>
  <c r="AC1213" i="2"/>
  <c r="AD1213" i="2"/>
  <c r="AE1213" i="2"/>
  <c r="AF1213" i="2"/>
  <c r="D1214" i="2"/>
  <c r="F1214" i="2"/>
  <c r="G1214" i="2"/>
  <c r="Z1214" i="2"/>
  <c r="AA1214" i="2"/>
  <c r="AB1214" i="2"/>
  <c r="AC1214" i="2"/>
  <c r="AD1214" i="2"/>
  <c r="AE1214" i="2"/>
  <c r="AF1214" i="2"/>
  <c r="D1215" i="2"/>
  <c r="F1215" i="2"/>
  <c r="G1215" i="2"/>
  <c r="I1215" i="2"/>
  <c r="Z1215" i="2"/>
  <c r="AA1215" i="2"/>
  <c r="AB1215" i="2"/>
  <c r="AC1215" i="2"/>
  <c r="AD1215" i="2"/>
  <c r="AE1215" i="2"/>
  <c r="AF1215" i="2"/>
  <c r="D1216" i="2"/>
  <c r="F1216" i="2"/>
  <c r="G1216" i="2"/>
  <c r="I1216" i="2"/>
  <c r="Z1216" i="2"/>
  <c r="AA1216" i="2"/>
  <c r="AB1216" i="2"/>
  <c r="AC1216" i="2"/>
  <c r="AD1216" i="2"/>
  <c r="AE1216" i="2"/>
  <c r="AF1216" i="2"/>
  <c r="D1217" i="2"/>
  <c r="F1217" i="2"/>
  <c r="G1217" i="2"/>
  <c r="I1217" i="2"/>
  <c r="Z1217" i="2"/>
  <c r="AA1217" i="2"/>
  <c r="AB1217" i="2"/>
  <c r="AC1217" i="2"/>
  <c r="AD1217" i="2"/>
  <c r="AE1217" i="2"/>
  <c r="AF1217" i="2"/>
  <c r="D1218" i="2"/>
  <c r="F1218" i="2"/>
  <c r="G1218" i="2"/>
  <c r="Z1218" i="2"/>
  <c r="AA1218" i="2"/>
  <c r="AB1218" i="2"/>
  <c r="AC1218" i="2"/>
  <c r="AD1218" i="2"/>
  <c r="AE1218" i="2"/>
  <c r="AF1218" i="2"/>
  <c r="D1219" i="2"/>
  <c r="F1219" i="2"/>
  <c r="G1219" i="2"/>
  <c r="I1219" i="2"/>
  <c r="Z1219" i="2"/>
  <c r="AA1219" i="2"/>
  <c r="AB1219" i="2"/>
  <c r="AC1219" i="2"/>
  <c r="AD1219" i="2"/>
  <c r="AE1219" i="2"/>
  <c r="AF1219" i="2"/>
  <c r="D1220" i="2"/>
  <c r="F1220" i="2"/>
  <c r="G1220" i="2"/>
  <c r="I1220" i="2"/>
  <c r="Z1220" i="2"/>
  <c r="AA1220" i="2"/>
  <c r="AB1220" i="2"/>
  <c r="AC1220" i="2"/>
  <c r="AD1220" i="2"/>
  <c r="AE1220" i="2"/>
  <c r="AF1220" i="2"/>
  <c r="D1221" i="2"/>
  <c r="F1221" i="2"/>
  <c r="G1221" i="2"/>
  <c r="I1221" i="2"/>
  <c r="Z1221" i="2"/>
  <c r="AA1221" i="2"/>
  <c r="AB1221" i="2"/>
  <c r="AC1221" i="2"/>
  <c r="AD1221" i="2"/>
  <c r="AE1221" i="2"/>
  <c r="AF1221" i="2"/>
  <c r="D1222" i="2"/>
  <c r="F1222" i="2"/>
  <c r="G1222" i="2"/>
  <c r="Z1222" i="2"/>
  <c r="AA1222" i="2"/>
  <c r="AB1222" i="2"/>
  <c r="AC1222" i="2"/>
  <c r="AD1222" i="2"/>
  <c r="AE1222" i="2"/>
  <c r="AF1222" i="2"/>
  <c r="D1223" i="2"/>
  <c r="F1223" i="2"/>
  <c r="G1223" i="2"/>
  <c r="I1223" i="2"/>
  <c r="Z1223" i="2"/>
  <c r="AA1223" i="2"/>
  <c r="AB1223" i="2"/>
  <c r="AC1223" i="2"/>
  <c r="AD1223" i="2"/>
  <c r="AE1223" i="2"/>
  <c r="AF1223" i="2"/>
  <c r="D1224" i="2"/>
  <c r="F1224" i="2"/>
  <c r="G1224" i="2"/>
  <c r="I1224" i="2"/>
  <c r="Z1224" i="2"/>
  <c r="AA1224" i="2"/>
  <c r="AB1224" i="2"/>
  <c r="AC1224" i="2"/>
  <c r="AD1224" i="2"/>
  <c r="AE1224" i="2"/>
  <c r="AF1224" i="2"/>
  <c r="D1225" i="2"/>
  <c r="F1225" i="2"/>
  <c r="G1225" i="2"/>
  <c r="I1225" i="2"/>
  <c r="Z1225" i="2"/>
  <c r="AA1225" i="2"/>
  <c r="AB1225" i="2"/>
  <c r="AC1225" i="2"/>
  <c r="AD1225" i="2"/>
  <c r="AE1225" i="2"/>
  <c r="AF1225" i="2"/>
  <c r="D1226" i="2"/>
  <c r="F1226" i="2"/>
  <c r="G1226" i="2"/>
  <c r="Z1226" i="2"/>
  <c r="AA1226" i="2"/>
  <c r="AB1226" i="2"/>
  <c r="AC1226" i="2"/>
  <c r="AD1226" i="2"/>
  <c r="AE1226" i="2"/>
  <c r="AF1226" i="2"/>
  <c r="D1227" i="2"/>
  <c r="F1227" i="2"/>
  <c r="G1227" i="2"/>
  <c r="I1227" i="2"/>
  <c r="Z1227" i="2"/>
  <c r="AA1227" i="2"/>
  <c r="AB1227" i="2"/>
  <c r="AC1227" i="2"/>
  <c r="AD1227" i="2"/>
  <c r="AE1227" i="2"/>
  <c r="AF1227" i="2"/>
  <c r="D1228" i="2"/>
  <c r="F1228" i="2"/>
  <c r="G1228" i="2"/>
  <c r="I1228" i="2"/>
  <c r="Z1228" i="2"/>
  <c r="AA1228" i="2"/>
  <c r="AB1228" i="2"/>
  <c r="AC1228" i="2"/>
  <c r="AD1228" i="2"/>
  <c r="AE1228" i="2"/>
  <c r="AF1228" i="2"/>
  <c r="D1229" i="2"/>
  <c r="F1229" i="2"/>
  <c r="G1229" i="2"/>
  <c r="I1229" i="2"/>
  <c r="Z1229" i="2"/>
  <c r="AA1229" i="2"/>
  <c r="AB1229" i="2"/>
  <c r="AC1229" i="2"/>
  <c r="AD1229" i="2"/>
  <c r="AE1229" i="2"/>
  <c r="AF1229" i="2"/>
  <c r="D1230" i="2"/>
  <c r="F1230" i="2"/>
  <c r="G1230" i="2"/>
  <c r="Z1230" i="2"/>
  <c r="AA1230" i="2"/>
  <c r="AB1230" i="2"/>
  <c r="AC1230" i="2"/>
  <c r="AD1230" i="2"/>
  <c r="AE1230" i="2"/>
  <c r="AF1230" i="2"/>
  <c r="D1231" i="2"/>
  <c r="F1231" i="2"/>
  <c r="G1231" i="2"/>
  <c r="I1231" i="2"/>
  <c r="Z1231" i="2"/>
  <c r="AA1231" i="2"/>
  <c r="AB1231" i="2"/>
  <c r="AC1231" i="2"/>
  <c r="AD1231" i="2"/>
  <c r="AE1231" i="2"/>
  <c r="AF1231" i="2"/>
  <c r="D1232" i="2"/>
  <c r="F1232" i="2"/>
  <c r="G1232" i="2"/>
  <c r="I1232" i="2"/>
  <c r="Z1232" i="2"/>
  <c r="AA1232" i="2"/>
  <c r="AB1232" i="2"/>
  <c r="AC1232" i="2"/>
  <c r="AD1232" i="2"/>
  <c r="AE1232" i="2"/>
  <c r="AF1232" i="2"/>
  <c r="D1233" i="2"/>
  <c r="F1233" i="2"/>
  <c r="G1233" i="2"/>
  <c r="I1233" i="2"/>
  <c r="Z1233" i="2"/>
  <c r="AA1233" i="2"/>
  <c r="AB1233" i="2"/>
  <c r="AC1233" i="2"/>
  <c r="AD1233" i="2"/>
  <c r="AE1233" i="2"/>
  <c r="AF1233" i="2"/>
  <c r="D1234" i="2"/>
  <c r="F1234" i="2"/>
  <c r="G1234" i="2"/>
  <c r="Z1234" i="2"/>
  <c r="AA1234" i="2"/>
  <c r="AB1234" i="2"/>
  <c r="AC1234" i="2"/>
  <c r="AD1234" i="2"/>
  <c r="AE1234" i="2"/>
  <c r="AF1234" i="2"/>
  <c r="D1235" i="2"/>
  <c r="F1235" i="2"/>
  <c r="G1235" i="2"/>
  <c r="I1235" i="2"/>
  <c r="Z1235" i="2"/>
  <c r="AA1235" i="2"/>
  <c r="AB1235" i="2"/>
  <c r="AC1235" i="2"/>
  <c r="AD1235" i="2"/>
  <c r="AE1235" i="2"/>
  <c r="AF1235" i="2"/>
  <c r="D1236" i="2"/>
  <c r="F1236" i="2"/>
  <c r="G1236" i="2"/>
  <c r="I1236" i="2"/>
  <c r="Z1236" i="2"/>
  <c r="AA1236" i="2"/>
  <c r="AB1236" i="2"/>
  <c r="AC1236" i="2"/>
  <c r="AD1236" i="2"/>
  <c r="AE1236" i="2"/>
  <c r="AF1236" i="2"/>
  <c r="D1237" i="2"/>
  <c r="F1237" i="2"/>
  <c r="G1237" i="2"/>
  <c r="I1237" i="2"/>
  <c r="Z1237" i="2"/>
  <c r="AA1237" i="2"/>
  <c r="AB1237" i="2"/>
  <c r="AC1237" i="2"/>
  <c r="AD1237" i="2"/>
  <c r="AE1237" i="2"/>
  <c r="AF1237" i="2"/>
  <c r="D1238" i="2"/>
  <c r="F1238" i="2"/>
  <c r="G1238" i="2"/>
  <c r="Z1238" i="2"/>
  <c r="AA1238" i="2"/>
  <c r="AB1238" i="2"/>
  <c r="AC1238" i="2"/>
  <c r="AD1238" i="2"/>
  <c r="AE1238" i="2"/>
  <c r="AF1238" i="2"/>
  <c r="D1239" i="2"/>
  <c r="F1239" i="2"/>
  <c r="G1239" i="2"/>
  <c r="I1239" i="2"/>
  <c r="Z1239" i="2"/>
  <c r="AA1239" i="2"/>
  <c r="AB1239" i="2"/>
  <c r="AC1239" i="2"/>
  <c r="AD1239" i="2"/>
  <c r="AE1239" i="2"/>
  <c r="AF1239" i="2"/>
  <c r="D1240" i="2"/>
  <c r="F1240" i="2"/>
  <c r="G1240" i="2"/>
  <c r="I1240" i="2"/>
  <c r="Z1240" i="2"/>
  <c r="AA1240" i="2"/>
  <c r="AB1240" i="2"/>
  <c r="AC1240" i="2"/>
  <c r="AD1240" i="2"/>
  <c r="AE1240" i="2"/>
  <c r="AF1240" i="2"/>
  <c r="D1241" i="2"/>
  <c r="F1241" i="2"/>
  <c r="G1241" i="2"/>
  <c r="I1241" i="2"/>
  <c r="Z1241" i="2"/>
  <c r="AA1241" i="2"/>
  <c r="AB1241" i="2"/>
  <c r="AC1241" i="2"/>
  <c r="AD1241" i="2"/>
  <c r="AE1241" i="2"/>
  <c r="AF1241" i="2"/>
  <c r="D1242" i="2"/>
  <c r="F1242" i="2"/>
  <c r="G1242" i="2"/>
  <c r="Z1242" i="2"/>
  <c r="AA1242" i="2"/>
  <c r="AB1242" i="2"/>
  <c r="AC1242" i="2"/>
  <c r="AD1242" i="2"/>
  <c r="AE1242" i="2"/>
  <c r="AF1242" i="2"/>
  <c r="D1243" i="2"/>
  <c r="F1243" i="2"/>
  <c r="G1243" i="2"/>
  <c r="I1243" i="2"/>
  <c r="Z1243" i="2"/>
  <c r="AA1243" i="2"/>
  <c r="AB1243" i="2"/>
  <c r="AC1243" i="2"/>
  <c r="AD1243" i="2"/>
  <c r="AE1243" i="2"/>
  <c r="AF1243" i="2"/>
  <c r="D1244" i="2"/>
  <c r="F1244" i="2"/>
  <c r="G1244" i="2"/>
  <c r="I1244" i="2"/>
  <c r="Z1244" i="2"/>
  <c r="AA1244" i="2"/>
  <c r="AB1244" i="2"/>
  <c r="AC1244" i="2"/>
  <c r="AD1244" i="2"/>
  <c r="AE1244" i="2"/>
  <c r="AF1244" i="2"/>
  <c r="D1245" i="2"/>
  <c r="F1245" i="2"/>
  <c r="G1245" i="2"/>
  <c r="I1245" i="2"/>
  <c r="Z1245" i="2"/>
  <c r="AA1245" i="2"/>
  <c r="AB1245" i="2"/>
  <c r="AC1245" i="2"/>
  <c r="AD1245" i="2"/>
  <c r="AE1245" i="2"/>
  <c r="AF1245" i="2"/>
  <c r="D1246" i="2"/>
  <c r="F1246" i="2"/>
  <c r="G1246" i="2"/>
  <c r="Z1246" i="2"/>
  <c r="AA1246" i="2"/>
  <c r="AB1246" i="2"/>
  <c r="AC1246" i="2"/>
  <c r="AD1246" i="2"/>
  <c r="AE1246" i="2"/>
  <c r="AF1246" i="2"/>
  <c r="D1247" i="2"/>
  <c r="F1247" i="2"/>
  <c r="G1247" i="2"/>
  <c r="I1247" i="2"/>
  <c r="Z1247" i="2"/>
  <c r="AA1247" i="2"/>
  <c r="AB1247" i="2"/>
  <c r="AC1247" i="2"/>
  <c r="AD1247" i="2"/>
  <c r="AE1247" i="2"/>
  <c r="AF1247" i="2"/>
  <c r="D1248" i="2"/>
  <c r="F1248" i="2"/>
  <c r="G1248" i="2"/>
  <c r="I1248" i="2"/>
  <c r="Z1248" i="2"/>
  <c r="AA1248" i="2"/>
  <c r="AB1248" i="2"/>
  <c r="AC1248" i="2"/>
  <c r="AD1248" i="2"/>
  <c r="AE1248" i="2"/>
  <c r="AF1248" i="2"/>
  <c r="D1249" i="2"/>
  <c r="F1249" i="2"/>
  <c r="G1249" i="2"/>
  <c r="I1249" i="2"/>
  <c r="Z1249" i="2"/>
  <c r="AA1249" i="2"/>
  <c r="AB1249" i="2"/>
  <c r="AC1249" i="2"/>
  <c r="AD1249" i="2"/>
  <c r="AE1249" i="2"/>
  <c r="AF1249" i="2"/>
  <c r="D1250" i="2"/>
  <c r="F1250" i="2"/>
  <c r="G1250" i="2"/>
  <c r="Z1250" i="2"/>
  <c r="AA1250" i="2"/>
  <c r="AB1250" i="2"/>
  <c r="AC1250" i="2"/>
  <c r="AD1250" i="2"/>
  <c r="AE1250" i="2"/>
  <c r="AF1250" i="2"/>
  <c r="D1251" i="2"/>
  <c r="F1251" i="2"/>
  <c r="G1251" i="2"/>
  <c r="I1251" i="2"/>
  <c r="Z1251" i="2"/>
  <c r="AA1251" i="2"/>
  <c r="AB1251" i="2"/>
  <c r="AC1251" i="2"/>
  <c r="AD1251" i="2"/>
  <c r="AE1251" i="2"/>
  <c r="AF1251" i="2"/>
  <c r="D1252" i="2"/>
  <c r="F1252" i="2"/>
  <c r="G1252" i="2"/>
  <c r="I1252" i="2"/>
  <c r="Z1252" i="2"/>
  <c r="AA1252" i="2"/>
  <c r="AB1252" i="2"/>
  <c r="AC1252" i="2"/>
  <c r="AD1252" i="2"/>
  <c r="AE1252" i="2"/>
  <c r="AF1252" i="2"/>
  <c r="D1253" i="2"/>
  <c r="F1253" i="2"/>
  <c r="G1253" i="2"/>
  <c r="I1253" i="2"/>
  <c r="Z1253" i="2"/>
  <c r="AA1253" i="2"/>
  <c r="AB1253" i="2"/>
  <c r="AC1253" i="2"/>
  <c r="AD1253" i="2"/>
  <c r="AE1253" i="2"/>
  <c r="AF1253" i="2"/>
  <c r="D1254" i="2"/>
  <c r="F1254" i="2"/>
  <c r="G1254" i="2"/>
  <c r="Z1254" i="2"/>
  <c r="AA1254" i="2"/>
  <c r="AB1254" i="2"/>
  <c r="AC1254" i="2"/>
  <c r="AD1254" i="2"/>
  <c r="AE1254" i="2"/>
  <c r="AF1254" i="2"/>
  <c r="D1255" i="2"/>
  <c r="F1255" i="2"/>
  <c r="G1255" i="2"/>
  <c r="I1255" i="2"/>
  <c r="Z1255" i="2"/>
  <c r="AA1255" i="2"/>
  <c r="AB1255" i="2"/>
  <c r="AC1255" i="2"/>
  <c r="AD1255" i="2"/>
  <c r="AE1255" i="2"/>
  <c r="AF1255" i="2"/>
  <c r="D1256" i="2"/>
  <c r="F1256" i="2"/>
  <c r="G1256" i="2"/>
  <c r="I1256" i="2"/>
  <c r="Z1256" i="2"/>
  <c r="AA1256" i="2"/>
  <c r="AB1256" i="2"/>
  <c r="AC1256" i="2"/>
  <c r="AD1256" i="2"/>
  <c r="AE1256" i="2"/>
  <c r="AF1256" i="2"/>
  <c r="D1257" i="2"/>
  <c r="F1257" i="2"/>
  <c r="G1257" i="2"/>
  <c r="I1257" i="2"/>
  <c r="Z1257" i="2"/>
  <c r="AA1257" i="2"/>
  <c r="AB1257" i="2"/>
  <c r="AC1257" i="2"/>
  <c r="AD1257" i="2"/>
  <c r="AE1257" i="2"/>
  <c r="AF1257" i="2"/>
  <c r="D1258" i="2"/>
  <c r="F1258" i="2"/>
  <c r="G1258" i="2"/>
  <c r="Z1258" i="2"/>
  <c r="AA1258" i="2"/>
  <c r="AB1258" i="2"/>
  <c r="AC1258" i="2"/>
  <c r="AD1258" i="2"/>
  <c r="AE1258" i="2"/>
  <c r="AF1258" i="2"/>
  <c r="D1259" i="2"/>
  <c r="F1259" i="2"/>
  <c r="G1259" i="2"/>
  <c r="I1259" i="2"/>
  <c r="Z1259" i="2"/>
  <c r="AA1259" i="2"/>
  <c r="AB1259" i="2"/>
  <c r="AC1259" i="2"/>
  <c r="AD1259" i="2"/>
  <c r="AE1259" i="2"/>
  <c r="AF1259" i="2"/>
  <c r="D1260" i="2"/>
  <c r="F1260" i="2"/>
  <c r="G1260" i="2"/>
  <c r="I1260" i="2"/>
  <c r="Z1260" i="2"/>
  <c r="AA1260" i="2"/>
  <c r="AB1260" i="2"/>
  <c r="AC1260" i="2"/>
  <c r="AD1260" i="2"/>
  <c r="AE1260" i="2"/>
  <c r="AF1260" i="2"/>
  <c r="D1261" i="2"/>
  <c r="F1261" i="2"/>
  <c r="G1261" i="2"/>
  <c r="I1261" i="2"/>
  <c r="Z1261" i="2"/>
  <c r="AA1261" i="2"/>
  <c r="AB1261" i="2"/>
  <c r="AC1261" i="2"/>
  <c r="AD1261" i="2"/>
  <c r="AE1261" i="2"/>
  <c r="AF1261" i="2"/>
  <c r="D1262" i="2"/>
  <c r="F1262" i="2"/>
  <c r="G1262" i="2"/>
  <c r="Z1262" i="2"/>
  <c r="AA1262" i="2"/>
  <c r="AB1262" i="2"/>
  <c r="AC1262" i="2"/>
  <c r="AD1262" i="2"/>
  <c r="AE1262" i="2"/>
  <c r="AF1262" i="2"/>
  <c r="D1263" i="2"/>
  <c r="F1263" i="2"/>
  <c r="G1263" i="2"/>
  <c r="I1263" i="2"/>
  <c r="Z1263" i="2"/>
  <c r="AA1263" i="2"/>
  <c r="AB1263" i="2"/>
  <c r="AC1263" i="2"/>
  <c r="AD1263" i="2"/>
  <c r="AE1263" i="2"/>
  <c r="AF1263" i="2"/>
  <c r="D1264" i="2"/>
  <c r="F1264" i="2"/>
  <c r="G1264" i="2"/>
  <c r="I1264" i="2"/>
  <c r="Z1264" i="2"/>
  <c r="AA1264" i="2"/>
  <c r="AB1264" i="2"/>
  <c r="AC1264" i="2"/>
  <c r="AD1264" i="2"/>
  <c r="AE1264" i="2"/>
  <c r="AF1264" i="2"/>
  <c r="D1265" i="2"/>
  <c r="F1265" i="2"/>
  <c r="G1265" i="2"/>
  <c r="I1265" i="2"/>
  <c r="Z1265" i="2"/>
  <c r="AA1265" i="2"/>
  <c r="AB1265" i="2"/>
  <c r="AC1265" i="2"/>
  <c r="AD1265" i="2"/>
  <c r="AE1265" i="2"/>
  <c r="AF1265" i="2"/>
  <c r="D1266" i="2"/>
  <c r="F1266" i="2"/>
  <c r="G1266" i="2"/>
  <c r="Z1266" i="2"/>
  <c r="AA1266" i="2"/>
  <c r="AB1266" i="2"/>
  <c r="AC1266" i="2"/>
  <c r="AD1266" i="2"/>
  <c r="AE1266" i="2"/>
  <c r="AF1266" i="2"/>
  <c r="D1267" i="2"/>
  <c r="F1267" i="2"/>
  <c r="G1267" i="2"/>
  <c r="I1267" i="2"/>
  <c r="Z1267" i="2"/>
  <c r="AA1267" i="2"/>
  <c r="AB1267" i="2"/>
  <c r="AC1267" i="2"/>
  <c r="AD1267" i="2"/>
  <c r="AE1267" i="2"/>
  <c r="AF1267" i="2"/>
  <c r="D1268" i="2"/>
  <c r="F1268" i="2"/>
  <c r="G1268" i="2"/>
  <c r="I1268" i="2"/>
  <c r="Z1268" i="2"/>
  <c r="AA1268" i="2"/>
  <c r="AB1268" i="2"/>
  <c r="AC1268" i="2"/>
  <c r="AD1268" i="2"/>
  <c r="AE1268" i="2"/>
  <c r="AF1268" i="2"/>
  <c r="D1269" i="2"/>
  <c r="F1269" i="2"/>
  <c r="G1269" i="2"/>
  <c r="I1269" i="2"/>
  <c r="Z1269" i="2"/>
  <c r="AA1269" i="2"/>
  <c r="AB1269" i="2"/>
  <c r="AC1269" i="2"/>
  <c r="AD1269" i="2"/>
  <c r="AE1269" i="2"/>
  <c r="AF1269" i="2"/>
  <c r="D1270" i="2"/>
  <c r="F1270" i="2"/>
  <c r="G1270" i="2"/>
  <c r="Z1270" i="2"/>
  <c r="AA1270" i="2"/>
  <c r="AB1270" i="2"/>
  <c r="AC1270" i="2"/>
  <c r="AD1270" i="2"/>
  <c r="AE1270" i="2"/>
  <c r="AF1270" i="2"/>
  <c r="D1271" i="2"/>
  <c r="F1271" i="2"/>
  <c r="G1271" i="2"/>
  <c r="I1271" i="2"/>
  <c r="Z1271" i="2"/>
  <c r="AA1271" i="2"/>
  <c r="AB1271" i="2"/>
  <c r="AC1271" i="2"/>
  <c r="AD1271" i="2"/>
  <c r="AE1271" i="2"/>
  <c r="AF1271" i="2"/>
  <c r="D1272" i="2"/>
  <c r="F1272" i="2"/>
  <c r="G1272" i="2"/>
  <c r="I1272" i="2"/>
  <c r="Z1272" i="2"/>
  <c r="AA1272" i="2"/>
  <c r="AB1272" i="2"/>
  <c r="AC1272" i="2"/>
  <c r="AD1272" i="2"/>
  <c r="AE1272" i="2"/>
  <c r="AF1272" i="2"/>
  <c r="D1273" i="2"/>
  <c r="F1273" i="2"/>
  <c r="G1273" i="2"/>
  <c r="I1273" i="2"/>
  <c r="Z1273" i="2"/>
  <c r="AA1273" i="2"/>
  <c r="AB1273" i="2"/>
  <c r="AC1273" i="2"/>
  <c r="AD1273" i="2"/>
  <c r="AE1273" i="2"/>
  <c r="AF1273" i="2"/>
  <c r="D1274" i="2"/>
  <c r="F1274" i="2"/>
  <c r="G1274" i="2"/>
  <c r="Z1274" i="2"/>
  <c r="AA1274" i="2"/>
  <c r="AB1274" i="2"/>
  <c r="AC1274" i="2"/>
  <c r="AD1274" i="2"/>
  <c r="AE1274" i="2"/>
  <c r="AF1274" i="2"/>
  <c r="D1275" i="2"/>
  <c r="F1275" i="2"/>
  <c r="G1275" i="2"/>
  <c r="I1275" i="2"/>
  <c r="Z1275" i="2"/>
  <c r="AA1275" i="2"/>
  <c r="AB1275" i="2"/>
  <c r="AC1275" i="2"/>
  <c r="AD1275" i="2"/>
  <c r="AE1275" i="2"/>
  <c r="AF1275" i="2"/>
  <c r="D1276" i="2"/>
  <c r="F1276" i="2"/>
  <c r="G1276" i="2"/>
  <c r="I1276" i="2"/>
  <c r="Z1276" i="2"/>
  <c r="AA1276" i="2"/>
  <c r="AB1276" i="2"/>
  <c r="AC1276" i="2"/>
  <c r="AD1276" i="2"/>
  <c r="AE1276" i="2"/>
  <c r="AF1276" i="2"/>
  <c r="D1277" i="2"/>
  <c r="F1277" i="2"/>
  <c r="G1277" i="2"/>
  <c r="I1277" i="2"/>
  <c r="Z1277" i="2"/>
  <c r="AA1277" i="2"/>
  <c r="AB1277" i="2"/>
  <c r="AC1277" i="2"/>
  <c r="AD1277" i="2"/>
  <c r="AE1277" i="2"/>
  <c r="AF1277" i="2"/>
  <c r="D1278" i="2"/>
  <c r="F1278" i="2"/>
  <c r="G1278" i="2"/>
  <c r="Z1278" i="2"/>
  <c r="AA1278" i="2"/>
  <c r="AB1278" i="2"/>
  <c r="AC1278" i="2"/>
  <c r="AD1278" i="2"/>
  <c r="AE1278" i="2"/>
  <c r="AF1278" i="2"/>
  <c r="D1279" i="2"/>
  <c r="F1279" i="2"/>
  <c r="G1279" i="2"/>
  <c r="I1279" i="2"/>
  <c r="Z1279" i="2"/>
  <c r="AA1279" i="2"/>
  <c r="AB1279" i="2"/>
  <c r="AC1279" i="2"/>
  <c r="AD1279" i="2"/>
  <c r="AE1279" i="2"/>
  <c r="AF1279" i="2"/>
  <c r="D1280" i="2"/>
  <c r="F1280" i="2"/>
  <c r="G1280" i="2"/>
  <c r="I1280" i="2"/>
  <c r="Z1280" i="2"/>
  <c r="AA1280" i="2"/>
  <c r="AB1280" i="2"/>
  <c r="AC1280" i="2"/>
  <c r="AD1280" i="2"/>
  <c r="AE1280" i="2"/>
  <c r="AF1280" i="2"/>
  <c r="D1281" i="2"/>
  <c r="F1281" i="2"/>
  <c r="G1281" i="2"/>
  <c r="I1281" i="2"/>
  <c r="Z1281" i="2"/>
  <c r="AA1281" i="2"/>
  <c r="AB1281" i="2"/>
  <c r="AC1281" i="2"/>
  <c r="AD1281" i="2"/>
  <c r="AE1281" i="2"/>
  <c r="AF1281" i="2"/>
  <c r="D1282" i="2"/>
  <c r="F1282" i="2"/>
  <c r="G1282" i="2"/>
  <c r="Z1282" i="2"/>
  <c r="AA1282" i="2"/>
  <c r="AB1282" i="2"/>
  <c r="AC1282" i="2"/>
  <c r="AD1282" i="2"/>
  <c r="AE1282" i="2"/>
  <c r="AF1282" i="2"/>
  <c r="D1283" i="2"/>
  <c r="F1283" i="2"/>
  <c r="G1283" i="2"/>
  <c r="I1283" i="2"/>
  <c r="Z1283" i="2"/>
  <c r="AA1283" i="2"/>
  <c r="AB1283" i="2"/>
  <c r="AC1283" i="2"/>
  <c r="AD1283" i="2"/>
  <c r="AE1283" i="2"/>
  <c r="AF1283" i="2"/>
  <c r="D1284" i="2"/>
  <c r="F1284" i="2"/>
  <c r="G1284" i="2"/>
  <c r="I1284" i="2"/>
  <c r="Z1284" i="2"/>
  <c r="AA1284" i="2"/>
  <c r="AB1284" i="2"/>
  <c r="AC1284" i="2"/>
  <c r="AD1284" i="2"/>
  <c r="AE1284" i="2"/>
  <c r="AF1284" i="2"/>
  <c r="D1285" i="2"/>
  <c r="F1285" i="2"/>
  <c r="G1285" i="2"/>
  <c r="I1285" i="2"/>
  <c r="Z1285" i="2"/>
  <c r="AA1285" i="2"/>
  <c r="AB1285" i="2"/>
  <c r="AC1285" i="2"/>
  <c r="AD1285" i="2"/>
  <c r="AE1285" i="2"/>
  <c r="AF1285" i="2"/>
  <c r="D1286" i="2"/>
  <c r="F1286" i="2"/>
  <c r="G1286" i="2"/>
  <c r="Z1286" i="2"/>
  <c r="AA1286" i="2"/>
  <c r="AB1286" i="2"/>
  <c r="AC1286" i="2"/>
  <c r="AD1286" i="2"/>
  <c r="AE1286" i="2"/>
  <c r="AF1286" i="2"/>
  <c r="D1287" i="2"/>
  <c r="F1287" i="2"/>
  <c r="G1287" i="2"/>
  <c r="I1287" i="2"/>
  <c r="Z1287" i="2"/>
  <c r="AA1287" i="2"/>
  <c r="AB1287" i="2"/>
  <c r="AC1287" i="2"/>
  <c r="AD1287" i="2"/>
  <c r="AE1287" i="2"/>
  <c r="AF1287" i="2"/>
  <c r="D1288" i="2"/>
  <c r="F1288" i="2"/>
  <c r="G1288" i="2"/>
  <c r="I1288" i="2"/>
  <c r="Z1288" i="2"/>
  <c r="AA1288" i="2"/>
  <c r="AB1288" i="2"/>
  <c r="AC1288" i="2"/>
  <c r="AD1288" i="2"/>
  <c r="AE1288" i="2"/>
  <c r="AF1288" i="2"/>
  <c r="D1289" i="2"/>
  <c r="F1289" i="2"/>
  <c r="G1289" i="2"/>
  <c r="I1289" i="2"/>
  <c r="Z1289" i="2"/>
  <c r="AA1289" i="2"/>
  <c r="AB1289" i="2"/>
  <c r="AC1289" i="2"/>
  <c r="AD1289" i="2"/>
  <c r="AE1289" i="2"/>
  <c r="AF1289" i="2"/>
  <c r="D1290" i="2"/>
  <c r="F1290" i="2"/>
  <c r="G1290" i="2"/>
  <c r="Z1290" i="2"/>
  <c r="AA1290" i="2"/>
  <c r="AB1290" i="2"/>
  <c r="AC1290" i="2"/>
  <c r="AD1290" i="2"/>
  <c r="AE1290" i="2"/>
  <c r="AF1290" i="2"/>
  <c r="D1291" i="2"/>
  <c r="F1291" i="2"/>
  <c r="G1291" i="2"/>
  <c r="I1291" i="2"/>
  <c r="Z1291" i="2"/>
  <c r="AA1291" i="2"/>
  <c r="AB1291" i="2"/>
  <c r="AC1291" i="2"/>
  <c r="AD1291" i="2"/>
  <c r="AE1291" i="2"/>
  <c r="AF1291" i="2"/>
  <c r="D1292" i="2"/>
  <c r="F1292" i="2"/>
  <c r="G1292" i="2"/>
  <c r="I1292" i="2"/>
  <c r="Z1292" i="2"/>
  <c r="AA1292" i="2"/>
  <c r="AB1292" i="2"/>
  <c r="AC1292" i="2"/>
  <c r="AD1292" i="2"/>
  <c r="AE1292" i="2"/>
  <c r="AF1292" i="2"/>
  <c r="D1293" i="2"/>
  <c r="F1293" i="2"/>
  <c r="G1293" i="2"/>
  <c r="I1293" i="2"/>
  <c r="Z1293" i="2"/>
  <c r="AA1293" i="2"/>
  <c r="AB1293" i="2"/>
  <c r="AC1293" i="2"/>
  <c r="AD1293" i="2"/>
  <c r="AE1293" i="2"/>
  <c r="AF1293" i="2"/>
  <c r="C1294" i="2"/>
  <c r="D1294" i="2" s="1"/>
  <c r="F1294" i="2"/>
  <c r="G1294" i="2"/>
  <c r="Z1294" i="2"/>
  <c r="AA1294" i="2"/>
  <c r="AB1294" i="2"/>
  <c r="AC1294" i="2"/>
  <c r="AD1294" i="2"/>
  <c r="AE1294" i="2"/>
  <c r="AF1294" i="2"/>
  <c r="D1295" i="2"/>
  <c r="F1295" i="2"/>
  <c r="G1295" i="2"/>
  <c r="I1295" i="2"/>
  <c r="Z1295" i="2"/>
  <c r="AA1295" i="2"/>
  <c r="AB1295" i="2"/>
  <c r="AC1295" i="2"/>
  <c r="AD1295" i="2"/>
  <c r="AE1295" i="2"/>
  <c r="AF1295" i="2"/>
  <c r="D1296" i="2"/>
  <c r="F1296" i="2"/>
  <c r="G1296" i="2"/>
  <c r="I1296" i="2"/>
  <c r="Z1296" i="2"/>
  <c r="AA1296" i="2"/>
  <c r="AB1296" i="2"/>
  <c r="AC1296" i="2"/>
  <c r="AD1296" i="2"/>
  <c r="AE1296" i="2"/>
  <c r="AF1296" i="2"/>
  <c r="D1297" i="2"/>
  <c r="F1297" i="2"/>
  <c r="G1297" i="2"/>
  <c r="I1297" i="2"/>
  <c r="Z1297" i="2"/>
  <c r="AA1297" i="2"/>
  <c r="AB1297" i="2"/>
  <c r="AC1297" i="2"/>
  <c r="AD1297" i="2"/>
  <c r="AE1297" i="2"/>
  <c r="AF1297" i="2"/>
  <c r="D1298" i="2"/>
  <c r="F1298" i="2"/>
  <c r="G1298" i="2"/>
  <c r="Z1298" i="2"/>
  <c r="AA1298" i="2"/>
  <c r="AB1298" i="2"/>
  <c r="AC1298" i="2"/>
  <c r="AD1298" i="2"/>
  <c r="AE1298" i="2"/>
  <c r="AF1298" i="2"/>
  <c r="D1299" i="2"/>
  <c r="F1299" i="2"/>
  <c r="G1299" i="2"/>
  <c r="I1299" i="2"/>
  <c r="Z1299" i="2"/>
  <c r="AA1299" i="2"/>
  <c r="AB1299" i="2"/>
  <c r="AC1299" i="2"/>
  <c r="AD1299" i="2"/>
  <c r="AE1299" i="2"/>
  <c r="AF1299" i="2"/>
  <c r="D1300" i="2"/>
  <c r="F1300" i="2"/>
  <c r="G1300" i="2"/>
  <c r="I1300" i="2"/>
  <c r="Z1300" i="2"/>
  <c r="AA1300" i="2"/>
  <c r="AB1300" i="2"/>
  <c r="AC1300" i="2"/>
  <c r="AD1300" i="2"/>
  <c r="AE1300" i="2"/>
  <c r="AF1300" i="2"/>
  <c r="D1301" i="2"/>
  <c r="F1301" i="2"/>
  <c r="G1301" i="2"/>
  <c r="I1301" i="2"/>
  <c r="Z1301" i="2"/>
  <c r="AA1301" i="2"/>
  <c r="AB1301" i="2"/>
  <c r="AC1301" i="2"/>
  <c r="AD1301" i="2"/>
  <c r="AE1301" i="2"/>
  <c r="AF1301" i="2"/>
  <c r="D1302" i="2"/>
  <c r="F1302" i="2"/>
  <c r="G1302" i="2"/>
  <c r="Z1302" i="2"/>
  <c r="AA1302" i="2"/>
  <c r="AB1302" i="2"/>
  <c r="AC1302" i="2"/>
  <c r="AD1302" i="2"/>
  <c r="AE1302" i="2"/>
  <c r="AF1302" i="2"/>
  <c r="D1303" i="2"/>
  <c r="F1303" i="2"/>
  <c r="G1303" i="2"/>
  <c r="I1303" i="2"/>
  <c r="Z1303" i="2"/>
  <c r="AA1303" i="2"/>
  <c r="AB1303" i="2"/>
  <c r="AC1303" i="2"/>
  <c r="AD1303" i="2"/>
  <c r="AE1303" i="2"/>
  <c r="AF1303" i="2"/>
  <c r="D1304" i="2"/>
  <c r="F1304" i="2"/>
  <c r="G1304" i="2"/>
  <c r="I1304" i="2"/>
  <c r="Z1304" i="2"/>
  <c r="AA1304" i="2"/>
  <c r="AB1304" i="2"/>
  <c r="AC1304" i="2"/>
  <c r="AD1304" i="2"/>
  <c r="AE1304" i="2"/>
  <c r="AF1304" i="2"/>
  <c r="D1305" i="2"/>
  <c r="F1305" i="2"/>
  <c r="G1305" i="2"/>
  <c r="I1305" i="2"/>
  <c r="Z1305" i="2"/>
  <c r="AA1305" i="2"/>
  <c r="AB1305" i="2"/>
  <c r="AC1305" i="2"/>
  <c r="AD1305" i="2"/>
  <c r="AE1305" i="2"/>
  <c r="AF1305" i="2"/>
  <c r="D1306" i="2"/>
  <c r="F1306" i="2"/>
  <c r="G1306" i="2"/>
  <c r="Z1306" i="2"/>
  <c r="AA1306" i="2"/>
  <c r="AB1306" i="2"/>
  <c r="AC1306" i="2"/>
  <c r="AD1306" i="2"/>
  <c r="AE1306" i="2"/>
  <c r="AF1306" i="2"/>
  <c r="D1307" i="2"/>
  <c r="F1307" i="2"/>
  <c r="G1307" i="2"/>
  <c r="I1307" i="2"/>
  <c r="Z1307" i="2"/>
  <c r="AA1307" i="2"/>
  <c r="AB1307" i="2"/>
  <c r="AC1307" i="2"/>
  <c r="AD1307" i="2"/>
  <c r="AE1307" i="2"/>
  <c r="AF1307" i="2"/>
  <c r="D1308" i="2"/>
  <c r="F1308" i="2"/>
  <c r="G1308" i="2"/>
  <c r="I1308" i="2"/>
  <c r="Z1308" i="2"/>
  <c r="AA1308" i="2"/>
  <c r="AB1308" i="2"/>
  <c r="AC1308" i="2"/>
  <c r="AD1308" i="2"/>
  <c r="AE1308" i="2"/>
  <c r="AF1308" i="2"/>
  <c r="D1309" i="2"/>
  <c r="F1309" i="2"/>
  <c r="G1309" i="2"/>
  <c r="I1309" i="2"/>
  <c r="Z1309" i="2"/>
  <c r="AA1309" i="2"/>
  <c r="AB1309" i="2"/>
  <c r="AC1309" i="2"/>
  <c r="AD1309" i="2"/>
  <c r="AE1309" i="2"/>
  <c r="AF1309" i="2"/>
  <c r="D1310" i="2"/>
  <c r="F1310" i="2"/>
  <c r="G1310" i="2"/>
  <c r="Z1310" i="2"/>
  <c r="AA1310" i="2"/>
  <c r="AB1310" i="2"/>
  <c r="AC1310" i="2"/>
  <c r="AD1310" i="2"/>
  <c r="AE1310" i="2"/>
  <c r="AF1310" i="2"/>
  <c r="D1311" i="2"/>
  <c r="F1311" i="2"/>
  <c r="G1311" i="2"/>
  <c r="I1311" i="2"/>
  <c r="Z1311" i="2"/>
  <c r="AA1311" i="2"/>
  <c r="AB1311" i="2"/>
  <c r="AC1311" i="2"/>
  <c r="AD1311" i="2"/>
  <c r="AE1311" i="2"/>
  <c r="AF1311" i="2"/>
  <c r="D1312" i="2"/>
  <c r="F1312" i="2"/>
  <c r="G1312" i="2"/>
  <c r="I1312" i="2"/>
  <c r="Z1312" i="2"/>
  <c r="AA1312" i="2"/>
  <c r="AB1312" i="2"/>
  <c r="AC1312" i="2"/>
  <c r="AD1312" i="2"/>
  <c r="AE1312" i="2"/>
  <c r="AF1312" i="2"/>
  <c r="D1313" i="2"/>
  <c r="F1313" i="2"/>
  <c r="G1313" i="2"/>
  <c r="I1313" i="2"/>
  <c r="Z1313" i="2"/>
  <c r="AA1313" i="2"/>
  <c r="AB1313" i="2"/>
  <c r="AC1313" i="2"/>
  <c r="AD1313" i="2"/>
  <c r="AE1313" i="2"/>
  <c r="AF1313" i="2"/>
  <c r="D1314" i="2"/>
  <c r="F1314" i="2"/>
  <c r="G1314" i="2"/>
  <c r="Z1314" i="2"/>
  <c r="AA1314" i="2"/>
  <c r="AB1314" i="2"/>
  <c r="AC1314" i="2"/>
  <c r="AD1314" i="2"/>
  <c r="AE1314" i="2"/>
  <c r="AF1314" i="2"/>
  <c r="D1315" i="2"/>
  <c r="F1315" i="2"/>
  <c r="G1315" i="2"/>
  <c r="I1315" i="2"/>
  <c r="Z1315" i="2"/>
  <c r="AA1315" i="2"/>
  <c r="AB1315" i="2"/>
  <c r="AC1315" i="2"/>
  <c r="AD1315" i="2"/>
  <c r="AE1315" i="2"/>
  <c r="AF1315" i="2"/>
  <c r="D1316" i="2"/>
  <c r="F1316" i="2"/>
  <c r="G1316" i="2"/>
  <c r="I1316" i="2"/>
  <c r="Z1316" i="2"/>
  <c r="AA1316" i="2"/>
  <c r="AB1316" i="2"/>
  <c r="AC1316" i="2"/>
  <c r="AD1316" i="2"/>
  <c r="AE1316" i="2"/>
  <c r="AF1316" i="2"/>
  <c r="D1317" i="2"/>
  <c r="F1317" i="2"/>
  <c r="G1317" i="2"/>
  <c r="I1317" i="2"/>
  <c r="Z1317" i="2"/>
  <c r="AA1317" i="2"/>
  <c r="AB1317" i="2"/>
  <c r="AC1317" i="2"/>
  <c r="AD1317" i="2"/>
  <c r="AE1317" i="2"/>
  <c r="AF1317" i="2"/>
  <c r="D1318" i="2"/>
  <c r="F1318" i="2"/>
  <c r="G1318" i="2"/>
  <c r="Z1318" i="2"/>
  <c r="AA1318" i="2"/>
  <c r="AB1318" i="2"/>
  <c r="AC1318" i="2"/>
  <c r="AD1318" i="2"/>
  <c r="AE1318" i="2"/>
  <c r="AF1318" i="2"/>
  <c r="D1319" i="2"/>
  <c r="F1319" i="2"/>
  <c r="G1319" i="2"/>
  <c r="I1319" i="2"/>
  <c r="Z1319" i="2"/>
  <c r="AA1319" i="2"/>
  <c r="AB1319" i="2"/>
  <c r="AC1319" i="2"/>
  <c r="AD1319" i="2"/>
  <c r="AE1319" i="2"/>
  <c r="AF1319" i="2"/>
  <c r="D1320" i="2"/>
  <c r="F1320" i="2"/>
  <c r="G1320" i="2"/>
  <c r="I1320" i="2"/>
  <c r="Z1320" i="2"/>
  <c r="AA1320" i="2"/>
  <c r="AB1320" i="2"/>
  <c r="AC1320" i="2"/>
  <c r="AD1320" i="2"/>
  <c r="AE1320" i="2"/>
  <c r="AF1320" i="2"/>
  <c r="D1321" i="2"/>
  <c r="F1321" i="2"/>
  <c r="G1321" i="2"/>
  <c r="I1321" i="2"/>
  <c r="Z1321" i="2"/>
  <c r="AA1321" i="2"/>
  <c r="AB1321" i="2"/>
  <c r="AC1321" i="2"/>
  <c r="AD1321" i="2"/>
  <c r="AE1321" i="2"/>
  <c r="AF1321" i="2"/>
  <c r="D1322" i="2"/>
  <c r="F1322" i="2"/>
  <c r="G1322" i="2"/>
  <c r="Z1322" i="2"/>
  <c r="AA1322" i="2"/>
  <c r="AB1322" i="2"/>
  <c r="AC1322" i="2"/>
  <c r="AD1322" i="2"/>
  <c r="AE1322" i="2"/>
  <c r="AF1322" i="2"/>
  <c r="D1323" i="2"/>
  <c r="F1323" i="2"/>
  <c r="G1323" i="2"/>
  <c r="I1323" i="2"/>
  <c r="Z1323" i="2"/>
  <c r="AA1323" i="2"/>
  <c r="AB1323" i="2"/>
  <c r="AC1323" i="2"/>
  <c r="AD1323" i="2"/>
  <c r="AE1323" i="2"/>
  <c r="AF1323" i="2"/>
  <c r="D1324" i="2"/>
  <c r="F1324" i="2"/>
  <c r="G1324" i="2"/>
  <c r="I1324" i="2"/>
  <c r="Z1324" i="2"/>
  <c r="AA1324" i="2"/>
  <c r="AB1324" i="2"/>
  <c r="AC1324" i="2"/>
  <c r="AD1324" i="2"/>
  <c r="AE1324" i="2"/>
  <c r="AF1324" i="2"/>
  <c r="D1325" i="2"/>
  <c r="F1325" i="2"/>
  <c r="G1325" i="2"/>
  <c r="I1325" i="2"/>
  <c r="Z1325" i="2"/>
  <c r="AA1325" i="2"/>
  <c r="AB1325" i="2"/>
  <c r="AC1325" i="2"/>
  <c r="AD1325" i="2"/>
  <c r="AE1325" i="2"/>
  <c r="AF1325" i="2"/>
  <c r="D1326" i="2"/>
  <c r="F1326" i="2"/>
  <c r="G1326" i="2"/>
  <c r="Z1326" i="2"/>
  <c r="AA1326" i="2"/>
  <c r="AB1326" i="2"/>
  <c r="AC1326" i="2"/>
  <c r="AD1326" i="2"/>
  <c r="AE1326" i="2"/>
  <c r="AF1326" i="2"/>
  <c r="D1327" i="2"/>
  <c r="F1327" i="2"/>
  <c r="G1327" i="2"/>
  <c r="I1327" i="2"/>
  <c r="Z1327" i="2"/>
  <c r="AA1327" i="2"/>
  <c r="AB1327" i="2"/>
  <c r="AC1327" i="2"/>
  <c r="AD1327" i="2"/>
  <c r="AE1327" i="2"/>
  <c r="AF1327" i="2"/>
  <c r="D1328" i="2"/>
  <c r="F1328" i="2"/>
  <c r="G1328" i="2"/>
  <c r="I1328" i="2"/>
  <c r="Z1328" i="2"/>
  <c r="AA1328" i="2"/>
  <c r="AB1328" i="2"/>
  <c r="AC1328" i="2"/>
  <c r="AD1328" i="2"/>
  <c r="AE1328" i="2"/>
  <c r="AF1328" i="2"/>
  <c r="D1329" i="2"/>
  <c r="F1329" i="2"/>
  <c r="G1329" i="2"/>
  <c r="I1329" i="2"/>
  <c r="Z1329" i="2"/>
  <c r="AA1329" i="2"/>
  <c r="AB1329" i="2"/>
  <c r="AC1329" i="2"/>
  <c r="AD1329" i="2"/>
  <c r="AE1329" i="2"/>
  <c r="AF1329" i="2"/>
  <c r="D1330" i="2"/>
  <c r="F1330" i="2"/>
  <c r="G1330" i="2"/>
  <c r="Z1330" i="2"/>
  <c r="AA1330" i="2"/>
  <c r="AB1330" i="2"/>
  <c r="AC1330" i="2"/>
  <c r="AD1330" i="2"/>
  <c r="AE1330" i="2"/>
  <c r="AF1330" i="2"/>
  <c r="D1331" i="2"/>
  <c r="F1331" i="2"/>
  <c r="G1331" i="2"/>
  <c r="I1331" i="2"/>
  <c r="Z1331" i="2"/>
  <c r="AA1331" i="2"/>
  <c r="AB1331" i="2"/>
  <c r="AC1331" i="2"/>
  <c r="AD1331" i="2"/>
  <c r="AE1331" i="2"/>
  <c r="AF1331" i="2"/>
  <c r="D1332" i="2"/>
  <c r="F1332" i="2"/>
  <c r="G1332" i="2"/>
  <c r="I1332" i="2"/>
  <c r="Z1332" i="2"/>
  <c r="AA1332" i="2"/>
  <c r="AB1332" i="2"/>
  <c r="AC1332" i="2"/>
  <c r="AD1332" i="2"/>
  <c r="AE1332" i="2"/>
  <c r="AF1332" i="2"/>
  <c r="D1333" i="2"/>
  <c r="F1333" i="2"/>
  <c r="G1333" i="2"/>
  <c r="I1333" i="2"/>
  <c r="Z1333" i="2"/>
  <c r="AA1333" i="2"/>
  <c r="AB1333" i="2"/>
  <c r="AC1333" i="2"/>
  <c r="AD1333" i="2"/>
  <c r="AE1333" i="2"/>
  <c r="AF1333" i="2"/>
  <c r="D1334" i="2"/>
  <c r="F1334" i="2"/>
  <c r="G1334" i="2"/>
  <c r="Z1334" i="2"/>
  <c r="AA1334" i="2"/>
  <c r="AB1334" i="2"/>
  <c r="AC1334" i="2"/>
  <c r="AD1334" i="2"/>
  <c r="AE1334" i="2"/>
  <c r="AF1334" i="2"/>
  <c r="D1335" i="2"/>
  <c r="F1335" i="2"/>
  <c r="G1335" i="2"/>
  <c r="I1335" i="2"/>
  <c r="Z1335" i="2"/>
  <c r="AA1335" i="2"/>
  <c r="AB1335" i="2"/>
  <c r="AC1335" i="2"/>
  <c r="AD1335" i="2"/>
  <c r="AE1335" i="2"/>
  <c r="AF1335" i="2"/>
  <c r="D1336" i="2"/>
  <c r="F1336" i="2"/>
  <c r="G1336" i="2"/>
  <c r="I1336" i="2"/>
  <c r="Z1336" i="2"/>
  <c r="AA1336" i="2"/>
  <c r="AB1336" i="2"/>
  <c r="AC1336" i="2"/>
  <c r="AD1336" i="2"/>
  <c r="AE1336" i="2"/>
  <c r="AF1336" i="2"/>
  <c r="D1337" i="2"/>
  <c r="F1337" i="2"/>
  <c r="G1337" i="2"/>
  <c r="I1337" i="2"/>
  <c r="Z1337" i="2"/>
  <c r="AA1337" i="2"/>
  <c r="AB1337" i="2"/>
  <c r="AC1337" i="2"/>
  <c r="AD1337" i="2"/>
  <c r="AE1337" i="2"/>
  <c r="AF1337" i="2"/>
  <c r="D1338" i="2"/>
  <c r="F1338" i="2"/>
  <c r="G1338" i="2"/>
  <c r="Z1338" i="2"/>
  <c r="AA1338" i="2"/>
  <c r="AB1338" i="2"/>
  <c r="AC1338" i="2"/>
  <c r="AD1338" i="2"/>
  <c r="AE1338" i="2"/>
  <c r="AF1338" i="2"/>
  <c r="D1339" i="2"/>
  <c r="F1339" i="2"/>
  <c r="G1339" i="2"/>
  <c r="I1339" i="2"/>
  <c r="Z1339" i="2"/>
  <c r="AA1339" i="2"/>
  <c r="AB1339" i="2"/>
  <c r="AC1339" i="2"/>
  <c r="AD1339" i="2"/>
  <c r="AE1339" i="2"/>
  <c r="AF1339" i="2"/>
  <c r="D1340" i="2"/>
  <c r="F1340" i="2"/>
  <c r="G1340" i="2"/>
  <c r="I1340" i="2"/>
  <c r="Z1340" i="2"/>
  <c r="AA1340" i="2"/>
  <c r="AB1340" i="2"/>
  <c r="AC1340" i="2"/>
  <c r="AD1340" i="2"/>
  <c r="AE1340" i="2"/>
  <c r="AF1340" i="2"/>
  <c r="D1341" i="2"/>
  <c r="F1341" i="2"/>
  <c r="G1341" i="2"/>
  <c r="I1341" i="2"/>
  <c r="Z1341" i="2"/>
  <c r="AA1341" i="2"/>
  <c r="AB1341" i="2"/>
  <c r="AC1341" i="2"/>
  <c r="AD1341" i="2"/>
  <c r="AE1341" i="2"/>
  <c r="AF1341" i="2"/>
  <c r="D1342" i="2"/>
  <c r="F1342" i="2"/>
  <c r="G1342" i="2"/>
  <c r="Z1342" i="2"/>
  <c r="AA1342" i="2"/>
  <c r="AB1342" i="2"/>
  <c r="AC1342" i="2"/>
  <c r="AD1342" i="2"/>
  <c r="AE1342" i="2"/>
  <c r="AF1342" i="2"/>
  <c r="D1343" i="2"/>
  <c r="F1343" i="2"/>
  <c r="G1343" i="2"/>
  <c r="I1343" i="2"/>
  <c r="Z1343" i="2"/>
  <c r="AA1343" i="2"/>
  <c r="AB1343" i="2"/>
  <c r="AC1343" i="2"/>
  <c r="AD1343" i="2"/>
  <c r="AE1343" i="2"/>
  <c r="AF1343" i="2"/>
  <c r="D1344" i="2"/>
  <c r="F1344" i="2"/>
  <c r="G1344" i="2"/>
  <c r="I1344" i="2"/>
  <c r="Z1344" i="2"/>
  <c r="AA1344" i="2"/>
  <c r="AB1344" i="2"/>
  <c r="AC1344" i="2"/>
  <c r="AD1344" i="2"/>
  <c r="AE1344" i="2"/>
  <c r="AF1344" i="2"/>
  <c r="D1345" i="2"/>
  <c r="F1345" i="2"/>
  <c r="G1345" i="2"/>
  <c r="I1345" i="2"/>
  <c r="Z1345" i="2"/>
  <c r="AA1345" i="2"/>
  <c r="AB1345" i="2"/>
  <c r="AC1345" i="2"/>
  <c r="AD1345" i="2"/>
  <c r="AE1345" i="2"/>
  <c r="AF1345" i="2"/>
  <c r="D1346" i="2"/>
  <c r="F1346" i="2"/>
  <c r="G1346" i="2"/>
  <c r="Z1346" i="2"/>
  <c r="AA1346" i="2"/>
  <c r="AB1346" i="2"/>
  <c r="AC1346" i="2"/>
  <c r="AD1346" i="2"/>
  <c r="AE1346" i="2"/>
  <c r="AF1346" i="2"/>
  <c r="D1347" i="2"/>
  <c r="F1347" i="2"/>
  <c r="G1347" i="2"/>
  <c r="I1347" i="2"/>
  <c r="Z1347" i="2"/>
  <c r="AA1347" i="2"/>
  <c r="AB1347" i="2"/>
  <c r="AC1347" i="2"/>
  <c r="AD1347" i="2"/>
  <c r="AE1347" i="2"/>
  <c r="AF1347" i="2"/>
  <c r="D1348" i="2"/>
  <c r="F1348" i="2"/>
  <c r="G1348" i="2"/>
  <c r="I1348" i="2"/>
  <c r="Z1348" i="2"/>
  <c r="AA1348" i="2"/>
  <c r="AB1348" i="2"/>
  <c r="AC1348" i="2"/>
  <c r="AD1348" i="2"/>
  <c r="AE1348" i="2"/>
  <c r="AF1348" i="2"/>
  <c r="D1349" i="2"/>
  <c r="F1349" i="2"/>
  <c r="G1349" i="2"/>
  <c r="I1349" i="2"/>
  <c r="Z1349" i="2"/>
  <c r="AA1349" i="2"/>
  <c r="AB1349" i="2"/>
  <c r="AC1349" i="2"/>
  <c r="AD1349" i="2"/>
  <c r="AE1349" i="2"/>
  <c r="AF1349" i="2"/>
  <c r="D1350" i="2"/>
  <c r="F1350" i="2"/>
  <c r="G1350" i="2"/>
  <c r="Z1350" i="2"/>
  <c r="AA1350" i="2"/>
  <c r="AB1350" i="2"/>
  <c r="AC1350" i="2"/>
  <c r="AD1350" i="2"/>
  <c r="AE1350" i="2"/>
  <c r="AF1350" i="2"/>
  <c r="D1351" i="2"/>
  <c r="F1351" i="2"/>
  <c r="G1351" i="2"/>
  <c r="I1351" i="2"/>
  <c r="Z1351" i="2"/>
  <c r="AA1351" i="2"/>
  <c r="AB1351" i="2"/>
  <c r="AC1351" i="2"/>
  <c r="AD1351" i="2"/>
  <c r="AE1351" i="2"/>
  <c r="AF1351" i="2"/>
  <c r="D1352" i="2"/>
  <c r="F1352" i="2"/>
  <c r="G1352" i="2"/>
  <c r="I1352" i="2"/>
  <c r="Z1352" i="2"/>
  <c r="AA1352" i="2"/>
  <c r="AB1352" i="2"/>
  <c r="AC1352" i="2"/>
  <c r="AD1352" i="2"/>
  <c r="AE1352" i="2"/>
  <c r="AF1352" i="2"/>
  <c r="D1353" i="2"/>
  <c r="F1353" i="2"/>
  <c r="G1353" i="2"/>
  <c r="I1353" i="2"/>
  <c r="Z1353" i="2"/>
  <c r="AA1353" i="2"/>
  <c r="AB1353" i="2"/>
  <c r="AC1353" i="2"/>
  <c r="AD1353" i="2"/>
  <c r="AE1353" i="2"/>
  <c r="AF1353" i="2"/>
  <c r="D1354" i="2"/>
  <c r="F1354" i="2"/>
  <c r="G1354" i="2"/>
  <c r="Z1354" i="2"/>
  <c r="AA1354" i="2"/>
  <c r="AB1354" i="2"/>
  <c r="AC1354" i="2"/>
  <c r="AD1354" i="2"/>
  <c r="AE1354" i="2"/>
  <c r="AF1354" i="2"/>
  <c r="D1355" i="2"/>
  <c r="F1355" i="2"/>
  <c r="G1355" i="2"/>
  <c r="I1355" i="2"/>
  <c r="Z1355" i="2"/>
  <c r="AA1355" i="2"/>
  <c r="AB1355" i="2"/>
  <c r="AC1355" i="2"/>
  <c r="AD1355" i="2"/>
  <c r="AE1355" i="2"/>
  <c r="AF1355" i="2"/>
  <c r="D1356" i="2"/>
  <c r="F1356" i="2"/>
  <c r="G1356" i="2"/>
  <c r="I1356" i="2"/>
  <c r="Z1356" i="2"/>
  <c r="AA1356" i="2"/>
  <c r="AB1356" i="2"/>
  <c r="AC1356" i="2"/>
  <c r="AD1356" i="2"/>
  <c r="AE1356" i="2"/>
  <c r="AF1356" i="2"/>
  <c r="D1357" i="2"/>
  <c r="F1357" i="2"/>
  <c r="G1357" i="2"/>
  <c r="I1357" i="2"/>
  <c r="Z1357" i="2"/>
  <c r="AA1357" i="2"/>
  <c r="AB1357" i="2"/>
  <c r="AC1357" i="2"/>
  <c r="AD1357" i="2"/>
  <c r="AE1357" i="2"/>
  <c r="AF1357" i="2"/>
  <c r="D1358" i="2"/>
  <c r="F1358" i="2"/>
  <c r="G1358" i="2"/>
  <c r="Z1358" i="2"/>
  <c r="AA1358" i="2"/>
  <c r="AB1358" i="2"/>
  <c r="AC1358" i="2"/>
  <c r="AD1358" i="2"/>
  <c r="AE1358" i="2"/>
  <c r="AF1358" i="2"/>
  <c r="D1359" i="2"/>
  <c r="F1359" i="2"/>
  <c r="G1359" i="2"/>
  <c r="I1359" i="2"/>
  <c r="Z1359" i="2"/>
  <c r="AA1359" i="2"/>
  <c r="AB1359" i="2"/>
  <c r="AC1359" i="2"/>
  <c r="AD1359" i="2"/>
  <c r="AE1359" i="2"/>
  <c r="AF1359" i="2"/>
  <c r="D1360" i="2"/>
  <c r="F1360" i="2"/>
  <c r="G1360" i="2"/>
  <c r="I1360" i="2"/>
  <c r="Z1360" i="2"/>
  <c r="AA1360" i="2"/>
  <c r="AB1360" i="2"/>
  <c r="AC1360" i="2"/>
  <c r="AD1360" i="2"/>
  <c r="AE1360" i="2"/>
  <c r="AF1360" i="2"/>
  <c r="D1361" i="2"/>
  <c r="F1361" i="2"/>
  <c r="G1361" i="2"/>
  <c r="I1361" i="2"/>
  <c r="Z1361" i="2"/>
  <c r="AA1361" i="2"/>
  <c r="AB1361" i="2"/>
  <c r="AC1361" i="2"/>
  <c r="AD1361" i="2"/>
  <c r="AE1361" i="2"/>
  <c r="AF1361" i="2"/>
  <c r="D1362" i="2"/>
  <c r="F1362" i="2"/>
  <c r="G1362" i="2"/>
  <c r="Z1362" i="2"/>
  <c r="AA1362" i="2"/>
  <c r="AB1362" i="2"/>
  <c r="AC1362" i="2"/>
  <c r="AD1362" i="2"/>
  <c r="AE1362" i="2"/>
  <c r="AF1362" i="2"/>
  <c r="D1363" i="2"/>
  <c r="F1363" i="2"/>
  <c r="G1363" i="2"/>
  <c r="I1363" i="2"/>
  <c r="Z1363" i="2"/>
  <c r="AA1363" i="2"/>
  <c r="AB1363" i="2"/>
  <c r="AC1363" i="2"/>
  <c r="AD1363" i="2"/>
  <c r="AE1363" i="2"/>
  <c r="AF1363" i="2"/>
  <c r="D1364" i="2"/>
  <c r="F1364" i="2"/>
  <c r="G1364" i="2"/>
  <c r="I1364" i="2"/>
  <c r="Z1364" i="2"/>
  <c r="AA1364" i="2"/>
  <c r="AB1364" i="2"/>
  <c r="AC1364" i="2"/>
  <c r="AD1364" i="2"/>
  <c r="AE1364" i="2"/>
  <c r="AF1364" i="2"/>
  <c r="D1365" i="2"/>
  <c r="F1365" i="2"/>
  <c r="G1365" i="2"/>
  <c r="I1365" i="2"/>
  <c r="Z1365" i="2"/>
  <c r="AA1365" i="2"/>
  <c r="AB1365" i="2"/>
  <c r="AC1365" i="2"/>
  <c r="AD1365" i="2"/>
  <c r="AE1365" i="2"/>
  <c r="AF1365" i="2"/>
  <c r="D1366" i="2"/>
  <c r="F1366" i="2"/>
  <c r="G1366" i="2"/>
  <c r="Z1366" i="2"/>
  <c r="AA1366" i="2"/>
  <c r="AB1366" i="2"/>
  <c r="AC1366" i="2"/>
  <c r="AD1366" i="2"/>
  <c r="AE1366" i="2"/>
  <c r="AF1366" i="2"/>
  <c r="D1367" i="2"/>
  <c r="F1367" i="2"/>
  <c r="G1367" i="2"/>
  <c r="I1367" i="2"/>
  <c r="Z1367" i="2"/>
  <c r="AA1367" i="2"/>
  <c r="AB1367" i="2"/>
  <c r="AC1367" i="2"/>
  <c r="AD1367" i="2"/>
  <c r="AE1367" i="2"/>
  <c r="AF1367" i="2"/>
  <c r="D1368" i="2"/>
  <c r="F1368" i="2"/>
  <c r="G1368" i="2"/>
  <c r="I1368" i="2"/>
  <c r="Z1368" i="2"/>
  <c r="AA1368" i="2"/>
  <c r="AB1368" i="2"/>
  <c r="AC1368" i="2"/>
  <c r="AD1368" i="2"/>
  <c r="AE1368" i="2"/>
  <c r="AF1368" i="2"/>
  <c r="C1369" i="2"/>
  <c r="D1369" i="2"/>
  <c r="F1369" i="2"/>
  <c r="G1369" i="2"/>
  <c r="Z1369" i="2"/>
  <c r="AA1369" i="2"/>
  <c r="AB1369" i="2"/>
  <c r="AC1369" i="2"/>
  <c r="AD1369" i="2"/>
  <c r="AE1369" i="2"/>
  <c r="AF1369" i="2"/>
  <c r="D1370" i="2"/>
  <c r="F1370" i="2"/>
  <c r="G1370" i="2"/>
  <c r="I1370" i="2"/>
  <c r="Z1370" i="2"/>
  <c r="AA1370" i="2"/>
  <c r="AB1370" i="2"/>
  <c r="AC1370" i="2"/>
  <c r="AD1370" i="2"/>
  <c r="AE1370" i="2"/>
  <c r="AF1370" i="2"/>
  <c r="D1371" i="2"/>
  <c r="F1371" i="2"/>
  <c r="G1371" i="2"/>
  <c r="I1371" i="2"/>
  <c r="Z1371" i="2"/>
  <c r="AA1371" i="2"/>
  <c r="AB1371" i="2"/>
  <c r="AC1371" i="2"/>
  <c r="AD1371" i="2"/>
  <c r="AE1371" i="2"/>
  <c r="AF1371" i="2"/>
  <c r="D1372" i="2"/>
  <c r="F1372" i="2"/>
  <c r="G1372" i="2"/>
  <c r="I1372" i="2"/>
  <c r="Z1372" i="2"/>
  <c r="AA1372" i="2"/>
  <c r="AB1372" i="2"/>
  <c r="AC1372" i="2"/>
  <c r="AD1372" i="2"/>
  <c r="AE1372" i="2"/>
  <c r="AF1372" i="2"/>
  <c r="D1373" i="2"/>
  <c r="F1373" i="2"/>
  <c r="G1373" i="2"/>
  <c r="Z1373" i="2"/>
  <c r="AA1373" i="2"/>
  <c r="AB1373" i="2"/>
  <c r="AC1373" i="2"/>
  <c r="AD1373" i="2"/>
  <c r="AE1373" i="2"/>
  <c r="AF1373" i="2"/>
  <c r="D1374" i="2"/>
  <c r="F1374" i="2"/>
  <c r="G1374" i="2"/>
  <c r="I1374" i="2"/>
  <c r="Z1374" i="2"/>
  <c r="AA1374" i="2"/>
  <c r="AB1374" i="2"/>
  <c r="AC1374" i="2"/>
  <c r="AD1374" i="2"/>
  <c r="AE1374" i="2"/>
  <c r="AF1374" i="2"/>
  <c r="D1375" i="2"/>
  <c r="F1375" i="2"/>
  <c r="G1375" i="2"/>
  <c r="I1375" i="2"/>
  <c r="Z1375" i="2"/>
  <c r="AA1375" i="2"/>
  <c r="AB1375" i="2"/>
  <c r="AC1375" i="2"/>
  <c r="AD1375" i="2"/>
  <c r="AE1375" i="2"/>
  <c r="AF1375" i="2"/>
  <c r="D1376" i="2"/>
  <c r="F1376" i="2"/>
  <c r="G1376" i="2"/>
  <c r="I1376" i="2"/>
  <c r="Z1376" i="2"/>
  <c r="AA1376" i="2"/>
  <c r="AB1376" i="2"/>
  <c r="AC1376" i="2"/>
  <c r="AD1376" i="2"/>
  <c r="AE1376" i="2"/>
  <c r="AF1376" i="2"/>
  <c r="D1377" i="2"/>
  <c r="F1377" i="2"/>
  <c r="G1377" i="2"/>
  <c r="Z1377" i="2"/>
  <c r="AA1377" i="2"/>
  <c r="AB1377" i="2"/>
  <c r="AC1377" i="2"/>
  <c r="AD1377" i="2"/>
  <c r="AE1377" i="2"/>
  <c r="AF1377" i="2"/>
  <c r="D1378" i="2"/>
  <c r="F1378" i="2"/>
  <c r="G1378" i="2"/>
  <c r="Z1378" i="2"/>
  <c r="AA1378" i="2"/>
  <c r="AB1378" i="2"/>
  <c r="AC1378" i="2"/>
  <c r="AD1378" i="2"/>
  <c r="AE1378" i="2"/>
  <c r="AF1378" i="2"/>
  <c r="D1379" i="2"/>
  <c r="F1379" i="2"/>
  <c r="G1379" i="2"/>
  <c r="I1379" i="2"/>
  <c r="Z1379" i="2"/>
  <c r="AA1379" i="2"/>
  <c r="AB1379" i="2"/>
  <c r="AC1379" i="2"/>
  <c r="AD1379" i="2"/>
  <c r="AE1379" i="2"/>
  <c r="AF1379" i="2"/>
  <c r="D1380" i="2"/>
  <c r="F1380" i="2"/>
  <c r="G1380" i="2"/>
  <c r="I1380" i="2"/>
  <c r="Z1380" i="2"/>
  <c r="AA1380" i="2"/>
  <c r="AB1380" i="2"/>
  <c r="AC1380" i="2"/>
  <c r="AD1380" i="2"/>
  <c r="AE1380" i="2"/>
  <c r="AF1380" i="2"/>
  <c r="D1381" i="2"/>
  <c r="F1381" i="2"/>
  <c r="G1381" i="2"/>
  <c r="Z1381" i="2"/>
  <c r="AA1381" i="2"/>
  <c r="AB1381" i="2"/>
  <c r="AC1381" i="2"/>
  <c r="AD1381" i="2"/>
  <c r="AE1381" i="2"/>
  <c r="AF1381" i="2"/>
  <c r="D1382" i="2"/>
  <c r="F1382" i="2"/>
  <c r="G1382" i="2"/>
  <c r="I1382" i="2"/>
  <c r="Z1382" i="2"/>
  <c r="AA1382" i="2"/>
  <c r="AB1382" i="2"/>
  <c r="AC1382" i="2"/>
  <c r="AD1382" i="2"/>
  <c r="AE1382" i="2"/>
  <c r="AF1382" i="2"/>
  <c r="D1383" i="2"/>
  <c r="F1383" i="2"/>
  <c r="G1383" i="2"/>
  <c r="I1383" i="2"/>
  <c r="Z1383" i="2"/>
  <c r="AA1383" i="2"/>
  <c r="AB1383" i="2"/>
  <c r="AC1383" i="2"/>
  <c r="AD1383" i="2"/>
  <c r="AE1383" i="2"/>
  <c r="AF1383" i="2"/>
  <c r="D1384" i="2"/>
  <c r="F1384" i="2"/>
  <c r="G1384" i="2"/>
  <c r="I1384" i="2"/>
  <c r="Z1384" i="2"/>
  <c r="AA1384" i="2"/>
  <c r="AB1384" i="2"/>
  <c r="AC1384" i="2"/>
  <c r="AD1384" i="2"/>
  <c r="AE1384" i="2"/>
  <c r="AF1384" i="2"/>
  <c r="D1385" i="2"/>
  <c r="F1385" i="2"/>
  <c r="G1385" i="2"/>
  <c r="Z1385" i="2"/>
  <c r="AA1385" i="2"/>
  <c r="AB1385" i="2"/>
  <c r="AC1385" i="2"/>
  <c r="AD1385" i="2"/>
  <c r="AE1385" i="2"/>
  <c r="AF1385" i="2"/>
  <c r="D1386" i="2"/>
  <c r="F1386" i="2"/>
  <c r="G1386" i="2"/>
  <c r="I1386" i="2"/>
  <c r="Z1386" i="2"/>
  <c r="AA1386" i="2"/>
  <c r="AB1386" i="2"/>
  <c r="AC1386" i="2"/>
  <c r="AD1386" i="2"/>
  <c r="AE1386" i="2"/>
  <c r="AF1386" i="2"/>
  <c r="D1387" i="2"/>
  <c r="F1387" i="2"/>
  <c r="G1387" i="2"/>
  <c r="I1387" i="2"/>
  <c r="Z1387" i="2"/>
  <c r="AA1387" i="2"/>
  <c r="AB1387" i="2"/>
  <c r="AC1387" i="2"/>
  <c r="AD1387" i="2"/>
  <c r="AE1387" i="2"/>
  <c r="AF1387" i="2"/>
  <c r="D1388" i="2"/>
  <c r="F1388" i="2"/>
  <c r="G1388" i="2"/>
  <c r="I1388" i="2"/>
  <c r="Z1388" i="2"/>
  <c r="AA1388" i="2"/>
  <c r="AB1388" i="2"/>
  <c r="AC1388" i="2"/>
  <c r="AD1388" i="2"/>
  <c r="AE1388" i="2"/>
  <c r="AF1388" i="2"/>
  <c r="D1389" i="2"/>
  <c r="F1389" i="2"/>
  <c r="G1389" i="2"/>
  <c r="Z1389" i="2"/>
  <c r="AA1389" i="2"/>
  <c r="AB1389" i="2"/>
  <c r="AC1389" i="2"/>
  <c r="AD1389" i="2"/>
  <c r="AE1389" i="2"/>
  <c r="AF1389" i="2"/>
  <c r="D1390" i="2"/>
  <c r="F1390" i="2"/>
  <c r="G1390" i="2"/>
  <c r="I1390" i="2"/>
  <c r="Z1390" i="2"/>
  <c r="AA1390" i="2"/>
  <c r="AB1390" i="2"/>
  <c r="AC1390" i="2"/>
  <c r="AD1390" i="2"/>
  <c r="AE1390" i="2"/>
  <c r="AF1390" i="2"/>
  <c r="D1391" i="2"/>
  <c r="F1391" i="2"/>
  <c r="G1391" i="2"/>
  <c r="I1391" i="2"/>
  <c r="Z1391" i="2"/>
  <c r="AA1391" i="2"/>
  <c r="AB1391" i="2"/>
  <c r="AC1391" i="2"/>
  <c r="AD1391" i="2"/>
  <c r="AE1391" i="2"/>
  <c r="AF1391" i="2"/>
  <c r="D1392" i="2"/>
  <c r="F1392" i="2"/>
  <c r="G1392" i="2"/>
  <c r="I1392" i="2"/>
  <c r="Z1392" i="2"/>
  <c r="AA1392" i="2"/>
  <c r="AB1392" i="2"/>
  <c r="AC1392" i="2"/>
  <c r="AD1392" i="2"/>
  <c r="AE1392" i="2"/>
  <c r="AF1392" i="2"/>
  <c r="D1393" i="2"/>
  <c r="F1393" i="2"/>
  <c r="G1393" i="2"/>
  <c r="Z1393" i="2"/>
  <c r="AA1393" i="2"/>
  <c r="AB1393" i="2"/>
  <c r="AC1393" i="2"/>
  <c r="AD1393" i="2"/>
  <c r="AE1393" i="2"/>
  <c r="AF1393" i="2"/>
  <c r="D1394" i="2"/>
  <c r="F1394" i="2"/>
  <c r="G1394" i="2"/>
  <c r="I1394" i="2"/>
  <c r="Z1394" i="2"/>
  <c r="AA1394" i="2"/>
  <c r="AB1394" i="2"/>
  <c r="AC1394" i="2"/>
  <c r="AD1394" i="2"/>
  <c r="AE1394" i="2"/>
  <c r="AF1394" i="2"/>
  <c r="D1395" i="2"/>
  <c r="F1395" i="2"/>
  <c r="G1395" i="2"/>
  <c r="I1395" i="2"/>
  <c r="Z1395" i="2"/>
  <c r="AA1395" i="2"/>
  <c r="AB1395" i="2"/>
  <c r="AC1395" i="2"/>
  <c r="AD1395" i="2"/>
  <c r="AE1395" i="2"/>
  <c r="AF1395" i="2"/>
  <c r="D1396" i="2"/>
  <c r="F1396" i="2"/>
  <c r="G1396" i="2"/>
  <c r="I1396" i="2"/>
  <c r="Z1396" i="2"/>
  <c r="AA1396" i="2"/>
  <c r="AB1396" i="2"/>
  <c r="AC1396" i="2"/>
  <c r="AD1396" i="2"/>
  <c r="AE1396" i="2"/>
  <c r="AF1396" i="2"/>
  <c r="D1397" i="2"/>
  <c r="F1397" i="2"/>
  <c r="G1397" i="2"/>
  <c r="Z1397" i="2"/>
  <c r="AA1397" i="2"/>
  <c r="AB1397" i="2"/>
  <c r="AC1397" i="2"/>
  <c r="AD1397" i="2"/>
  <c r="AE1397" i="2"/>
  <c r="AF1397" i="2"/>
  <c r="D1398" i="2"/>
  <c r="F1398" i="2"/>
  <c r="G1398" i="2"/>
  <c r="I1398" i="2"/>
  <c r="Z1398" i="2"/>
  <c r="AA1398" i="2"/>
  <c r="AB1398" i="2"/>
  <c r="AC1398" i="2"/>
  <c r="AD1398" i="2"/>
  <c r="AE1398" i="2"/>
  <c r="AF1398" i="2"/>
  <c r="D1399" i="2"/>
  <c r="F1399" i="2"/>
  <c r="G1399" i="2"/>
  <c r="I1399" i="2"/>
  <c r="Z1399" i="2"/>
  <c r="AA1399" i="2"/>
  <c r="AB1399" i="2"/>
  <c r="AC1399" i="2"/>
  <c r="AD1399" i="2"/>
  <c r="AE1399" i="2"/>
  <c r="AF1399" i="2"/>
  <c r="D1400" i="2"/>
  <c r="F1400" i="2"/>
  <c r="G1400" i="2"/>
  <c r="I1400" i="2"/>
  <c r="Z1400" i="2"/>
  <c r="AA1400" i="2"/>
  <c r="AB1400" i="2"/>
  <c r="AC1400" i="2"/>
  <c r="AD1400" i="2"/>
  <c r="AE1400" i="2"/>
  <c r="AF1400" i="2"/>
  <c r="D1401" i="2"/>
  <c r="F1401" i="2"/>
  <c r="G1401" i="2"/>
  <c r="Z1401" i="2"/>
  <c r="AA1401" i="2"/>
  <c r="AB1401" i="2"/>
  <c r="AC1401" i="2"/>
  <c r="AD1401" i="2"/>
  <c r="AE1401" i="2"/>
  <c r="AF1401" i="2"/>
  <c r="D1402" i="2"/>
  <c r="F1402" i="2"/>
  <c r="G1402" i="2"/>
  <c r="I1402" i="2"/>
  <c r="Z1402" i="2"/>
  <c r="AA1402" i="2"/>
  <c r="AB1402" i="2"/>
  <c r="AC1402" i="2"/>
  <c r="AD1402" i="2"/>
  <c r="AE1402" i="2"/>
  <c r="AF1402" i="2"/>
  <c r="D1403" i="2"/>
  <c r="F1403" i="2"/>
  <c r="G1403" i="2"/>
  <c r="I1403" i="2"/>
  <c r="Z1403" i="2"/>
  <c r="AA1403" i="2"/>
  <c r="AB1403" i="2"/>
  <c r="AC1403" i="2"/>
  <c r="AD1403" i="2"/>
  <c r="AE1403" i="2"/>
  <c r="AF1403" i="2"/>
  <c r="D1404" i="2"/>
  <c r="F1404" i="2"/>
  <c r="G1404" i="2"/>
  <c r="I1404" i="2"/>
  <c r="Z1404" i="2"/>
  <c r="AA1404" i="2"/>
  <c r="AB1404" i="2"/>
  <c r="AC1404" i="2"/>
  <c r="AD1404" i="2"/>
  <c r="AE1404" i="2"/>
  <c r="AF1404" i="2"/>
  <c r="D1405" i="2"/>
  <c r="F1405" i="2"/>
  <c r="G1405" i="2"/>
  <c r="Z1405" i="2"/>
  <c r="AA1405" i="2"/>
  <c r="AB1405" i="2"/>
  <c r="AC1405" i="2"/>
  <c r="AD1405" i="2"/>
  <c r="AE1405" i="2"/>
  <c r="AF1405" i="2"/>
  <c r="D1406" i="2"/>
  <c r="F1406" i="2"/>
  <c r="G1406" i="2"/>
  <c r="I1406" i="2"/>
  <c r="Z1406" i="2"/>
  <c r="AA1406" i="2"/>
  <c r="AB1406" i="2"/>
  <c r="AC1406" i="2"/>
  <c r="AD1406" i="2"/>
  <c r="AE1406" i="2"/>
  <c r="AF1406" i="2"/>
  <c r="D1407" i="2"/>
  <c r="F1407" i="2"/>
  <c r="G1407" i="2"/>
  <c r="I1407" i="2"/>
  <c r="Z1407" i="2"/>
  <c r="AA1407" i="2"/>
  <c r="AB1407" i="2"/>
  <c r="AC1407" i="2"/>
  <c r="AD1407" i="2"/>
  <c r="AE1407" i="2"/>
  <c r="AF1407" i="2"/>
  <c r="D1408" i="2"/>
  <c r="F1408" i="2"/>
  <c r="G1408" i="2"/>
  <c r="I1408" i="2"/>
  <c r="Z1408" i="2"/>
  <c r="AA1408" i="2"/>
  <c r="AB1408" i="2"/>
  <c r="AC1408" i="2"/>
  <c r="AD1408" i="2"/>
  <c r="AE1408" i="2"/>
  <c r="AF1408" i="2"/>
  <c r="D1409" i="2"/>
  <c r="F1409" i="2"/>
  <c r="G1409" i="2"/>
  <c r="Z1409" i="2"/>
  <c r="AA1409" i="2"/>
  <c r="AB1409" i="2"/>
  <c r="AC1409" i="2"/>
  <c r="AD1409" i="2"/>
  <c r="AE1409" i="2"/>
  <c r="AF1409" i="2"/>
  <c r="D1410" i="2"/>
  <c r="F1410" i="2"/>
  <c r="G1410" i="2"/>
  <c r="I1410" i="2"/>
  <c r="Z1410" i="2"/>
  <c r="AA1410" i="2"/>
  <c r="AB1410" i="2"/>
  <c r="AC1410" i="2"/>
  <c r="AD1410" i="2"/>
  <c r="AE1410" i="2"/>
  <c r="AF1410" i="2"/>
  <c r="D1411" i="2"/>
  <c r="F1411" i="2"/>
  <c r="G1411" i="2"/>
  <c r="I1411" i="2"/>
  <c r="Z1411" i="2"/>
  <c r="AA1411" i="2"/>
  <c r="AB1411" i="2"/>
  <c r="AC1411" i="2"/>
  <c r="AD1411" i="2"/>
  <c r="AE1411" i="2"/>
  <c r="AF1411" i="2"/>
  <c r="D1412" i="2"/>
  <c r="F1412" i="2"/>
  <c r="G1412" i="2"/>
  <c r="I1412" i="2"/>
  <c r="Z1412" i="2"/>
  <c r="AA1412" i="2"/>
  <c r="AB1412" i="2"/>
  <c r="AC1412" i="2"/>
  <c r="AD1412" i="2"/>
  <c r="AE1412" i="2"/>
  <c r="AF1412" i="2"/>
  <c r="D1413" i="2"/>
  <c r="F1413" i="2"/>
  <c r="G1413" i="2"/>
  <c r="Z1413" i="2"/>
  <c r="AA1413" i="2"/>
  <c r="AB1413" i="2"/>
  <c r="AC1413" i="2"/>
  <c r="AD1413" i="2"/>
  <c r="AE1413" i="2"/>
  <c r="AF1413" i="2"/>
  <c r="D1414" i="2"/>
  <c r="F1414" i="2"/>
  <c r="G1414" i="2"/>
  <c r="I1414" i="2"/>
  <c r="Z1414" i="2"/>
  <c r="AA1414" i="2"/>
  <c r="AB1414" i="2"/>
  <c r="AC1414" i="2"/>
  <c r="AD1414" i="2"/>
  <c r="AE1414" i="2"/>
  <c r="AF1414" i="2"/>
  <c r="D1415" i="2"/>
  <c r="F1415" i="2"/>
  <c r="G1415" i="2"/>
  <c r="I1415" i="2"/>
  <c r="Z1415" i="2"/>
  <c r="AA1415" i="2"/>
  <c r="AB1415" i="2"/>
  <c r="AC1415" i="2"/>
  <c r="AD1415" i="2"/>
  <c r="AE1415" i="2"/>
  <c r="AF1415" i="2"/>
  <c r="D1416" i="2"/>
  <c r="F1416" i="2"/>
  <c r="G1416" i="2"/>
  <c r="I1416" i="2"/>
  <c r="Z1416" i="2"/>
  <c r="AA1416" i="2"/>
  <c r="AB1416" i="2"/>
  <c r="AC1416" i="2"/>
  <c r="AD1416" i="2"/>
  <c r="AE1416" i="2"/>
  <c r="AF1416" i="2"/>
  <c r="D1417" i="2"/>
  <c r="F1417" i="2"/>
  <c r="G1417" i="2"/>
  <c r="Z1417" i="2"/>
  <c r="AA1417" i="2"/>
  <c r="AB1417" i="2"/>
  <c r="AC1417" i="2"/>
  <c r="AD1417" i="2"/>
  <c r="AE1417" i="2"/>
  <c r="AF1417" i="2"/>
  <c r="D1418" i="2"/>
  <c r="F1418" i="2"/>
  <c r="G1418" i="2"/>
  <c r="I1418" i="2"/>
  <c r="Z1418" i="2"/>
  <c r="AA1418" i="2"/>
  <c r="AB1418" i="2"/>
  <c r="AC1418" i="2"/>
  <c r="AD1418" i="2"/>
  <c r="AE1418" i="2"/>
  <c r="AF1418" i="2"/>
  <c r="D1419" i="2"/>
  <c r="F1419" i="2"/>
  <c r="G1419" i="2"/>
  <c r="I1419" i="2"/>
  <c r="Z1419" i="2"/>
  <c r="AA1419" i="2"/>
  <c r="AB1419" i="2"/>
  <c r="AC1419" i="2"/>
  <c r="AD1419" i="2"/>
  <c r="AE1419" i="2"/>
  <c r="AF1419" i="2"/>
  <c r="D1420" i="2"/>
  <c r="F1420" i="2"/>
  <c r="G1420" i="2"/>
  <c r="I1420" i="2"/>
  <c r="Z1420" i="2"/>
  <c r="AA1420" i="2"/>
  <c r="AB1420" i="2"/>
  <c r="AC1420" i="2"/>
  <c r="AD1420" i="2"/>
  <c r="AE1420" i="2"/>
  <c r="AF1420" i="2"/>
  <c r="D1421" i="2"/>
  <c r="F1421" i="2"/>
  <c r="G1421" i="2"/>
  <c r="Z1421" i="2"/>
  <c r="AA1421" i="2"/>
  <c r="AB1421" i="2"/>
  <c r="AC1421" i="2"/>
  <c r="AD1421" i="2"/>
  <c r="AE1421" i="2"/>
  <c r="AF1421" i="2"/>
  <c r="D1422" i="2"/>
  <c r="F1422" i="2"/>
  <c r="G1422" i="2"/>
  <c r="I1422" i="2"/>
  <c r="Z1422" i="2"/>
  <c r="AA1422" i="2"/>
  <c r="AB1422" i="2"/>
  <c r="AC1422" i="2"/>
  <c r="AD1422" i="2"/>
  <c r="AE1422" i="2"/>
  <c r="AF1422" i="2"/>
  <c r="D1423" i="2"/>
  <c r="F1423" i="2"/>
  <c r="G1423" i="2"/>
  <c r="I1423" i="2"/>
  <c r="Z1423" i="2"/>
  <c r="AA1423" i="2"/>
  <c r="AB1423" i="2"/>
  <c r="AC1423" i="2"/>
  <c r="AD1423" i="2"/>
  <c r="AE1423" i="2"/>
  <c r="AF1423" i="2"/>
  <c r="D1424" i="2"/>
  <c r="F1424" i="2"/>
  <c r="G1424" i="2"/>
  <c r="I1424" i="2"/>
  <c r="Z1424" i="2"/>
  <c r="AA1424" i="2"/>
  <c r="AB1424" i="2"/>
  <c r="AC1424" i="2"/>
  <c r="AD1424" i="2"/>
  <c r="AE1424" i="2"/>
  <c r="AF1424" i="2"/>
  <c r="D1425" i="2"/>
  <c r="F1425" i="2"/>
  <c r="G1425" i="2"/>
  <c r="Z1425" i="2"/>
  <c r="AA1425" i="2"/>
  <c r="AB1425" i="2"/>
  <c r="AC1425" i="2"/>
  <c r="AD1425" i="2"/>
  <c r="AE1425" i="2"/>
  <c r="AF1425" i="2"/>
  <c r="D1426" i="2"/>
  <c r="F1426" i="2"/>
  <c r="G1426" i="2"/>
  <c r="I1426" i="2"/>
  <c r="Z1426" i="2"/>
  <c r="AA1426" i="2"/>
  <c r="AB1426" i="2"/>
  <c r="AC1426" i="2"/>
  <c r="AD1426" i="2"/>
  <c r="AE1426" i="2"/>
  <c r="AF1426" i="2"/>
  <c r="D1427" i="2"/>
  <c r="F1427" i="2"/>
  <c r="G1427" i="2"/>
  <c r="I1427" i="2"/>
  <c r="Z1427" i="2"/>
  <c r="AA1427" i="2"/>
  <c r="AB1427" i="2"/>
  <c r="AC1427" i="2"/>
  <c r="AD1427" i="2"/>
  <c r="AE1427" i="2"/>
  <c r="AF1427" i="2"/>
  <c r="D1428" i="2"/>
  <c r="F1428" i="2"/>
  <c r="G1428" i="2"/>
  <c r="I1428" i="2"/>
  <c r="Z1428" i="2"/>
  <c r="AA1428" i="2"/>
  <c r="AB1428" i="2"/>
  <c r="AC1428" i="2"/>
  <c r="AD1428" i="2"/>
  <c r="AE1428" i="2"/>
  <c r="AF1428" i="2"/>
  <c r="D1429" i="2"/>
  <c r="F1429" i="2"/>
  <c r="G1429" i="2"/>
  <c r="Z1429" i="2"/>
  <c r="AA1429" i="2"/>
  <c r="AB1429" i="2"/>
  <c r="AC1429" i="2"/>
  <c r="AD1429" i="2"/>
  <c r="AE1429" i="2"/>
  <c r="AF1429" i="2"/>
  <c r="D1430" i="2"/>
  <c r="F1430" i="2"/>
  <c r="G1430" i="2"/>
  <c r="I1430" i="2"/>
  <c r="Z1430" i="2"/>
  <c r="AA1430" i="2"/>
  <c r="AB1430" i="2"/>
  <c r="AC1430" i="2"/>
  <c r="AD1430" i="2"/>
  <c r="AE1430" i="2"/>
  <c r="AF1430" i="2"/>
  <c r="D1431" i="2"/>
  <c r="F1431" i="2"/>
  <c r="G1431" i="2"/>
  <c r="I1431" i="2"/>
  <c r="Z1431" i="2"/>
  <c r="AA1431" i="2"/>
  <c r="AB1431" i="2"/>
  <c r="AC1431" i="2"/>
  <c r="AD1431" i="2"/>
  <c r="AE1431" i="2"/>
  <c r="AF1431" i="2"/>
  <c r="D1432" i="2"/>
  <c r="F1432" i="2"/>
  <c r="G1432" i="2"/>
  <c r="I1432" i="2"/>
  <c r="Z1432" i="2"/>
  <c r="AA1432" i="2"/>
  <c r="AB1432" i="2"/>
  <c r="AC1432" i="2"/>
  <c r="AD1432" i="2"/>
  <c r="AE1432" i="2"/>
  <c r="AF1432" i="2"/>
  <c r="D1433" i="2"/>
  <c r="F1433" i="2"/>
  <c r="G1433" i="2"/>
  <c r="Z1433" i="2"/>
  <c r="AA1433" i="2"/>
  <c r="AB1433" i="2"/>
  <c r="AC1433" i="2"/>
  <c r="AD1433" i="2"/>
  <c r="AE1433" i="2"/>
  <c r="AF1433" i="2"/>
  <c r="D1434" i="2"/>
  <c r="F1434" i="2"/>
  <c r="G1434" i="2"/>
  <c r="I1434" i="2"/>
  <c r="Z1434" i="2"/>
  <c r="AA1434" i="2"/>
  <c r="AB1434" i="2"/>
  <c r="AC1434" i="2"/>
  <c r="AD1434" i="2"/>
  <c r="AE1434" i="2"/>
  <c r="AF1434" i="2"/>
  <c r="D1435" i="2"/>
  <c r="F1435" i="2"/>
  <c r="G1435" i="2"/>
  <c r="I1435" i="2"/>
  <c r="Z1435" i="2"/>
  <c r="AA1435" i="2"/>
  <c r="AB1435" i="2"/>
  <c r="AC1435" i="2"/>
  <c r="AD1435" i="2"/>
  <c r="AE1435" i="2"/>
  <c r="AF1435" i="2"/>
  <c r="D1436" i="2"/>
  <c r="F1436" i="2"/>
  <c r="G1436" i="2"/>
  <c r="I1436" i="2"/>
  <c r="Z1436" i="2"/>
  <c r="AA1436" i="2"/>
  <c r="AB1436" i="2"/>
  <c r="AC1436" i="2"/>
  <c r="AD1436" i="2"/>
  <c r="AE1436" i="2"/>
  <c r="AF1436" i="2"/>
  <c r="D1437" i="2"/>
  <c r="F1437" i="2"/>
  <c r="G1437" i="2"/>
  <c r="Z1437" i="2"/>
  <c r="AA1437" i="2"/>
  <c r="AB1437" i="2"/>
  <c r="AC1437" i="2"/>
  <c r="AD1437" i="2"/>
  <c r="AE1437" i="2"/>
  <c r="AF1437" i="2"/>
  <c r="D1438" i="2"/>
  <c r="F1438" i="2"/>
  <c r="G1438" i="2"/>
  <c r="I1438" i="2"/>
  <c r="Z1438" i="2"/>
  <c r="AA1438" i="2"/>
  <c r="AB1438" i="2"/>
  <c r="AC1438" i="2"/>
  <c r="AD1438" i="2"/>
  <c r="AE1438" i="2"/>
  <c r="AF1438" i="2"/>
  <c r="D1439" i="2"/>
  <c r="F1439" i="2"/>
  <c r="G1439" i="2"/>
  <c r="I1439" i="2"/>
  <c r="Z1439" i="2"/>
  <c r="AA1439" i="2"/>
  <c r="AB1439" i="2"/>
  <c r="AC1439" i="2"/>
  <c r="AD1439" i="2"/>
  <c r="AE1439" i="2"/>
  <c r="AF1439" i="2"/>
  <c r="D1440" i="2"/>
  <c r="F1440" i="2"/>
  <c r="G1440" i="2"/>
  <c r="I1440" i="2"/>
  <c r="Z1440" i="2"/>
  <c r="AA1440" i="2"/>
  <c r="AB1440" i="2"/>
  <c r="AC1440" i="2"/>
  <c r="AD1440" i="2"/>
  <c r="AE1440" i="2"/>
  <c r="AF1440" i="2"/>
  <c r="D1441" i="2"/>
  <c r="F1441" i="2"/>
  <c r="G1441" i="2"/>
  <c r="Z1441" i="2"/>
  <c r="AA1441" i="2"/>
  <c r="AB1441" i="2"/>
  <c r="AC1441" i="2"/>
  <c r="AD1441" i="2"/>
  <c r="AE1441" i="2"/>
  <c r="AF1441" i="2"/>
  <c r="D1442" i="2"/>
  <c r="F1442" i="2"/>
  <c r="G1442" i="2"/>
  <c r="I1442" i="2"/>
  <c r="Z1442" i="2"/>
  <c r="AA1442" i="2"/>
  <c r="AB1442" i="2"/>
  <c r="AC1442" i="2"/>
  <c r="AD1442" i="2"/>
  <c r="AE1442" i="2"/>
  <c r="AF1442" i="2"/>
  <c r="D1443" i="2"/>
  <c r="F1443" i="2"/>
  <c r="G1443" i="2"/>
  <c r="I1443" i="2"/>
  <c r="Z1443" i="2"/>
  <c r="AA1443" i="2"/>
  <c r="AB1443" i="2"/>
  <c r="AC1443" i="2"/>
  <c r="AD1443" i="2"/>
  <c r="AE1443" i="2"/>
  <c r="AF1443" i="2"/>
  <c r="D1444" i="2"/>
  <c r="F1444" i="2"/>
  <c r="G1444" i="2"/>
  <c r="I1444" i="2"/>
  <c r="Z1444" i="2"/>
  <c r="AA1444" i="2"/>
  <c r="AB1444" i="2"/>
  <c r="AC1444" i="2"/>
  <c r="AD1444" i="2"/>
  <c r="AE1444" i="2"/>
  <c r="AF1444" i="2"/>
  <c r="D1445" i="2"/>
  <c r="F1445" i="2"/>
  <c r="G1445" i="2"/>
  <c r="Z1445" i="2"/>
  <c r="AA1445" i="2"/>
  <c r="AB1445" i="2"/>
  <c r="AC1445" i="2"/>
  <c r="AD1445" i="2"/>
  <c r="AE1445" i="2"/>
  <c r="AF1445" i="2"/>
  <c r="C1446" i="2"/>
  <c r="D1446" i="2"/>
  <c r="F1446" i="2"/>
  <c r="G1446" i="2"/>
  <c r="Z1446" i="2"/>
  <c r="AA1446" i="2"/>
  <c r="AB1446" i="2"/>
  <c r="AC1446" i="2"/>
  <c r="AD1446" i="2"/>
  <c r="AE1446" i="2"/>
  <c r="AF1446" i="2"/>
  <c r="D1447" i="2"/>
  <c r="F1447" i="2"/>
  <c r="G1447" i="2"/>
  <c r="I1447" i="2"/>
  <c r="Z1447" i="2"/>
  <c r="AA1447" i="2"/>
  <c r="AB1447" i="2"/>
  <c r="AC1447" i="2"/>
  <c r="AD1447" i="2"/>
  <c r="AE1447" i="2"/>
  <c r="AF1447" i="2"/>
  <c r="D1448" i="2"/>
  <c r="F1448" i="2"/>
  <c r="G1448" i="2"/>
  <c r="I1448" i="2"/>
  <c r="Z1448" i="2"/>
  <c r="AA1448" i="2"/>
  <c r="AB1448" i="2"/>
  <c r="AC1448" i="2"/>
  <c r="AD1448" i="2"/>
  <c r="AE1448" i="2"/>
  <c r="AF1448" i="2"/>
  <c r="D1449" i="2"/>
  <c r="F1449" i="2"/>
  <c r="G1449" i="2"/>
  <c r="Z1449" i="2"/>
  <c r="AA1449" i="2"/>
  <c r="AB1449" i="2"/>
  <c r="AC1449" i="2"/>
  <c r="AD1449" i="2"/>
  <c r="AE1449" i="2"/>
  <c r="AF1449" i="2"/>
  <c r="D1450" i="2"/>
  <c r="F1450" i="2"/>
  <c r="G1450" i="2"/>
  <c r="Z1450" i="2"/>
  <c r="AA1450" i="2"/>
  <c r="AB1450" i="2"/>
  <c r="AC1450" i="2"/>
  <c r="AD1450" i="2"/>
  <c r="AE1450" i="2"/>
  <c r="AF1450" i="2"/>
  <c r="D1451" i="2"/>
  <c r="F1451" i="2"/>
  <c r="G1451" i="2"/>
  <c r="I1451" i="2"/>
  <c r="Z1451" i="2"/>
  <c r="AA1451" i="2"/>
  <c r="AB1451" i="2"/>
  <c r="AC1451" i="2"/>
  <c r="AD1451" i="2"/>
  <c r="AE1451" i="2"/>
  <c r="AF1451" i="2"/>
  <c r="D1452" i="2"/>
  <c r="F1452" i="2"/>
  <c r="G1452" i="2"/>
  <c r="I1452" i="2"/>
  <c r="Z1452" i="2"/>
  <c r="AA1452" i="2"/>
  <c r="AB1452" i="2"/>
  <c r="AC1452" i="2"/>
  <c r="AD1452" i="2"/>
  <c r="AE1452" i="2"/>
  <c r="AF1452" i="2"/>
  <c r="D1453" i="2"/>
  <c r="F1453" i="2"/>
  <c r="G1453" i="2"/>
  <c r="Z1453" i="2"/>
  <c r="AA1453" i="2"/>
  <c r="AB1453" i="2"/>
  <c r="AC1453" i="2"/>
  <c r="AD1453" i="2"/>
  <c r="AE1453" i="2"/>
  <c r="AF1453" i="2"/>
  <c r="D1454" i="2"/>
  <c r="F1454" i="2"/>
  <c r="G1454" i="2"/>
  <c r="Z1454" i="2"/>
  <c r="AA1454" i="2"/>
  <c r="AB1454" i="2"/>
  <c r="AC1454" i="2"/>
  <c r="AD1454" i="2"/>
  <c r="AE1454" i="2"/>
  <c r="AF1454" i="2"/>
  <c r="D1455" i="2"/>
  <c r="F1455" i="2"/>
  <c r="G1455" i="2"/>
  <c r="I1455" i="2"/>
  <c r="Z1455" i="2"/>
  <c r="AA1455" i="2"/>
  <c r="AB1455" i="2"/>
  <c r="AC1455" i="2"/>
  <c r="AD1455" i="2"/>
  <c r="AE1455" i="2"/>
  <c r="AF1455" i="2"/>
  <c r="D1456" i="2"/>
  <c r="F1456" i="2"/>
  <c r="G1456" i="2"/>
  <c r="I1456" i="2"/>
  <c r="Z1456" i="2"/>
  <c r="AA1456" i="2"/>
  <c r="AB1456" i="2"/>
  <c r="AC1456" i="2"/>
  <c r="AD1456" i="2"/>
  <c r="AE1456" i="2"/>
  <c r="AF1456" i="2"/>
  <c r="D1457" i="2"/>
  <c r="F1457" i="2"/>
  <c r="G1457" i="2"/>
  <c r="Z1457" i="2"/>
  <c r="AA1457" i="2"/>
  <c r="AB1457" i="2"/>
  <c r="AC1457" i="2"/>
  <c r="AD1457" i="2"/>
  <c r="AE1457" i="2"/>
  <c r="AF1457" i="2"/>
  <c r="C1458" i="2"/>
  <c r="D1458" i="2" s="1"/>
  <c r="F1458" i="2"/>
  <c r="G1458" i="2"/>
  <c r="Z1458" i="2"/>
  <c r="AA1458" i="2"/>
  <c r="AB1458" i="2"/>
  <c r="AC1458" i="2"/>
  <c r="AD1458" i="2"/>
  <c r="AE1458" i="2"/>
  <c r="AF1458" i="2"/>
  <c r="D1459" i="2"/>
  <c r="F1459" i="2"/>
  <c r="G1459" i="2"/>
  <c r="I1459" i="2"/>
  <c r="Z1459" i="2"/>
  <c r="AA1459" i="2"/>
  <c r="AB1459" i="2"/>
  <c r="AC1459" i="2"/>
  <c r="AD1459" i="2"/>
  <c r="AE1459" i="2"/>
  <c r="AF1459" i="2"/>
  <c r="D1460" i="2"/>
  <c r="F1460" i="2"/>
  <c r="G1460" i="2"/>
  <c r="I1460" i="2"/>
  <c r="Z1460" i="2"/>
  <c r="AA1460" i="2"/>
  <c r="AB1460" i="2"/>
  <c r="AC1460" i="2"/>
  <c r="AD1460" i="2"/>
  <c r="AE1460" i="2"/>
  <c r="AF1460" i="2"/>
  <c r="D1461" i="2"/>
  <c r="F1461" i="2"/>
  <c r="G1461" i="2"/>
  <c r="I1461" i="2"/>
  <c r="Z1461" i="2"/>
  <c r="AA1461" i="2"/>
  <c r="AB1461" i="2"/>
  <c r="AC1461" i="2"/>
  <c r="AD1461" i="2"/>
  <c r="AE1461" i="2"/>
  <c r="AF1461" i="2"/>
  <c r="D1462" i="2"/>
  <c r="F1462" i="2"/>
  <c r="G1462" i="2"/>
  <c r="Z1462" i="2"/>
  <c r="AA1462" i="2"/>
  <c r="AB1462" i="2"/>
  <c r="AC1462" i="2"/>
  <c r="AD1462" i="2"/>
  <c r="AE1462" i="2"/>
  <c r="AF1462" i="2"/>
  <c r="D1463" i="2"/>
  <c r="F1463" i="2"/>
  <c r="G1463" i="2"/>
  <c r="I1463" i="2"/>
  <c r="Z1463" i="2"/>
  <c r="AA1463" i="2"/>
  <c r="AB1463" i="2"/>
  <c r="AC1463" i="2"/>
  <c r="AD1463" i="2"/>
  <c r="AE1463" i="2"/>
  <c r="AF1463" i="2"/>
  <c r="D1464" i="2"/>
  <c r="F1464" i="2"/>
  <c r="G1464" i="2"/>
  <c r="I1464" i="2"/>
  <c r="Z1464" i="2"/>
  <c r="AA1464" i="2"/>
  <c r="AB1464" i="2"/>
  <c r="AC1464" i="2"/>
  <c r="AD1464" i="2"/>
  <c r="AE1464" i="2"/>
  <c r="AF1464" i="2"/>
  <c r="D1465" i="2"/>
  <c r="F1465" i="2"/>
  <c r="G1465" i="2"/>
  <c r="I1465" i="2"/>
  <c r="Z1465" i="2"/>
  <c r="AA1465" i="2"/>
  <c r="AB1465" i="2"/>
  <c r="AC1465" i="2"/>
  <c r="AD1465" i="2"/>
  <c r="AE1465" i="2"/>
  <c r="AF1465" i="2"/>
  <c r="D1466" i="2"/>
  <c r="F1466" i="2"/>
  <c r="G1466" i="2"/>
  <c r="Z1466" i="2"/>
  <c r="AA1466" i="2"/>
  <c r="AB1466" i="2"/>
  <c r="AC1466" i="2"/>
  <c r="AD1466" i="2"/>
  <c r="AE1466" i="2"/>
  <c r="AF1466" i="2"/>
  <c r="D1467" i="2"/>
  <c r="F1467" i="2"/>
  <c r="G1467" i="2"/>
  <c r="I1467" i="2"/>
  <c r="Z1467" i="2"/>
  <c r="AA1467" i="2"/>
  <c r="AB1467" i="2"/>
  <c r="AC1467" i="2"/>
  <c r="AD1467" i="2"/>
  <c r="AE1467" i="2"/>
  <c r="AF1467" i="2"/>
  <c r="D1468" i="2"/>
  <c r="F1468" i="2"/>
  <c r="G1468" i="2"/>
  <c r="I1468" i="2"/>
  <c r="Z1468" i="2"/>
  <c r="AA1468" i="2"/>
  <c r="AB1468" i="2"/>
  <c r="AC1468" i="2"/>
  <c r="AD1468" i="2"/>
  <c r="AE1468" i="2"/>
  <c r="AF1468" i="2"/>
  <c r="D1469" i="2"/>
  <c r="F1469" i="2"/>
  <c r="G1469" i="2"/>
  <c r="I1469" i="2"/>
  <c r="Z1469" i="2"/>
  <c r="AA1469" i="2"/>
  <c r="AB1469" i="2"/>
  <c r="AC1469" i="2"/>
  <c r="AD1469" i="2"/>
  <c r="AE1469" i="2"/>
  <c r="AF1469" i="2"/>
  <c r="D1470" i="2"/>
  <c r="F1470" i="2"/>
  <c r="G1470" i="2"/>
  <c r="Z1470" i="2"/>
  <c r="AA1470" i="2"/>
  <c r="AB1470" i="2"/>
  <c r="AC1470" i="2"/>
  <c r="AD1470" i="2"/>
  <c r="AE1470" i="2"/>
  <c r="AF1470" i="2"/>
  <c r="D1471" i="2"/>
  <c r="F1471" i="2"/>
  <c r="G1471" i="2"/>
  <c r="I1471" i="2"/>
  <c r="Z1471" i="2"/>
  <c r="AA1471" i="2"/>
  <c r="AB1471" i="2"/>
  <c r="AC1471" i="2"/>
  <c r="AD1471" i="2"/>
  <c r="AE1471" i="2"/>
  <c r="AF1471" i="2"/>
  <c r="D1472" i="2"/>
  <c r="F1472" i="2"/>
  <c r="G1472" i="2"/>
  <c r="I1472" i="2"/>
  <c r="Z1472" i="2"/>
  <c r="AA1472" i="2"/>
  <c r="AB1472" i="2"/>
  <c r="AC1472" i="2"/>
  <c r="AD1472" i="2"/>
  <c r="AE1472" i="2"/>
  <c r="AF1472" i="2"/>
  <c r="D1473" i="2"/>
  <c r="F1473" i="2"/>
  <c r="G1473" i="2"/>
  <c r="I1473" i="2"/>
  <c r="Z1473" i="2"/>
  <c r="AA1473" i="2"/>
  <c r="AB1473" i="2"/>
  <c r="AC1473" i="2"/>
  <c r="AD1473" i="2"/>
  <c r="AE1473" i="2"/>
  <c r="AF1473" i="2"/>
  <c r="D1474" i="2"/>
  <c r="F1474" i="2"/>
  <c r="G1474" i="2"/>
  <c r="Z1474" i="2"/>
  <c r="AA1474" i="2"/>
  <c r="AB1474" i="2"/>
  <c r="AC1474" i="2"/>
  <c r="AD1474" i="2"/>
  <c r="AE1474" i="2"/>
  <c r="AF1474" i="2"/>
  <c r="D1475" i="2"/>
  <c r="F1475" i="2"/>
  <c r="G1475" i="2"/>
  <c r="I1475" i="2"/>
  <c r="Z1475" i="2"/>
  <c r="AA1475" i="2"/>
  <c r="AB1475" i="2"/>
  <c r="AC1475" i="2"/>
  <c r="AD1475" i="2"/>
  <c r="AE1475" i="2"/>
  <c r="AF1475" i="2"/>
  <c r="D1476" i="2"/>
  <c r="F1476" i="2"/>
  <c r="G1476" i="2"/>
  <c r="I1476" i="2"/>
  <c r="Z1476" i="2"/>
  <c r="AA1476" i="2"/>
  <c r="AB1476" i="2"/>
  <c r="AC1476" i="2"/>
  <c r="AD1476" i="2"/>
  <c r="AE1476" i="2"/>
  <c r="AF1476" i="2"/>
  <c r="D1477" i="2"/>
  <c r="F1477" i="2"/>
  <c r="G1477" i="2"/>
  <c r="I1477" i="2"/>
  <c r="Z1477" i="2"/>
  <c r="AA1477" i="2"/>
  <c r="AB1477" i="2"/>
  <c r="AC1477" i="2"/>
  <c r="AD1477" i="2"/>
  <c r="AE1477" i="2"/>
  <c r="AF1477" i="2"/>
  <c r="D1478" i="2"/>
  <c r="F1478" i="2"/>
  <c r="G1478" i="2"/>
  <c r="Z1478" i="2"/>
  <c r="AA1478" i="2"/>
  <c r="AB1478" i="2"/>
  <c r="AC1478" i="2"/>
  <c r="AD1478" i="2"/>
  <c r="AE1478" i="2"/>
  <c r="AF1478" i="2"/>
  <c r="D1479" i="2"/>
  <c r="F1479" i="2"/>
  <c r="G1479" i="2"/>
  <c r="I1479" i="2"/>
  <c r="Z1479" i="2"/>
  <c r="AA1479" i="2"/>
  <c r="AB1479" i="2"/>
  <c r="AC1479" i="2"/>
  <c r="AD1479" i="2"/>
  <c r="AE1479" i="2"/>
  <c r="AF1479" i="2"/>
  <c r="D1480" i="2"/>
  <c r="F1480" i="2"/>
  <c r="G1480" i="2"/>
  <c r="I1480" i="2"/>
  <c r="Z1480" i="2"/>
  <c r="AA1480" i="2"/>
  <c r="AB1480" i="2"/>
  <c r="AC1480" i="2"/>
  <c r="AD1480" i="2"/>
  <c r="AE1480" i="2"/>
  <c r="AF1480" i="2"/>
  <c r="D1481" i="2"/>
  <c r="F1481" i="2"/>
  <c r="G1481" i="2"/>
  <c r="I1481" i="2"/>
  <c r="Z1481" i="2"/>
  <c r="AA1481" i="2"/>
  <c r="AB1481" i="2"/>
  <c r="AC1481" i="2"/>
  <c r="AD1481" i="2"/>
  <c r="AE1481" i="2"/>
  <c r="AF1481" i="2"/>
  <c r="D1482" i="2"/>
  <c r="F1482" i="2"/>
  <c r="G1482" i="2"/>
  <c r="Z1482" i="2"/>
  <c r="AA1482" i="2"/>
  <c r="AB1482" i="2"/>
  <c r="AC1482" i="2"/>
  <c r="AD1482" i="2"/>
  <c r="AE1482" i="2"/>
  <c r="AF1482" i="2"/>
  <c r="D1483" i="2"/>
  <c r="F1483" i="2"/>
  <c r="G1483" i="2"/>
  <c r="I1483" i="2"/>
  <c r="Z1483" i="2"/>
  <c r="AA1483" i="2"/>
  <c r="AB1483" i="2"/>
  <c r="AC1483" i="2"/>
  <c r="AD1483" i="2"/>
  <c r="AE1483" i="2"/>
  <c r="AF1483" i="2"/>
  <c r="D1484" i="2"/>
  <c r="F1484" i="2"/>
  <c r="G1484" i="2"/>
  <c r="I1484" i="2"/>
  <c r="Z1484" i="2"/>
  <c r="AA1484" i="2"/>
  <c r="AB1484" i="2"/>
  <c r="AC1484" i="2"/>
  <c r="AD1484" i="2"/>
  <c r="AE1484" i="2"/>
  <c r="AF1484" i="2"/>
  <c r="D1485" i="2"/>
  <c r="F1485" i="2"/>
  <c r="G1485" i="2"/>
  <c r="I1485" i="2"/>
  <c r="Z1485" i="2"/>
  <c r="AA1485" i="2"/>
  <c r="AB1485" i="2"/>
  <c r="AC1485" i="2"/>
  <c r="AD1485" i="2"/>
  <c r="AE1485" i="2"/>
  <c r="AF1485" i="2"/>
  <c r="D1486" i="2"/>
  <c r="F1486" i="2"/>
  <c r="G1486" i="2"/>
  <c r="Z1486" i="2"/>
  <c r="AA1486" i="2"/>
  <c r="AB1486" i="2"/>
  <c r="AC1486" i="2"/>
  <c r="AD1486" i="2"/>
  <c r="AE1486" i="2"/>
  <c r="AF1486" i="2"/>
  <c r="D1487" i="2"/>
  <c r="F1487" i="2"/>
  <c r="G1487" i="2"/>
  <c r="I1487" i="2"/>
  <c r="Z1487" i="2"/>
  <c r="AA1487" i="2"/>
  <c r="AB1487" i="2"/>
  <c r="AC1487" i="2"/>
  <c r="AD1487" i="2"/>
  <c r="AE1487" i="2"/>
  <c r="AF1487" i="2"/>
  <c r="D1488" i="2"/>
  <c r="F1488" i="2"/>
  <c r="G1488" i="2"/>
  <c r="I1488" i="2"/>
  <c r="Z1488" i="2"/>
  <c r="AA1488" i="2"/>
  <c r="AB1488" i="2"/>
  <c r="AC1488" i="2"/>
  <c r="AD1488" i="2"/>
  <c r="AE1488" i="2"/>
  <c r="AF1488" i="2"/>
  <c r="D1489" i="2"/>
  <c r="F1489" i="2"/>
  <c r="G1489" i="2"/>
  <c r="I1489" i="2"/>
  <c r="Z1489" i="2"/>
  <c r="AA1489" i="2"/>
  <c r="AB1489" i="2"/>
  <c r="AC1489" i="2"/>
  <c r="AD1489" i="2"/>
  <c r="AE1489" i="2"/>
  <c r="AF1489" i="2"/>
  <c r="D1490" i="2"/>
  <c r="F1490" i="2"/>
  <c r="G1490" i="2"/>
  <c r="Z1490" i="2"/>
  <c r="AA1490" i="2"/>
  <c r="AB1490" i="2"/>
  <c r="AC1490" i="2"/>
  <c r="AD1490" i="2"/>
  <c r="AE1490" i="2"/>
  <c r="AF1490" i="2"/>
  <c r="D1491" i="2"/>
  <c r="F1491" i="2"/>
  <c r="G1491" i="2"/>
  <c r="I1491" i="2"/>
  <c r="Z1491" i="2"/>
  <c r="AA1491" i="2"/>
  <c r="AB1491" i="2"/>
  <c r="AC1491" i="2"/>
  <c r="AD1491" i="2"/>
  <c r="AE1491" i="2"/>
  <c r="AF1491" i="2"/>
  <c r="D1492" i="2"/>
  <c r="F1492" i="2"/>
  <c r="G1492" i="2"/>
  <c r="I1492" i="2"/>
  <c r="Z1492" i="2"/>
  <c r="AA1492" i="2"/>
  <c r="AB1492" i="2"/>
  <c r="AC1492" i="2"/>
  <c r="AD1492" i="2"/>
  <c r="AE1492" i="2"/>
  <c r="AF1492" i="2"/>
  <c r="C1493" i="2"/>
  <c r="D1493" i="2" s="1"/>
  <c r="F1493" i="2"/>
  <c r="G1493" i="2"/>
  <c r="I1493" i="2"/>
  <c r="Z1493" i="2"/>
  <c r="AA1493" i="2"/>
  <c r="AB1493" i="2"/>
  <c r="AC1493" i="2"/>
  <c r="AD1493" i="2"/>
  <c r="AE1493" i="2"/>
  <c r="AF1493" i="2"/>
  <c r="D1494" i="2"/>
  <c r="F1494" i="2"/>
  <c r="G1494" i="2"/>
  <c r="Z1494" i="2"/>
  <c r="AA1494" i="2"/>
  <c r="AB1494" i="2"/>
  <c r="AC1494" i="2"/>
  <c r="AD1494" i="2"/>
  <c r="AE1494" i="2"/>
  <c r="AF1494" i="2"/>
  <c r="D1495" i="2"/>
  <c r="F1495" i="2"/>
  <c r="G1495" i="2"/>
  <c r="I1495" i="2"/>
  <c r="Z1495" i="2"/>
  <c r="AA1495" i="2"/>
  <c r="AB1495" i="2"/>
  <c r="AC1495" i="2"/>
  <c r="AD1495" i="2"/>
  <c r="AE1495" i="2"/>
  <c r="AF1495" i="2"/>
  <c r="D1496" i="2"/>
  <c r="F1496" i="2"/>
  <c r="G1496" i="2"/>
  <c r="I1496" i="2"/>
  <c r="Z1496" i="2"/>
  <c r="AA1496" i="2"/>
  <c r="AB1496" i="2"/>
  <c r="AC1496" i="2"/>
  <c r="AD1496" i="2"/>
  <c r="AE1496" i="2"/>
  <c r="AF1496" i="2"/>
  <c r="C1497" i="2"/>
  <c r="D1497" i="2" s="1"/>
  <c r="F1497" i="2"/>
  <c r="G1497" i="2"/>
  <c r="I1497" i="2"/>
  <c r="Z1497" i="2"/>
  <c r="AA1497" i="2"/>
  <c r="AB1497" i="2"/>
  <c r="AC1497" i="2"/>
  <c r="AD1497" i="2"/>
  <c r="AE1497" i="2"/>
  <c r="AF1497" i="2"/>
  <c r="D1498" i="2"/>
  <c r="F1498" i="2"/>
  <c r="G1498" i="2"/>
  <c r="Z1498" i="2"/>
  <c r="AA1498" i="2"/>
  <c r="AB1498" i="2"/>
  <c r="AC1498" i="2"/>
  <c r="AD1498" i="2"/>
  <c r="AE1498" i="2"/>
  <c r="AF1498" i="2"/>
  <c r="D1499" i="2"/>
  <c r="F1499" i="2"/>
  <c r="G1499" i="2"/>
  <c r="I1499" i="2"/>
  <c r="Z1499" i="2"/>
  <c r="AA1499" i="2"/>
  <c r="AB1499" i="2"/>
  <c r="AC1499" i="2"/>
  <c r="AD1499" i="2"/>
  <c r="AE1499" i="2"/>
  <c r="AF1499" i="2"/>
  <c r="D1500" i="2"/>
  <c r="F1500" i="2"/>
  <c r="G1500" i="2"/>
  <c r="I1500" i="2"/>
  <c r="Z1500" i="2"/>
  <c r="AA1500" i="2"/>
  <c r="AB1500" i="2"/>
  <c r="AC1500" i="2"/>
  <c r="AD1500" i="2"/>
  <c r="AE1500" i="2"/>
  <c r="AF1500" i="2"/>
  <c r="D1501" i="2"/>
  <c r="F1501" i="2"/>
  <c r="G1501" i="2"/>
  <c r="I1501" i="2"/>
  <c r="Z1501" i="2"/>
  <c r="AA1501" i="2"/>
  <c r="AB1501" i="2"/>
  <c r="AC1501" i="2"/>
  <c r="AD1501" i="2"/>
  <c r="AE1501" i="2"/>
  <c r="AF1501" i="2"/>
</calcChain>
</file>

<file path=xl/sharedStrings.xml><?xml version="1.0" encoding="utf-8"?>
<sst xmlns="http://schemas.openxmlformats.org/spreadsheetml/2006/main" count="19560" uniqueCount="7420">
  <si>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</si>
  <si>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</si>
  <si>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</si>
  <si>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</si>
  <si>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</si>
  <si>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</si>
  <si>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</si>
  <si>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</si>
  <si>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</si>
  <si>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</si>
  <si>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</si>
  <si>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</si>
  <si>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</si>
  <si>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</si>
  <si>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</si>
  <si>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</si>
  <si>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</si>
  <si>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</si>
  <si>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</si>
  <si>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</si>
  <si>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CA-2024-946313</t>
  </si>
  <si>
    <t>Standard Class</t>
  </si>
  <si>
    <t>ZV-85582</t>
  </si>
  <si>
    <t>Karen Coffey</t>
  </si>
  <si>
    <t>Home Office</t>
  </si>
  <si>
    <t>United States</t>
  </si>
  <si>
    <t>Cleveland</t>
  </si>
  <si>
    <t>Ohio</t>
  </si>
  <si>
    <t>South</t>
  </si>
  <si>
    <t>FUR-FU-69663</t>
  </si>
  <si>
    <t>Furniture</t>
  </si>
  <si>
    <t>Furnishings</t>
  </si>
  <si>
    <t>Service Furnishings</t>
  </si>
  <si>
    <t>CA-2023-112884</t>
  </si>
  <si>
    <t>YD-60197</t>
  </si>
  <si>
    <t>Eric Webb</t>
  </si>
  <si>
    <t>Consumer</t>
  </si>
  <si>
    <t>Miami</t>
  </si>
  <si>
    <t>Florida</t>
  </si>
  <si>
    <t>Central</t>
  </si>
  <si>
    <t>FUR-BO-82465</t>
  </si>
  <si>
    <t>Bookcases</t>
  </si>
  <si>
    <t>Think Bookcases</t>
  </si>
  <si>
    <t>CA-2023-334026</t>
  </si>
  <si>
    <t>Same Day</t>
  </si>
  <si>
    <t>GK-47002</t>
  </si>
  <si>
    <t>Eileen Cervantes</t>
  </si>
  <si>
    <t>Corporate</t>
  </si>
  <si>
    <t>San Diego</t>
  </si>
  <si>
    <t>California</t>
  </si>
  <si>
    <t>OFF-LA-82494</t>
  </si>
  <si>
    <t>Office Supplies</t>
  </si>
  <si>
    <t>Labels</t>
  </si>
  <si>
    <t>Team Labels</t>
  </si>
  <si>
    <t>FL-2023-257880</t>
  </si>
  <si>
    <t>Second Class</t>
  </si>
  <si>
    <t>NW-80981</t>
  </si>
  <si>
    <t>Sherri Payne</t>
  </si>
  <si>
    <t>TEC-PH-53911</t>
  </si>
  <si>
    <t>Technology</t>
  </si>
  <si>
    <t>Phones</t>
  </si>
  <si>
    <t>Institution Phones</t>
  </si>
  <si>
    <t>TX-2023-342716</t>
  </si>
  <si>
    <t>CX-21128</t>
  </si>
  <si>
    <t>Karen Brown</t>
  </si>
  <si>
    <t>Cincinnati</t>
  </si>
  <si>
    <t>East</t>
  </si>
  <si>
    <t>FUR-CH-93521</t>
  </si>
  <si>
    <t>Chairs</t>
  </si>
  <si>
    <t>Quickly Chairs</t>
  </si>
  <si>
    <t>PA-2024-574751</t>
  </si>
  <si>
    <t>ZU-27840</t>
  </si>
  <si>
    <t>Todd Ward</t>
  </si>
  <si>
    <t>Chicago</t>
  </si>
  <si>
    <t>Illinois</t>
  </si>
  <si>
    <t>FUR-CH-23848</t>
  </si>
  <si>
    <t>Every Chairs</t>
  </si>
  <si>
    <t>NY-2024-966529</t>
  </si>
  <si>
    <t>LC-21955</t>
  </si>
  <si>
    <t>Glenn Smith</t>
  </si>
  <si>
    <t>Los Angeles</t>
  </si>
  <si>
    <t>FUR-TA-61936</t>
  </si>
  <si>
    <t>Tables</t>
  </si>
  <si>
    <t>That Tables</t>
  </si>
  <si>
    <t>TX-2023-227352</t>
  </si>
  <si>
    <t>HU-35969</t>
  </si>
  <si>
    <t>Brenda Taylor</t>
  </si>
  <si>
    <t>West</t>
  </si>
  <si>
    <t>OFF-LA-86326</t>
  </si>
  <si>
    <t>Significant Labels</t>
  </si>
  <si>
    <t>TX-2023-583388</t>
  </si>
  <si>
    <t>CB-75028</t>
  </si>
  <si>
    <t>Jason Patterson</t>
  </si>
  <si>
    <t>OFF-PA-32650</t>
  </si>
  <si>
    <t>Paper</t>
  </si>
  <si>
    <t>Media Paper</t>
  </si>
  <si>
    <t>MI-2023-191982</t>
  </si>
  <si>
    <t>PP-36143</t>
  </si>
  <si>
    <t>Kerry Kelley</t>
  </si>
  <si>
    <t>Naperville</t>
  </si>
  <si>
    <t>TEC-AC-92674</t>
  </si>
  <si>
    <t>Accessories</t>
  </si>
  <si>
    <t>Create Accessories</t>
  </si>
  <si>
    <t>OH-2024-288550</t>
  </si>
  <si>
    <t>First Class</t>
  </si>
  <si>
    <t>CF-46822</t>
  </si>
  <si>
    <t>Shannon Nash</t>
  </si>
  <si>
    <t>OFF-AR-56849</t>
  </si>
  <si>
    <t>Art</t>
  </si>
  <si>
    <t>Fine Art</t>
  </si>
  <si>
    <t>FL-2024-472039</t>
  </si>
  <si>
    <t>LV-57026</t>
  </si>
  <si>
    <t>Carol Bates</t>
  </si>
  <si>
    <t>New York</t>
  </si>
  <si>
    <t>FUR-TA-84403</t>
  </si>
  <si>
    <t>Environmental Tables</t>
  </si>
  <si>
    <t>FL-2023-652021</t>
  </si>
  <si>
    <t>HO-27103</t>
  </si>
  <si>
    <t>Robert White</t>
  </si>
  <si>
    <t>Detroit</t>
  </si>
  <si>
    <t>Michigan</t>
  </si>
  <si>
    <t>TEC-AC-52413</t>
  </si>
  <si>
    <t>Full Accessories</t>
  </si>
  <si>
    <t>OH-2023-452909</t>
  </si>
  <si>
    <t>US-67261</t>
  </si>
  <si>
    <t>Gregory Garcia</t>
  </si>
  <si>
    <t>OFF-ST-32833</t>
  </si>
  <si>
    <t>Storage</t>
  </si>
  <si>
    <t>Fact Storage</t>
  </si>
  <si>
    <t>CA-2024-992083</t>
  </si>
  <si>
    <t>SW-93839</t>
  </si>
  <si>
    <t>Eric Martin</t>
  </si>
  <si>
    <t>FUR-FU-28434</t>
  </si>
  <si>
    <t>It Furnishings</t>
  </si>
  <si>
    <t>PA-2024-111949</t>
  </si>
  <si>
    <t>LK-55938</t>
  </si>
  <si>
    <t>Adam Howe</t>
  </si>
  <si>
    <t>FUR-BO-16310</t>
  </si>
  <si>
    <t>Anything Bookcases</t>
  </si>
  <si>
    <t>FL-2023-573209</t>
  </si>
  <si>
    <t>EH-51774</t>
  </si>
  <si>
    <t>Diane Logan</t>
  </si>
  <si>
    <t>Houston</t>
  </si>
  <si>
    <t>Texas</t>
  </si>
  <si>
    <t>FUR-BO-54801</t>
  </si>
  <si>
    <t>Gun Bookcases</t>
  </si>
  <si>
    <t>CA-2024-785386</t>
  </si>
  <si>
    <t>AM-17019</t>
  </si>
  <si>
    <t>Jonathan Gibbs</t>
  </si>
  <si>
    <t>Rochester</t>
  </si>
  <si>
    <t>OFF-BI-34901</t>
  </si>
  <si>
    <t>Binders</t>
  </si>
  <si>
    <t>Share Binders</t>
  </si>
  <si>
    <t>PA-2023-548377</t>
  </si>
  <si>
    <t>VR-22712</t>
  </si>
  <si>
    <t>Daniel Wolfe</t>
  </si>
  <si>
    <t>Dallas</t>
  </si>
  <si>
    <t>FUR-CH-93648</t>
  </si>
  <si>
    <t>Wall Chairs</t>
  </si>
  <si>
    <t>NY-2024-499974</t>
  </si>
  <si>
    <t>EO-44510</t>
  </si>
  <si>
    <t>Laura Sanchez</t>
  </si>
  <si>
    <t>Philadelphia</t>
  </si>
  <si>
    <t>Pennsylvania</t>
  </si>
  <si>
    <t>OFF-ST-39654</t>
  </si>
  <si>
    <t>Everybody Storage</t>
  </si>
  <si>
    <t>FL-2023-981639</t>
  </si>
  <si>
    <t>TZ-85066</t>
  </si>
  <si>
    <t>Kristen Cruz</t>
  </si>
  <si>
    <t>OFF-ST-20348</t>
  </si>
  <si>
    <t>Region Storage</t>
  </si>
  <si>
    <t>NY-2023-947732</t>
  </si>
  <si>
    <t>PK-20271</t>
  </si>
  <si>
    <t>David Harris Jr.</t>
  </si>
  <si>
    <t>OFF-BI-92211</t>
  </si>
  <si>
    <t>Tend Binders</t>
  </si>
  <si>
    <t>MI-2023-924758</t>
  </si>
  <si>
    <t>QP-29424</t>
  </si>
  <si>
    <t>Christopher Gross</t>
  </si>
  <si>
    <t>Columbus</t>
  </si>
  <si>
    <t>TEC-PH-23845</t>
  </si>
  <si>
    <t>Consumer Phones</t>
  </si>
  <si>
    <t>NY-2024-522548</t>
  </si>
  <si>
    <t>RJ-61877</t>
  </si>
  <si>
    <t>Samuel Paul</t>
  </si>
  <si>
    <t>TEC-AC-16460</t>
  </si>
  <si>
    <t>Who Accessories</t>
  </si>
  <si>
    <t>FL-2023-415076</t>
  </si>
  <si>
    <t>EQ-89295</t>
  </si>
  <si>
    <t>Dr. Angela Fuller</t>
  </si>
  <si>
    <t>Grand Rapids</t>
  </si>
  <si>
    <t>FUR-CH-67896</t>
  </si>
  <si>
    <t>Value Chairs</t>
  </si>
  <si>
    <t>NY-2023-282176</t>
  </si>
  <si>
    <t>UO-14334</t>
  </si>
  <si>
    <t>Sarah Richardson</t>
  </si>
  <si>
    <t>FUR-TA-36097</t>
  </si>
  <si>
    <t>Ago Tables</t>
  </si>
  <si>
    <t>MI-2024-460971</t>
  </si>
  <si>
    <t>OR-13597</t>
  </si>
  <si>
    <t>Michael Boyer</t>
  </si>
  <si>
    <t>Buffalo</t>
  </si>
  <si>
    <t>FUR-CH-85007</t>
  </si>
  <si>
    <t>Enough Chairs</t>
  </si>
  <si>
    <t>CA-2024-238741</t>
  </si>
  <si>
    <t>VG-43081</t>
  </si>
  <si>
    <t>Danielle Mitchell</t>
  </si>
  <si>
    <t>OFF-ST-65549</t>
  </si>
  <si>
    <t>Send Storage</t>
  </si>
  <si>
    <t>PA-2024-412974</t>
  </si>
  <si>
    <t>OH-46239</t>
  </si>
  <si>
    <t>Julia Gray</t>
  </si>
  <si>
    <t>OFF-ST-44229</t>
  </si>
  <si>
    <t>Age Storage</t>
  </si>
  <si>
    <t>NY-2023-787237</t>
  </si>
  <si>
    <t>MG-63031</t>
  </si>
  <si>
    <t>Lorraine Davis</t>
  </si>
  <si>
    <t>TEC-PH-86418</t>
  </si>
  <si>
    <t>Participant Phones</t>
  </si>
  <si>
    <t>IL-2023-981473</t>
  </si>
  <si>
    <t>BG-26769</t>
  </si>
  <si>
    <t>Stephanie Sweeney</t>
  </si>
  <si>
    <t>OFF-AR-33995</t>
  </si>
  <si>
    <t>Soon Art</t>
  </si>
  <si>
    <t>MI-2023-593393</t>
  </si>
  <si>
    <t>IL-35499</t>
  </si>
  <si>
    <t>Nicole Cox</t>
  </si>
  <si>
    <t>San Francisco</t>
  </si>
  <si>
    <t>FUR-FU-79446</t>
  </si>
  <si>
    <t>Mind Furnishings</t>
  </si>
  <si>
    <t>NY-2023-611265</t>
  </si>
  <si>
    <t>QO-93165</t>
  </si>
  <si>
    <t>Rebecca Lane</t>
  </si>
  <si>
    <t>Allentown</t>
  </si>
  <si>
    <t>FUR-FU-45851</t>
  </si>
  <si>
    <t>Agent Furnishings</t>
  </si>
  <si>
    <t>MI-2024-104895</t>
  </si>
  <si>
    <t>YG-11845</t>
  </si>
  <si>
    <t>Dean Taylor</t>
  </si>
  <si>
    <t>TEC-AC-12348</t>
  </si>
  <si>
    <t>From Accessories</t>
  </si>
  <si>
    <t>IL-2024-578073</t>
  </si>
  <si>
    <t>LH-74248</t>
  </si>
  <si>
    <t>Kristen Price</t>
  </si>
  <si>
    <t>Pittsburgh</t>
  </si>
  <si>
    <t>FUR-CH-62873</t>
  </si>
  <si>
    <t>Stop Chairs</t>
  </si>
  <si>
    <t>IL-2023-722774</t>
  </si>
  <si>
    <t>PL-16322</t>
  </si>
  <si>
    <t>Alexander Cox</t>
  </si>
  <si>
    <t>FUR-FU-68237</t>
  </si>
  <si>
    <t>Bad Furnishings</t>
  </si>
  <si>
    <t>IL-2023-539170</t>
  </si>
  <si>
    <t>IF-24943</t>
  </si>
  <si>
    <t>Brent Martinez</t>
  </si>
  <si>
    <t>Austin</t>
  </si>
  <si>
    <t>OFF-BI-89823</t>
  </si>
  <si>
    <t>Do Binders</t>
  </si>
  <si>
    <t>MI-2024-345896</t>
  </si>
  <si>
    <t>IK-85255</t>
  </si>
  <si>
    <t>Jennifer Thompson</t>
  </si>
  <si>
    <t>OFF-BI-21807</t>
  </si>
  <si>
    <t>Medical Binders</t>
  </si>
  <si>
    <t>CA-2024-477712</t>
  </si>
  <si>
    <t>IX-16014</t>
  </si>
  <si>
    <t>Miss Andrea Martinez</t>
  </si>
  <si>
    <t>FUR-CH-53078</t>
  </si>
  <si>
    <t>Sea Chairs</t>
  </si>
  <si>
    <t>OH-2024-938754</t>
  </si>
  <si>
    <t>RO-27368</t>
  </si>
  <si>
    <t>Edwin Perez</t>
  </si>
  <si>
    <t>TEC-PH-30892</t>
  </si>
  <si>
    <t>Difference Phones</t>
  </si>
  <si>
    <t>NY-2024-611833</t>
  </si>
  <si>
    <t>VG-18301</t>
  </si>
  <si>
    <t>Ashley Ramos</t>
  </si>
  <si>
    <t>TEC-CO-11620</t>
  </si>
  <si>
    <t>Copiers</t>
  </si>
  <si>
    <t>Wall Copiers</t>
  </si>
  <si>
    <t>OH-2023-605339</t>
  </si>
  <si>
    <t>EV-83183</t>
  </si>
  <si>
    <t>Pamela Avery</t>
  </si>
  <si>
    <t>FUR-BO-94331</t>
  </si>
  <si>
    <t>Happy Bookcases</t>
  </si>
  <si>
    <t>FL-2024-522866</t>
  </si>
  <si>
    <t>YU-85108</t>
  </si>
  <si>
    <t>Tiffany Smith</t>
  </si>
  <si>
    <t>FUR-FU-68598</t>
  </si>
  <si>
    <t>Finally Furnishings</t>
  </si>
  <si>
    <t>IL-2023-786393</t>
  </si>
  <si>
    <t>MN-39218</t>
  </si>
  <si>
    <t>Devin Eaton</t>
  </si>
  <si>
    <t>OFF-AR-91232</t>
  </si>
  <si>
    <t>Ahead Art</t>
  </si>
  <si>
    <t>PA-2023-148001</t>
  </si>
  <si>
    <t>VY-24019</t>
  </si>
  <si>
    <t>Mindy Robbins</t>
  </si>
  <si>
    <t>TEC-AC-34581</t>
  </si>
  <si>
    <t>Might Accessories</t>
  </si>
  <si>
    <t>TX-2024-579605</t>
  </si>
  <si>
    <t>NU-82512</t>
  </si>
  <si>
    <t>Mr. Aaron Brady</t>
  </si>
  <si>
    <t>TEC-MA-76628</t>
  </si>
  <si>
    <t>Machines</t>
  </si>
  <si>
    <t>Doctor Machines</t>
  </si>
  <si>
    <t>OH-2023-386886</t>
  </si>
  <si>
    <t>UB-27481</t>
  </si>
  <si>
    <t>Thomas Juarez</t>
  </si>
  <si>
    <t>OFF-AR-77147</t>
  </si>
  <si>
    <t>Large Art</t>
  </si>
  <si>
    <t>NY-2023-628370</t>
  </si>
  <si>
    <t>YJ-83699</t>
  </si>
  <si>
    <t>Melanie Dixon</t>
  </si>
  <si>
    <t>Point Machines</t>
  </si>
  <si>
    <t>IL-2023-400538</t>
  </si>
  <si>
    <t>LO-36738</t>
  </si>
  <si>
    <t>Richard Welch</t>
  </si>
  <si>
    <t>FUR-TA-69322</t>
  </si>
  <si>
    <t>About Tables</t>
  </si>
  <si>
    <t>OH-2024-536801</t>
  </si>
  <si>
    <t>IY-42943</t>
  </si>
  <si>
    <t>Ann Becker</t>
  </si>
  <si>
    <t>TEC-MA-39563</t>
  </si>
  <si>
    <t>Example Machines</t>
  </si>
  <si>
    <t>NY-2023-870786</t>
  </si>
  <si>
    <t>YO-46583</t>
  </si>
  <si>
    <t>Katherine Carroll</t>
  </si>
  <si>
    <t>OFF-BI-31093</t>
  </si>
  <si>
    <t>When Binders</t>
  </si>
  <si>
    <t>IL-2024-928278</t>
  </si>
  <si>
    <t>ZH-34100</t>
  </si>
  <si>
    <t>Brian Clark</t>
  </si>
  <si>
    <t>FUR-CH-64516</t>
  </si>
  <si>
    <t>Property Chairs</t>
  </si>
  <si>
    <t>MI-2023-220294</t>
  </si>
  <si>
    <t>JP-15226</t>
  </si>
  <si>
    <t>Nicholas Luna</t>
  </si>
  <si>
    <t>OFF-PA-24860</t>
  </si>
  <si>
    <t>Still Paper</t>
  </si>
  <si>
    <t>FL-2024-638857</t>
  </si>
  <si>
    <t>BV-92173</t>
  </si>
  <si>
    <t>Linda Figueroa</t>
  </si>
  <si>
    <t>FUR-CH-99837</t>
  </si>
  <si>
    <t>Result Chairs</t>
  </si>
  <si>
    <t>NY-2023-581532</t>
  </si>
  <si>
    <t>GO-17113</t>
  </si>
  <si>
    <t>Nicole Davidson</t>
  </si>
  <si>
    <t>OFF-AR-19232</t>
  </si>
  <si>
    <t>Say Art</t>
  </si>
  <si>
    <t>TX-2023-834928</t>
  </si>
  <si>
    <t>XN-99899</t>
  </si>
  <si>
    <t>Angela Armstrong</t>
  </si>
  <si>
    <t>TEC-PH-46899</t>
  </si>
  <si>
    <t>Change Phones</t>
  </si>
  <si>
    <t>IL-2023-412534</t>
  </si>
  <si>
    <t>CA-15475</t>
  </si>
  <si>
    <t>Charles Ingram</t>
  </si>
  <si>
    <t>TEC-MA-80405</t>
  </si>
  <si>
    <t>Quite Machines</t>
  </si>
  <si>
    <t>NY-2023-746850</t>
  </si>
  <si>
    <t>KC-97946</t>
  </si>
  <si>
    <t>Ashlee Rios</t>
  </si>
  <si>
    <t>FUR-FU-94498</t>
  </si>
  <si>
    <t>Top Furnishings</t>
  </si>
  <si>
    <t>IL-2023-302897</t>
  </si>
  <si>
    <t>LZ-90785</t>
  </si>
  <si>
    <t>Marissa Wells</t>
  </si>
  <si>
    <t>OFF-AR-29974</t>
  </si>
  <si>
    <t>Parent Art</t>
  </si>
  <si>
    <t>PA-2023-812591</t>
  </si>
  <si>
    <t>WS-57020</t>
  </si>
  <si>
    <t>Craig Floyd</t>
  </si>
  <si>
    <t>OFF-AR-24264</t>
  </si>
  <si>
    <t>Whose Art</t>
  </si>
  <si>
    <t>TX-2023-990856</t>
  </si>
  <si>
    <t>JG-14804</t>
  </si>
  <si>
    <t>Taylor Wheeler</t>
  </si>
  <si>
    <t>OFF-AR-80736</t>
  </si>
  <si>
    <t>Determine Art</t>
  </si>
  <si>
    <t>PA-2023-794868</t>
  </si>
  <si>
    <t>MV-68487</t>
  </si>
  <si>
    <t>Sarah Allen</t>
  </si>
  <si>
    <t>Tampa</t>
  </si>
  <si>
    <t>FUR-CH-73373</t>
  </si>
  <si>
    <t>Response Chairs</t>
  </si>
  <si>
    <t>OH-2024-576728</t>
  </si>
  <si>
    <t>TS-78337</t>
  </si>
  <si>
    <t>Michele Russell</t>
  </si>
  <si>
    <t>OFF-ST-85842</t>
  </si>
  <si>
    <t>Many Storage</t>
  </si>
  <si>
    <t>OH-2024-956934</t>
  </si>
  <si>
    <t>DE-75776</t>
  </si>
  <si>
    <t>Tammy Flynn</t>
  </si>
  <si>
    <t>OFF-BI-40145</t>
  </si>
  <si>
    <t>Activity Binders</t>
  </si>
  <si>
    <t>TX-2024-808029</t>
  </si>
  <si>
    <t>WZ-94837</t>
  </si>
  <si>
    <t>Nathaniel Foster</t>
  </si>
  <si>
    <t>FUR-CH-15655</t>
  </si>
  <si>
    <t>Manage Chairs</t>
  </si>
  <si>
    <t>OH-2023-854500</t>
  </si>
  <si>
    <t>EO-89498</t>
  </si>
  <si>
    <t>Leslie Thompson</t>
  </si>
  <si>
    <t>OFF-BI-38752</t>
  </si>
  <si>
    <t>Forward Binders</t>
  </si>
  <si>
    <t>MI-2023-340977</t>
  </si>
  <si>
    <t>MM-12170</t>
  </si>
  <si>
    <t>Kayla Turner</t>
  </si>
  <si>
    <t>TEC-MA-29603</t>
  </si>
  <si>
    <t>Half Machines</t>
  </si>
  <si>
    <t>CA-2024-647403</t>
  </si>
  <si>
    <t>GP-40079</t>
  </si>
  <si>
    <t>Richard Dodson</t>
  </si>
  <si>
    <t>OFF-ST-87207</t>
  </si>
  <si>
    <t>IL-2023-105735</t>
  </si>
  <si>
    <t>NK-59155</t>
  </si>
  <si>
    <t>Mark Chandler</t>
  </si>
  <si>
    <t>FUR-TA-63588</t>
  </si>
  <si>
    <t>Sing Tables</t>
  </si>
  <si>
    <t>FL-2024-678923</t>
  </si>
  <si>
    <t>XD-43263</t>
  </si>
  <si>
    <t>Heather Gonzalez</t>
  </si>
  <si>
    <t>TEC-CO-62183</t>
  </si>
  <si>
    <t>Mrs Copiers</t>
  </si>
  <si>
    <t>CA-2023-508004</t>
  </si>
  <si>
    <t>YI-88675</t>
  </si>
  <si>
    <t>Christopher James</t>
  </si>
  <si>
    <t>FUR-BO-44483</t>
  </si>
  <si>
    <t>Entire Bookcases</t>
  </si>
  <si>
    <t>NY-2024-560295</t>
  </si>
  <si>
    <t>Michael Salazar</t>
  </si>
  <si>
    <t>TEC-AC-90634</t>
  </si>
  <si>
    <t>Green Accessories</t>
  </si>
  <si>
    <t>FL-2023-872722</t>
  </si>
  <si>
    <t>LD-55544</t>
  </si>
  <si>
    <t>George Pierce</t>
  </si>
  <si>
    <t>FUR-CH-69606</t>
  </si>
  <si>
    <t>Work Chairs</t>
  </si>
  <si>
    <t>IL-2024-827912</t>
  </si>
  <si>
    <t>ZC-54520</t>
  </si>
  <si>
    <t>Danielle Morrison</t>
  </si>
  <si>
    <t>TEC-MA-86916</t>
  </si>
  <si>
    <t>Item Machines</t>
  </si>
  <si>
    <t>PA-2023-834861</t>
  </si>
  <si>
    <t>NF-62288</t>
  </si>
  <si>
    <t>Cassidy Mitchell</t>
  </si>
  <si>
    <t>TEC-CO-19965</t>
  </si>
  <si>
    <t>Right Copiers</t>
  </si>
  <si>
    <t>FL-2023-871153</t>
  </si>
  <si>
    <t>IV-36577</t>
  </si>
  <si>
    <t>Francisco Freeman</t>
  </si>
  <si>
    <t>Orlando</t>
  </si>
  <si>
    <t>TEC-CO-30446</t>
  </si>
  <si>
    <t>Service Copiers</t>
  </si>
  <si>
    <t>PA-2024-702427</t>
  </si>
  <si>
    <t>XI-62150</t>
  </si>
  <si>
    <t>Christina Patterson</t>
  </si>
  <si>
    <t>TEC-AC-17097</t>
  </si>
  <si>
    <t>Organization Accessories</t>
  </si>
  <si>
    <t>MI-2024-822689</t>
  </si>
  <si>
    <t>NY-86153</t>
  </si>
  <si>
    <t>Elijah Pierce</t>
  </si>
  <si>
    <t>OFF-ST-90318</t>
  </si>
  <si>
    <t>Theory Storage</t>
  </si>
  <si>
    <t>PA-2024-995825</t>
  </si>
  <si>
    <t>YG-84895</t>
  </si>
  <si>
    <t>Stephen Flores</t>
  </si>
  <si>
    <t>TEC-AC-23090</t>
  </si>
  <si>
    <t>Soon Accessories</t>
  </si>
  <si>
    <t>MI-2023-990649</t>
  </si>
  <si>
    <t>PQ-83680</t>
  </si>
  <si>
    <t>Lindsey Velasquez</t>
  </si>
  <si>
    <t>FUR-FU-22972</t>
  </si>
  <si>
    <t>Mr Furnishings</t>
  </si>
  <si>
    <t>IL-2024-120798</t>
  </si>
  <si>
    <t>RO-85609</t>
  </si>
  <si>
    <t>Michael Webster</t>
  </si>
  <si>
    <t>TEC-AC-47304</t>
  </si>
  <si>
    <t>Figure Accessories</t>
  </si>
  <si>
    <t>PA-2024-761938</t>
  </si>
  <si>
    <t>IA-55039</t>
  </si>
  <si>
    <t>Derek Banks</t>
  </si>
  <si>
    <t>OFF-ST-95591</t>
  </si>
  <si>
    <t>Couple Storage</t>
  </si>
  <si>
    <t>OH-2023-292818</t>
  </si>
  <si>
    <t>YC-20494</t>
  </si>
  <si>
    <t>Carla Gonzales</t>
  </si>
  <si>
    <t>FUR-FU-23501</t>
  </si>
  <si>
    <t>Standard Furnishings</t>
  </si>
  <si>
    <t>OH-2024-340497</t>
  </si>
  <si>
    <t>FY-92114</t>
  </si>
  <si>
    <t>Janet Rivera</t>
  </si>
  <si>
    <t>FUR-CH-13744</t>
  </si>
  <si>
    <t>Number Chairs</t>
  </si>
  <si>
    <t>NY-2024-761701</t>
  </si>
  <si>
    <t>Taylor Davis</t>
  </si>
  <si>
    <t>FUR-BO-67915</t>
  </si>
  <si>
    <t>Age Bookcases</t>
  </si>
  <si>
    <t>MI-2024-414164</t>
  </si>
  <si>
    <t>WD-10946</t>
  </si>
  <si>
    <t>Amber Erickson</t>
  </si>
  <si>
    <t>OFF-BI-63967</t>
  </si>
  <si>
    <t>Identify Binders</t>
  </si>
  <si>
    <t>IL-2024-779956</t>
  </si>
  <si>
    <t>YT-33908</t>
  </si>
  <si>
    <t>Tina Johnson</t>
  </si>
  <si>
    <t>OFF-LA-93478</t>
  </si>
  <si>
    <t>Character Labels</t>
  </si>
  <si>
    <t>IL-2024-231113</t>
  </si>
  <si>
    <t>WT-21822</t>
  </si>
  <si>
    <t>Alexis Flores</t>
  </si>
  <si>
    <t>Ann Arbor</t>
  </si>
  <si>
    <t>FUR-FU-38467</t>
  </si>
  <si>
    <t>Gas Furnishings</t>
  </si>
  <si>
    <t>OH-2023-669578</t>
  </si>
  <si>
    <t>UV-60014</t>
  </si>
  <si>
    <t>Erika Ray</t>
  </si>
  <si>
    <t>FUR-CH-60436</t>
  </si>
  <si>
    <t>Decade Chairs</t>
  </si>
  <si>
    <t>IL-2024-266316</t>
  </si>
  <si>
    <t>XH-73075</t>
  </si>
  <si>
    <t>Andrew Russell</t>
  </si>
  <si>
    <t>Result Binders</t>
  </si>
  <si>
    <t>CA-2024-821846</t>
  </si>
  <si>
    <t>AJ-30669</t>
  </si>
  <si>
    <t>Laura Bryant</t>
  </si>
  <si>
    <t>FUR-TA-91937</t>
  </si>
  <si>
    <t>Television Tables</t>
  </si>
  <si>
    <t>MI-2023-122390</t>
  </si>
  <si>
    <t>GL-15175</t>
  </si>
  <si>
    <t>Dawn Chan</t>
  </si>
  <si>
    <t>TEC-MA-83272</t>
  </si>
  <si>
    <t>Cell Machines</t>
  </si>
  <si>
    <t>NY-2023-656937</t>
  </si>
  <si>
    <t>GD-80989</t>
  </si>
  <si>
    <t>Brian Garcia</t>
  </si>
  <si>
    <t>OFF-LA-93627</t>
  </si>
  <si>
    <t>Always Labels</t>
  </si>
  <si>
    <t>FL-2024-902930</t>
  </si>
  <si>
    <t>GN-63713</t>
  </si>
  <si>
    <t>Nichole Bautista</t>
  </si>
  <si>
    <t>OFF-LA-22616</t>
  </si>
  <si>
    <t>Nothing Labels</t>
  </si>
  <si>
    <t>OH-2024-651363</t>
  </si>
  <si>
    <t>QW-89423</t>
  </si>
  <si>
    <t>Jocelyn Cunningham PhD</t>
  </si>
  <si>
    <t>FUR-BO-37359</t>
  </si>
  <si>
    <t>Explain Bookcases</t>
  </si>
  <si>
    <t>IL-2023-869969</t>
  </si>
  <si>
    <t>AD-78089</t>
  </si>
  <si>
    <t>Ronald Walker</t>
  </si>
  <si>
    <t>FUR-CH-79685</t>
  </si>
  <si>
    <t>Consider Chairs</t>
  </si>
  <si>
    <t>PA-2024-836677</t>
  </si>
  <si>
    <t>MO-82085</t>
  </si>
  <si>
    <t>David Manning</t>
  </si>
  <si>
    <t>TEC-CO-96184</t>
  </si>
  <si>
    <t>Decision Copiers</t>
  </si>
  <si>
    <t>PA-2023-690500</t>
  </si>
  <si>
    <t>RD-69297</t>
  </si>
  <si>
    <t>Theresa Hughes</t>
  </si>
  <si>
    <t>OFF-LA-14543</t>
  </si>
  <si>
    <t>Draw Labels</t>
  </si>
  <si>
    <t>IL-2023-198867</t>
  </si>
  <si>
    <t>DL-28141</t>
  </si>
  <si>
    <t>Mr. Juan Shepard DVM</t>
  </si>
  <si>
    <t>OFF-AR-42749</t>
  </si>
  <si>
    <t>Play Art</t>
  </si>
  <si>
    <t>TX-2024-139186</t>
  </si>
  <si>
    <t>GI-55603</t>
  </si>
  <si>
    <t>Vincent Ward</t>
  </si>
  <si>
    <t>OFF-LA-39716</t>
  </si>
  <si>
    <t>Born Labels</t>
  </si>
  <si>
    <t>FL-2023-152973</t>
  </si>
  <si>
    <t>YG-66614</t>
  </si>
  <si>
    <t>Dylan Taylor</t>
  </si>
  <si>
    <t>OFF-BI-27326</t>
  </si>
  <si>
    <t>Father Binders</t>
  </si>
  <si>
    <t>MI-2023-611559</t>
  </si>
  <si>
    <t>EV-41760</t>
  </si>
  <si>
    <t>Adam Cole</t>
  </si>
  <si>
    <t>OFF-PA-52390</t>
  </si>
  <si>
    <t>Term Paper</t>
  </si>
  <si>
    <t>NY-2024-746154</t>
  </si>
  <si>
    <t>XX-15882</t>
  </si>
  <si>
    <t>Alexandra Mahoney</t>
  </si>
  <si>
    <t>FUR-TA-30446</t>
  </si>
  <si>
    <t>Minute Tables</t>
  </si>
  <si>
    <t>TX-2024-571923</t>
  </si>
  <si>
    <t>WT-80517</t>
  </si>
  <si>
    <t>James Small</t>
  </si>
  <si>
    <t>FUR-TA-81932</t>
  </si>
  <si>
    <t>Edge Tables</t>
  </si>
  <si>
    <t>IL-2023-587546</t>
  </si>
  <si>
    <t>IJ-96898</t>
  </si>
  <si>
    <t>Philip Ford</t>
  </si>
  <si>
    <t>OFF-LA-12500</t>
  </si>
  <si>
    <t>Never Labels</t>
  </si>
  <si>
    <t>FL-2024-687923</t>
  </si>
  <si>
    <t>IW-53721</t>
  </si>
  <si>
    <t>Tracy Meadows</t>
  </si>
  <si>
    <t>OFF-BI-12408</t>
  </si>
  <si>
    <t>Them Binders</t>
  </si>
  <si>
    <t>CA-2024-336540</t>
  </si>
  <si>
    <t>BC-21507</t>
  </si>
  <si>
    <t>Mark Brooks</t>
  </si>
  <si>
    <t>OFF-AR-98866</t>
  </si>
  <si>
    <t>War Art</t>
  </si>
  <si>
    <t>NY-2023-244818</t>
  </si>
  <si>
    <t>MC-29025</t>
  </si>
  <si>
    <t>Thomas Hood MD</t>
  </si>
  <si>
    <t>Springfield</t>
  </si>
  <si>
    <t>TEC-AC-51614</t>
  </si>
  <si>
    <t>Life Accessories</t>
  </si>
  <si>
    <t>IL-2024-881828</t>
  </si>
  <si>
    <t>CR-27241</t>
  </si>
  <si>
    <t>Patricia Avila</t>
  </si>
  <si>
    <t>FUR-TA-89377</t>
  </si>
  <si>
    <t>Music Tables</t>
  </si>
  <si>
    <t>PA-2023-993522</t>
  </si>
  <si>
    <t>TF-31467</t>
  </si>
  <si>
    <t>Patricia Mcconnell</t>
  </si>
  <si>
    <t>FUR-BO-63554</t>
  </si>
  <si>
    <t>Soldier Bookcases</t>
  </si>
  <si>
    <t>MI-2024-821276</t>
  </si>
  <si>
    <t>NC-63066</t>
  </si>
  <si>
    <t>Michael Allen</t>
  </si>
  <si>
    <t>TEC-MA-51012</t>
  </si>
  <si>
    <t>Remember Machines</t>
  </si>
  <si>
    <t>FL-2024-870881</t>
  </si>
  <si>
    <t>CN-34884</t>
  </si>
  <si>
    <t>Dr. Theresa Miller</t>
  </si>
  <si>
    <t>OFF-PA-49918</t>
  </si>
  <si>
    <t>Thought Paper</t>
  </si>
  <si>
    <t>TX-2023-288503</t>
  </si>
  <si>
    <t>RP-69098</t>
  </si>
  <si>
    <t>Carl Alvarado</t>
  </si>
  <si>
    <t>FUR-FU-87373</t>
  </si>
  <si>
    <t>On Furnishings</t>
  </si>
  <si>
    <t>MI-2024-189450</t>
  </si>
  <si>
    <t>RT-82134</t>
  </si>
  <si>
    <t>Catherine Morrison</t>
  </si>
  <si>
    <t>FUR-CH-53934</t>
  </si>
  <si>
    <t>Miss Chairs</t>
  </si>
  <si>
    <t>NY-2023-237962</t>
  </si>
  <si>
    <t>SY-70115</t>
  </si>
  <si>
    <t>Kristen Jackson</t>
  </si>
  <si>
    <t>OFF-AR-10753</t>
  </si>
  <si>
    <t>Little Art</t>
  </si>
  <si>
    <t>IL-2023-151295</t>
  </si>
  <si>
    <t>TT-14813</t>
  </si>
  <si>
    <t>Patrick Cooper</t>
  </si>
  <si>
    <t>FUR-TA-53399</t>
  </si>
  <si>
    <t>Difficult Tables</t>
  </si>
  <si>
    <t>NY-2024-885734</t>
  </si>
  <si>
    <t>EI-52312</t>
  </si>
  <si>
    <t>Kellie Brennan</t>
  </si>
  <si>
    <t>OFF-LA-66010</t>
  </si>
  <si>
    <t>Establish Labels</t>
  </si>
  <si>
    <t>CA-2023-699121</t>
  </si>
  <si>
    <t>IW-89802</t>
  </si>
  <si>
    <t>Kara Potter</t>
  </si>
  <si>
    <t>OFF-AR-85385</t>
  </si>
  <si>
    <t>Believe Art</t>
  </si>
  <si>
    <t>IL-2023-101657</t>
  </si>
  <si>
    <t>LJ-37175</t>
  </si>
  <si>
    <t>Nicholas Edwards</t>
  </si>
  <si>
    <t>OFF-PA-15962</t>
  </si>
  <si>
    <t>There Paper</t>
  </si>
  <si>
    <t>CA-2023-819150</t>
  </si>
  <si>
    <t>HZ-33020</t>
  </si>
  <si>
    <t>Amber Berry</t>
  </si>
  <si>
    <t>OFF-ST-98142</t>
  </si>
  <si>
    <t>Forget Storage</t>
  </si>
  <si>
    <t>OH-2023-975671</t>
  </si>
  <si>
    <t>JN-37297</t>
  </si>
  <si>
    <t>Scott Gray</t>
  </si>
  <si>
    <t>TEC-CO-56346</t>
  </si>
  <si>
    <t>Carry Copiers</t>
  </si>
  <si>
    <t>TX-2024-839525</t>
  </si>
  <si>
    <t>GV-64246</t>
  </si>
  <si>
    <t>Angelica Copeland</t>
  </si>
  <si>
    <t>OFF-BI-58704</t>
  </si>
  <si>
    <t>Under Binders</t>
  </si>
  <si>
    <t>MI-2023-299451</t>
  </si>
  <si>
    <t>QD-28781</t>
  </si>
  <si>
    <t>John Kerr</t>
  </si>
  <si>
    <t>Believe Accessories</t>
  </si>
  <si>
    <t>MI-2023-208111</t>
  </si>
  <si>
    <t>IJ-52058</t>
  </si>
  <si>
    <t>Nicole Bailey</t>
  </si>
  <si>
    <t>FUR-TA-46261</t>
  </si>
  <si>
    <t>Board Tables</t>
  </si>
  <si>
    <t>PA-2024-248433</t>
  </si>
  <si>
    <t>MR-19337</t>
  </si>
  <si>
    <t>Randall Wilson</t>
  </si>
  <si>
    <t>TEC-CO-80854</t>
  </si>
  <si>
    <t>Car Copiers</t>
  </si>
  <si>
    <t>MI-2024-427617</t>
  </si>
  <si>
    <t>PP-84421</t>
  </si>
  <si>
    <t>Kevin Donovan</t>
  </si>
  <si>
    <t>FUR-FU-22748</t>
  </si>
  <si>
    <t>Age Furnishings</t>
  </si>
  <si>
    <t>PA-2024-575301</t>
  </si>
  <si>
    <t>FQ-24796</t>
  </si>
  <si>
    <t>Darren Chandler</t>
  </si>
  <si>
    <t>OFF-PA-32387</t>
  </si>
  <si>
    <t>High Paper</t>
  </si>
  <si>
    <t>IL-2024-520286</t>
  </si>
  <si>
    <t>HB-73225</t>
  </si>
  <si>
    <t>Bryce Meyers</t>
  </si>
  <si>
    <t>FUR-TA-37294</t>
  </si>
  <si>
    <t>Rule Tables</t>
  </si>
  <si>
    <t>MI-2023-720928</t>
  </si>
  <si>
    <t>DZ-33091</t>
  </si>
  <si>
    <t>Joshua Murphy</t>
  </si>
  <si>
    <t>OFF-LA-88415</t>
  </si>
  <si>
    <t>Order Labels</t>
  </si>
  <si>
    <t>CA-2023-792984</t>
  </si>
  <si>
    <t>NJ-90684</t>
  </si>
  <si>
    <t>John Zimmerman</t>
  </si>
  <si>
    <t>OFF-BI-36956</t>
  </si>
  <si>
    <t>Story Binders</t>
  </si>
  <si>
    <t>TX-2023-741194</t>
  </si>
  <si>
    <t>YB-58394</t>
  </si>
  <si>
    <t>Amanda Franklin</t>
  </si>
  <si>
    <t>FUR-BO-83404</t>
  </si>
  <si>
    <t>List Bookcases</t>
  </si>
  <si>
    <t>OH-2024-671598</t>
  </si>
  <si>
    <t>VC-28228</t>
  </si>
  <si>
    <t>Eric Moody</t>
  </si>
  <si>
    <t>TEC-MA-57223</t>
  </si>
  <si>
    <t>Should Machines</t>
  </si>
  <si>
    <t>OH-2023-188776</t>
  </si>
  <si>
    <t>GP-89223</t>
  </si>
  <si>
    <t>Brittany Hernandez</t>
  </si>
  <si>
    <t>TEC-AC-69558</t>
  </si>
  <si>
    <t>Where Accessories</t>
  </si>
  <si>
    <t>IL-2024-672696</t>
  </si>
  <si>
    <t>PG-58310</t>
  </si>
  <si>
    <t>Tasha Lopez</t>
  </si>
  <si>
    <t>TEC-MA-20494</t>
  </si>
  <si>
    <t>Special Machines</t>
  </si>
  <si>
    <t>TX-2024-742818</t>
  </si>
  <si>
    <t>VE-69511</t>
  </si>
  <si>
    <t>Garrett Lang</t>
  </si>
  <si>
    <t>OFF-AR-53452</t>
  </si>
  <si>
    <t>Price Art</t>
  </si>
  <si>
    <t>NY-2023-788201</t>
  </si>
  <si>
    <t>DX-73538</t>
  </si>
  <si>
    <t>Christopher Adams</t>
  </si>
  <si>
    <t>FUR-BO-46418</t>
  </si>
  <si>
    <t>Among Bookcases</t>
  </si>
  <si>
    <t>PA-2023-373943</t>
  </si>
  <si>
    <t>ZS-54937</t>
  </si>
  <si>
    <t>Jeffrey Gordon</t>
  </si>
  <si>
    <t>FUR-CH-75004</t>
  </si>
  <si>
    <t>Day Chairs</t>
  </si>
  <si>
    <t>TX-2023-275741</t>
  </si>
  <si>
    <t>ZN-72425</t>
  </si>
  <si>
    <t>Zachary Abbott</t>
  </si>
  <si>
    <t>TEC-AC-59781</t>
  </si>
  <si>
    <t>Support Accessories</t>
  </si>
  <si>
    <t>CA-2023-657101</t>
  </si>
  <si>
    <t>VW-45432</t>
  </si>
  <si>
    <t>Christopher Hooper</t>
  </si>
  <si>
    <t>FUR-TA-95766</t>
  </si>
  <si>
    <t>Town Tables</t>
  </si>
  <si>
    <t>CA-2023-112542</t>
  </si>
  <si>
    <t>JY-56073</t>
  </si>
  <si>
    <t>Christopher Ward</t>
  </si>
  <si>
    <t>TEC-CO-43016</t>
  </si>
  <si>
    <t>Avoid Copiers</t>
  </si>
  <si>
    <t>TX-2023-998043</t>
  </si>
  <si>
    <t>TR-34151</t>
  </si>
  <si>
    <t>Leslie Johnson</t>
  </si>
  <si>
    <t>OFF-PA-96570</t>
  </si>
  <si>
    <t>Course Paper</t>
  </si>
  <si>
    <t>CA-2024-507466</t>
  </si>
  <si>
    <t>TJ-33321</t>
  </si>
  <si>
    <t>Maria Peterson</t>
  </si>
  <si>
    <t>FUR-FU-36302</t>
  </si>
  <si>
    <t>Fact Furnishings</t>
  </si>
  <si>
    <t>CA-2023-173832</t>
  </si>
  <si>
    <t>EB-29510</t>
  </si>
  <si>
    <t>Victoria Farmer</t>
  </si>
  <si>
    <t>TEC-PH-14959</t>
  </si>
  <si>
    <t>Leader Phones</t>
  </si>
  <si>
    <t>TX-2023-103468</t>
  </si>
  <si>
    <t>HZ-84349</t>
  </si>
  <si>
    <t>Robert Davis</t>
  </si>
  <si>
    <t>OFF-ST-99369</t>
  </si>
  <si>
    <t>Television Storage</t>
  </si>
  <si>
    <t>CA-2024-792829</t>
  </si>
  <si>
    <t>LA-92656</t>
  </si>
  <si>
    <t>Nicole Levy</t>
  </si>
  <si>
    <t>OFF-PA-21123</t>
  </si>
  <si>
    <t>View Paper</t>
  </si>
  <si>
    <t>IL-2024-659876</t>
  </si>
  <si>
    <t>EW-17347</t>
  </si>
  <si>
    <t>Kelly Martinez</t>
  </si>
  <si>
    <t>TEC-PH-63150</t>
  </si>
  <si>
    <t>Attention Phones</t>
  </si>
  <si>
    <t>MI-2023-594109</t>
  </si>
  <si>
    <t>FZ-32577</t>
  </si>
  <si>
    <t>Elizabeth Smith</t>
  </si>
  <si>
    <t>FUR-TA-22752</t>
  </si>
  <si>
    <t>Both Tables</t>
  </si>
  <si>
    <t>PA-2024-439984</t>
  </si>
  <si>
    <t>RF-37948</t>
  </si>
  <si>
    <t>Edward Sherman Jr.</t>
  </si>
  <si>
    <t>TEC-AC-53975</t>
  </si>
  <si>
    <t>Discussion Accessories</t>
  </si>
  <si>
    <t>OH-2023-116389</t>
  </si>
  <si>
    <t>DJ-33516</t>
  </si>
  <si>
    <t>Christine Wolf</t>
  </si>
  <si>
    <t>TEC-CO-64555</t>
  </si>
  <si>
    <t>Race Copiers</t>
  </si>
  <si>
    <t>NY-2024-741780</t>
  </si>
  <si>
    <t>VT-64891</t>
  </si>
  <si>
    <t>Anthony Mcneil</t>
  </si>
  <si>
    <t>TEC-AC-35153</t>
  </si>
  <si>
    <t>All Accessories</t>
  </si>
  <si>
    <t>CA-2023-218152</t>
  </si>
  <si>
    <t>LY-33111</t>
  </si>
  <si>
    <t>Jennifer Parker MD</t>
  </si>
  <si>
    <t>TEC-PH-17081</t>
  </si>
  <si>
    <t>Color Phones</t>
  </si>
  <si>
    <t>NY-2023-923648</t>
  </si>
  <si>
    <t>TX-40841</t>
  </si>
  <si>
    <t>Brett Sanders</t>
  </si>
  <si>
    <t>OFF-AR-85990</t>
  </si>
  <si>
    <t>Before Art</t>
  </si>
  <si>
    <t>TX-2024-713513</t>
  </si>
  <si>
    <t>QN-38333</t>
  </si>
  <si>
    <t>William Smith</t>
  </si>
  <si>
    <t>OFF-BI-60768</t>
  </si>
  <si>
    <t>Recognize Binders</t>
  </si>
  <si>
    <t>MI-2024-538539</t>
  </si>
  <si>
    <t>BC-89119</t>
  </si>
  <si>
    <t>Tyler Shepard</t>
  </si>
  <si>
    <t>TEC-AC-85775</t>
  </si>
  <si>
    <t>Rich Accessories</t>
  </si>
  <si>
    <t>OH-2023-359870</t>
  </si>
  <si>
    <t>ZY-85196</t>
  </si>
  <si>
    <t>Sarah Mays</t>
  </si>
  <si>
    <t>OFF-LA-15250</t>
  </si>
  <si>
    <t>Mean Labels</t>
  </si>
  <si>
    <t>CA-2024-328596</t>
  </si>
  <si>
    <t>FA-94887</t>
  </si>
  <si>
    <t>Shannon Thomas</t>
  </si>
  <si>
    <t>FUR-FU-97691</t>
  </si>
  <si>
    <t>Tree Furnishings</t>
  </si>
  <si>
    <t>PA-2024-838094</t>
  </si>
  <si>
    <t>FY-53634</t>
  </si>
  <si>
    <t>George Palmer</t>
  </si>
  <si>
    <t>FUR-TA-65823</t>
  </si>
  <si>
    <t>Local Tables</t>
  </si>
  <si>
    <t>PA-2023-216356</t>
  </si>
  <si>
    <t>JM-57916</t>
  </si>
  <si>
    <t>Tammy Jackson</t>
  </si>
  <si>
    <t>FUR-BO-83499</t>
  </si>
  <si>
    <t>Unit Bookcases</t>
  </si>
  <si>
    <t>FL-2023-436030</t>
  </si>
  <si>
    <t>HK-17138</t>
  </si>
  <si>
    <t>Kevin Lindsey</t>
  </si>
  <si>
    <t>OFF-ST-69298</t>
  </si>
  <si>
    <t>Write Storage</t>
  </si>
  <si>
    <t>TX-2023-580115</t>
  </si>
  <si>
    <t>ZX-47797</t>
  </si>
  <si>
    <t>Daisy Copeland</t>
  </si>
  <si>
    <t>FUR-CH-46168</t>
  </si>
  <si>
    <t>Member Chairs</t>
  </si>
  <si>
    <t>MI-2024-540538</t>
  </si>
  <si>
    <t>EW-34780</t>
  </si>
  <si>
    <t>Jason Bridges</t>
  </si>
  <si>
    <t>FUR-CH-78107</t>
  </si>
  <si>
    <t>Operation Chairs</t>
  </si>
  <si>
    <t>IL-2023-927691</t>
  </si>
  <si>
    <t>LZ-73470</t>
  </si>
  <si>
    <t>Diane Hernandez</t>
  </si>
  <si>
    <t>OFF-LA-29443</t>
  </si>
  <si>
    <t>NY-2023-349461</t>
  </si>
  <si>
    <t>QH-67788</t>
  </si>
  <si>
    <t>Lynn Murray</t>
  </si>
  <si>
    <t>OFF-BI-36890</t>
  </si>
  <si>
    <t>Peace Binders</t>
  </si>
  <si>
    <t>MI-2023-580290</t>
  </si>
  <si>
    <t>LM-94835</t>
  </si>
  <si>
    <t>Eric Parker</t>
  </si>
  <si>
    <t>OFF-PA-47988</t>
  </si>
  <si>
    <t>Begin Paper</t>
  </si>
  <si>
    <t>TX-2024-126000</t>
  </si>
  <si>
    <t>ED-56844</t>
  </si>
  <si>
    <t>Jessica George</t>
  </si>
  <si>
    <t>OFF-LA-89711</t>
  </si>
  <si>
    <t>Others Labels</t>
  </si>
  <si>
    <t>TX-2024-303895</t>
  </si>
  <si>
    <t>KX-62108</t>
  </si>
  <si>
    <t>Javier Guzman</t>
  </si>
  <si>
    <t>TEC-MA-58448</t>
  </si>
  <si>
    <t>Hold Machines</t>
  </si>
  <si>
    <t>OH-2024-402654</t>
  </si>
  <si>
    <t>GZ-28293</t>
  </si>
  <si>
    <t>Christopher Douglas</t>
  </si>
  <si>
    <t>TEC-PH-28827</t>
  </si>
  <si>
    <t>Hit Phones</t>
  </si>
  <si>
    <t>OH-2023-682813</t>
  </si>
  <si>
    <t>JN-34380</t>
  </si>
  <si>
    <t>Stephanie Robinson</t>
  </si>
  <si>
    <t>OFF-AR-74302</t>
  </si>
  <si>
    <t>Simple Art</t>
  </si>
  <si>
    <t>MI-2023-785572</t>
  </si>
  <si>
    <t>UU-94513</t>
  </si>
  <si>
    <t>Mathew Norman</t>
  </si>
  <si>
    <t>FUR-BO-46335</t>
  </si>
  <si>
    <t>Her Bookcases</t>
  </si>
  <si>
    <t>TX-2024-637422</t>
  </si>
  <si>
    <t>VM-29154</t>
  </si>
  <si>
    <t>Brittany Ho</t>
  </si>
  <si>
    <t>OFF-BI-56843</t>
  </si>
  <si>
    <t>Human Binders</t>
  </si>
  <si>
    <t>NY-2023-727847</t>
  </si>
  <si>
    <t>AX-99780</t>
  </si>
  <si>
    <t>Bernard Pearson</t>
  </si>
  <si>
    <t>OFF-ST-22561</t>
  </si>
  <si>
    <t>Term Storage</t>
  </si>
  <si>
    <t>NY-2023-971968</t>
  </si>
  <si>
    <t>NA-70357</t>
  </si>
  <si>
    <t>Andrea Durham</t>
  </si>
  <si>
    <t>FUR-CH-12277</t>
  </si>
  <si>
    <t>Model Chairs</t>
  </si>
  <si>
    <t>TX-2023-234966</t>
  </si>
  <si>
    <t>AD-26429</t>
  </si>
  <si>
    <t>Sarah Martin</t>
  </si>
  <si>
    <t>FUR-BO-65680</t>
  </si>
  <si>
    <t>World Bookcases</t>
  </si>
  <si>
    <t>MI-2023-365302</t>
  </si>
  <si>
    <t>LE-22648</t>
  </si>
  <si>
    <t>Todd Willis</t>
  </si>
  <si>
    <t>TEC-AC-87018</t>
  </si>
  <si>
    <t>Expert Accessories</t>
  </si>
  <si>
    <t>FL-2023-203919</t>
  </si>
  <si>
    <t>FR-46943</t>
  </si>
  <si>
    <t>Christine Morales</t>
  </si>
  <si>
    <t>TEC-PH-22934</t>
  </si>
  <si>
    <t>Spend Phones</t>
  </si>
  <si>
    <t>FL-2023-527376</t>
  </si>
  <si>
    <t>PU-24459</t>
  </si>
  <si>
    <t>Brian Edwards</t>
  </si>
  <si>
    <t>FUR-FU-57349</t>
  </si>
  <si>
    <t>Begin Furnishings</t>
  </si>
  <si>
    <t>FL-2024-404704</t>
  </si>
  <si>
    <t>FC-99015</t>
  </si>
  <si>
    <t>Elizabeth Clark</t>
  </si>
  <si>
    <t>FUR-BO-98363</t>
  </si>
  <si>
    <t>Scene Bookcases</t>
  </si>
  <si>
    <t>NY-2023-481377</t>
  </si>
  <si>
    <t>QH-26090</t>
  </si>
  <si>
    <t>Peter Sanchez</t>
  </si>
  <si>
    <t>OFF-PA-46505</t>
  </si>
  <si>
    <t>Social Paper</t>
  </si>
  <si>
    <t>MI-2024-254532</t>
  </si>
  <si>
    <t>KY-74138</t>
  </si>
  <si>
    <t>Whitney Cook</t>
  </si>
  <si>
    <t>FUR-CH-13895</t>
  </si>
  <si>
    <t>Democrat Chairs</t>
  </si>
  <si>
    <t>TX-2024-931239</t>
  </si>
  <si>
    <t>ME-74258</t>
  </si>
  <si>
    <t>Amanda Porter</t>
  </si>
  <si>
    <t>OFF-AR-55038</t>
  </si>
  <si>
    <t>MI-2024-137728</t>
  </si>
  <si>
    <t>OI-74419</t>
  </si>
  <si>
    <t>Linda Austin</t>
  </si>
  <si>
    <t>FUR-TA-60997</t>
  </si>
  <si>
    <t>Note Tables</t>
  </si>
  <si>
    <t>OH-2024-618721</t>
  </si>
  <si>
    <t>NG-52006</t>
  </si>
  <si>
    <t>Craig Long</t>
  </si>
  <si>
    <t>FUR-BO-26803</t>
  </si>
  <si>
    <t>Sort Bookcases</t>
  </si>
  <si>
    <t>FL-2023-346019</t>
  </si>
  <si>
    <t>ST-49965</t>
  </si>
  <si>
    <t>Nancy Smith</t>
  </si>
  <si>
    <t>OFF-BI-12583</t>
  </si>
  <si>
    <t>Way Binders</t>
  </si>
  <si>
    <t>PA-2024-698059</t>
  </si>
  <si>
    <t>SR-23114</t>
  </si>
  <si>
    <t>Brandon Brown</t>
  </si>
  <si>
    <t>TEC-AC-54035</t>
  </si>
  <si>
    <t>Church Accessories</t>
  </si>
  <si>
    <t>FL-2024-378035</t>
  </si>
  <si>
    <t>DA-91863</t>
  </si>
  <si>
    <t>Brittany Sullivan</t>
  </si>
  <si>
    <t>FUR-BO-87576</t>
  </si>
  <si>
    <t>Whose Bookcases</t>
  </si>
  <si>
    <t>OH-2024-309795</t>
  </si>
  <si>
    <t>QP-98022</t>
  </si>
  <si>
    <t>Evelyn Richard</t>
  </si>
  <si>
    <t>FUR-BO-92292</t>
  </si>
  <si>
    <t>Management Bookcases</t>
  </si>
  <si>
    <t>OH-2023-647639</t>
  </si>
  <si>
    <t>VO-41506</t>
  </si>
  <si>
    <t>Mark Brown</t>
  </si>
  <si>
    <t>TEC-CO-67067</t>
  </si>
  <si>
    <t>Vote Copiers</t>
  </si>
  <si>
    <t>NY-2023-129049</t>
  </si>
  <si>
    <t>MD-83377</t>
  </si>
  <si>
    <t>Jason Carr</t>
  </si>
  <si>
    <t>OFF-LA-36475</t>
  </si>
  <si>
    <t>Relate Labels</t>
  </si>
  <si>
    <t>CA-2023-188006</t>
  </si>
  <si>
    <t>LL-63347</t>
  </si>
  <si>
    <t>Heather Harris</t>
  </si>
  <si>
    <t>TEC-PH-62021</t>
  </si>
  <si>
    <t>Act Phones</t>
  </si>
  <si>
    <t>IL-2024-194632</t>
  </si>
  <si>
    <t>CK-53160</t>
  </si>
  <si>
    <t>Michael Brown</t>
  </si>
  <si>
    <t>TEC-MA-40924</t>
  </si>
  <si>
    <t>Message Machines</t>
  </si>
  <si>
    <t>TX-2024-672255</t>
  </si>
  <si>
    <t>QO-28993</t>
  </si>
  <si>
    <t>Ashley Jones</t>
  </si>
  <si>
    <t>OFF-ST-50392</t>
  </si>
  <si>
    <t>According Storage</t>
  </si>
  <si>
    <t>IL-2024-951706</t>
  </si>
  <si>
    <t>GI-60917</t>
  </si>
  <si>
    <t>Lisa Riley MD</t>
  </si>
  <si>
    <t>OFF-ST-49438</t>
  </si>
  <si>
    <t>Medical Storage</t>
  </si>
  <si>
    <t>CA-2024-183985</t>
  </si>
  <si>
    <t>ZH-65360</t>
  </si>
  <si>
    <t>Richard Schmidt</t>
  </si>
  <si>
    <t>FUR-TA-76366</t>
  </si>
  <si>
    <t>Nothing Tables</t>
  </si>
  <si>
    <t>MI-2023-103225</t>
  </si>
  <si>
    <t>IW-85472</t>
  </si>
  <si>
    <t>James Wright</t>
  </si>
  <si>
    <t>FUR-CH-42716</t>
  </si>
  <si>
    <t>Democratic Chairs</t>
  </si>
  <si>
    <t>PA-2024-308314</t>
  </si>
  <si>
    <t>WC-61576</t>
  </si>
  <si>
    <t>Rhonda Baker</t>
  </si>
  <si>
    <t>TEC-AC-12717</t>
  </si>
  <si>
    <t>Hold Accessories</t>
  </si>
  <si>
    <t>OH-2024-256501</t>
  </si>
  <si>
    <t>UP-11850</t>
  </si>
  <si>
    <t>Kara Nolan</t>
  </si>
  <si>
    <t>TEC-MA-69468</t>
  </si>
  <si>
    <t>His Machines</t>
  </si>
  <si>
    <t>OH-2023-729232</t>
  </si>
  <si>
    <t>SI-33641</t>
  </si>
  <si>
    <t>Daniel Rodriguez</t>
  </si>
  <si>
    <t>FUR-BO-48036</t>
  </si>
  <si>
    <t>Dinner Bookcases</t>
  </si>
  <si>
    <t>OH-2023-847986</t>
  </si>
  <si>
    <t>IU-19575</t>
  </si>
  <si>
    <t>Casey Lindsey</t>
  </si>
  <si>
    <t>TEC-PH-16830</t>
  </si>
  <si>
    <t>Majority Phones</t>
  </si>
  <si>
    <t>IL-2024-417201</t>
  </si>
  <si>
    <t>BD-83342</t>
  </si>
  <si>
    <t>Brett Adams</t>
  </si>
  <si>
    <t>TEC-AC-44116</t>
  </si>
  <si>
    <t>Financial Accessories</t>
  </si>
  <si>
    <t>NY-2024-975355</t>
  </si>
  <si>
    <t>DR-47083</t>
  </si>
  <si>
    <t>Johnny Humphrey</t>
  </si>
  <si>
    <t>TEC-CO-77760</t>
  </si>
  <si>
    <t>Year Copiers</t>
  </si>
  <si>
    <t>FL-2023-157217</t>
  </si>
  <si>
    <t>RQ-44108</t>
  </si>
  <si>
    <t>Bryan Gardner</t>
  </si>
  <si>
    <t>TEC-MA-67203</t>
  </si>
  <si>
    <t>Join Machines</t>
  </si>
  <si>
    <t>PA-2023-313630</t>
  </si>
  <si>
    <t>GD-83825</t>
  </si>
  <si>
    <t>Robert Moore</t>
  </si>
  <si>
    <t>TEC-AC-86486</t>
  </si>
  <si>
    <t>Word Accessories</t>
  </si>
  <si>
    <t>IL-2023-513316</t>
  </si>
  <si>
    <t>YT-30155</t>
  </si>
  <si>
    <t>Julie Thomas</t>
  </si>
  <si>
    <t>FUR-FU-96447</t>
  </si>
  <si>
    <t>Either Furnishings</t>
  </si>
  <si>
    <t>NY-2023-151047</t>
  </si>
  <si>
    <t>RF-81716</t>
  </si>
  <si>
    <t>Max Campbell</t>
  </si>
  <si>
    <t>OFF-LA-62279</t>
  </si>
  <si>
    <t>Summer Labels</t>
  </si>
  <si>
    <t>TX-2024-614688</t>
  </si>
  <si>
    <t>NU-57060</t>
  </si>
  <si>
    <t>Angela Mitchell</t>
  </si>
  <si>
    <t>FUR-TA-77194</t>
  </si>
  <si>
    <t>Morning Tables</t>
  </si>
  <si>
    <t>OH-2023-142402</t>
  </si>
  <si>
    <t>IR-74922</t>
  </si>
  <si>
    <t>Gina Russo</t>
  </si>
  <si>
    <t>TEC-PH-48103</t>
  </si>
  <si>
    <t>Place Phones</t>
  </si>
  <si>
    <t>TX-2023-638354</t>
  </si>
  <si>
    <t>MK-22384</t>
  </si>
  <si>
    <t>Kenneth Tran</t>
  </si>
  <si>
    <t>TEC-CO-56590</t>
  </si>
  <si>
    <t>Water Copiers</t>
  </si>
  <si>
    <t>IL-2024-715732</t>
  </si>
  <si>
    <t>IY-54739</t>
  </si>
  <si>
    <t>Brandon Larson</t>
  </si>
  <si>
    <t>FUR-CH-20252</t>
  </si>
  <si>
    <t>Card Chairs</t>
  </si>
  <si>
    <t>OH-2024-417508</t>
  </si>
  <si>
    <t>NU-21486</t>
  </si>
  <si>
    <t>Derek Hunter</t>
  </si>
  <si>
    <t>FUR-BO-35008</t>
  </si>
  <si>
    <t>Measure Bookcases</t>
  </si>
  <si>
    <t>FL-2023-415535</t>
  </si>
  <si>
    <t>AC-12859</t>
  </si>
  <si>
    <t>John Kline</t>
  </si>
  <si>
    <t>FUR-CH-68361</t>
  </si>
  <si>
    <t>Three Chairs</t>
  </si>
  <si>
    <t>OH-2024-989838</t>
  </si>
  <si>
    <t>QL-73897</t>
  </si>
  <si>
    <t>Kimberly Carpenter</t>
  </si>
  <si>
    <t>OFF-AR-87468</t>
  </si>
  <si>
    <t>Condition Art</t>
  </si>
  <si>
    <t>MI-2023-618823</t>
  </si>
  <si>
    <t>GV-31146</t>
  </si>
  <si>
    <t>Donald Nguyen</t>
  </si>
  <si>
    <t>TEC-AC-71504</t>
  </si>
  <si>
    <t>Study Accessories</t>
  </si>
  <si>
    <t>IL-2024-537110</t>
  </si>
  <si>
    <t>GP-47022</t>
  </si>
  <si>
    <t>Brianna Vazquez</t>
  </si>
  <si>
    <t>TEC-PH-97432</t>
  </si>
  <si>
    <t>Treatment Phones</t>
  </si>
  <si>
    <t>CA-2024-373477</t>
  </si>
  <si>
    <t>QQ-75991</t>
  </si>
  <si>
    <t>Diana Bailey</t>
  </si>
  <si>
    <t>FUR-TA-66442</t>
  </si>
  <si>
    <t>Catch Tables</t>
  </si>
  <si>
    <t>NY-2023-840719</t>
  </si>
  <si>
    <t>DP-23879</t>
  </si>
  <si>
    <t>Brandon Bennett</t>
  </si>
  <si>
    <t>TEC-PH-83724</t>
  </si>
  <si>
    <t>Prepare Phones</t>
  </si>
  <si>
    <t>TX-2023-778526</t>
  </si>
  <si>
    <t>WI-36462</t>
  </si>
  <si>
    <t>Dana Hernandez</t>
  </si>
  <si>
    <t>OFF-LA-42154</t>
  </si>
  <si>
    <t>Cold Labels</t>
  </si>
  <si>
    <t>OH-2023-244697</t>
  </si>
  <si>
    <t>RX-77653</t>
  </si>
  <si>
    <t>Jared Bass</t>
  </si>
  <si>
    <t>OFF-LA-68009</t>
  </si>
  <si>
    <t>Bar Labels</t>
  </si>
  <si>
    <t>NY-2023-762288</t>
  </si>
  <si>
    <t>LB-51116</t>
  </si>
  <si>
    <t>Matthew Lopez</t>
  </si>
  <si>
    <t>FUR-TA-79178</t>
  </si>
  <si>
    <t>Story Tables</t>
  </si>
  <si>
    <t>OH-2023-416178</t>
  </si>
  <si>
    <t>KC-26515</t>
  </si>
  <si>
    <t>Vincent Cain</t>
  </si>
  <si>
    <t>TEC-CO-38014</t>
  </si>
  <si>
    <t>Serve Copiers</t>
  </si>
  <si>
    <t>IL-2024-629818</t>
  </si>
  <si>
    <t>NZ-44046</t>
  </si>
  <si>
    <t>John Jarvis</t>
  </si>
  <si>
    <t>TEC-CO-26228</t>
  </si>
  <si>
    <t>Learn Copiers</t>
  </si>
  <si>
    <t>FL-2024-413735</t>
  </si>
  <si>
    <t>FN-78113</t>
  </si>
  <si>
    <t>Brett Johnson</t>
  </si>
  <si>
    <t>FUR-BO-52971</t>
  </si>
  <si>
    <t>Fund Bookcases</t>
  </si>
  <si>
    <t>FL-2024-181865</t>
  </si>
  <si>
    <t>FI-44562</t>
  </si>
  <si>
    <t>Ashley Evans</t>
  </si>
  <si>
    <t>OFF-PA-67682</t>
  </si>
  <si>
    <t>Push Paper</t>
  </si>
  <si>
    <t>TX-2023-577555</t>
  </si>
  <si>
    <t>NO-25566</t>
  </si>
  <si>
    <t>Kevin Marshall</t>
  </si>
  <si>
    <t>OFF-LA-25842</t>
  </si>
  <si>
    <t>Ready Labels</t>
  </si>
  <si>
    <t>OH-2023-419987</t>
  </si>
  <si>
    <t>YB-10273</t>
  </si>
  <si>
    <t>Scott Roberts</t>
  </si>
  <si>
    <t>TEC-CO-18855</t>
  </si>
  <si>
    <t>Trade Copiers</t>
  </si>
  <si>
    <t>NY-2024-898678</t>
  </si>
  <si>
    <t>QD-52626</t>
  </si>
  <si>
    <t>Melissa Hardy</t>
  </si>
  <si>
    <t>TEC-MA-60755</t>
  </si>
  <si>
    <t>Author Machines</t>
  </si>
  <si>
    <t>IL-2023-775192</t>
  </si>
  <si>
    <t>IJ-72368</t>
  </si>
  <si>
    <t>Loretta Burns</t>
  </si>
  <si>
    <t>FUR-BO-96278</t>
  </si>
  <si>
    <t>Be Bookcases</t>
  </si>
  <si>
    <t>PA-2024-717499</t>
  </si>
  <si>
    <t>HF-67280</t>
  </si>
  <si>
    <t>Hunter Robles</t>
  </si>
  <si>
    <t>OFF-LA-79193</t>
  </si>
  <si>
    <t>Left Labels</t>
  </si>
  <si>
    <t>OH-2023-161775</t>
  </si>
  <si>
    <t>JZ-49062</t>
  </si>
  <si>
    <t>Autumn Barrett</t>
  </si>
  <si>
    <t>FUR-TA-28672</t>
  </si>
  <si>
    <t>Whole Tables</t>
  </si>
  <si>
    <t>OH-2023-382368</t>
  </si>
  <si>
    <t>NR-18579</t>
  </si>
  <si>
    <t>Kelly Mckenzie</t>
  </si>
  <si>
    <t>FUR-FU-93039</t>
  </si>
  <si>
    <t>Walk Furnishings</t>
  </si>
  <si>
    <t>MI-2023-987386</t>
  </si>
  <si>
    <t>TW-42133</t>
  </si>
  <si>
    <t>Danielle Coleman</t>
  </si>
  <si>
    <t>Girl Art</t>
  </si>
  <si>
    <t>OH-2024-983360</t>
  </si>
  <si>
    <t>GI-31157</t>
  </si>
  <si>
    <t>Kelly Martin</t>
  </si>
  <si>
    <t>TEC-PH-49405</t>
  </si>
  <si>
    <t>Enter Phones</t>
  </si>
  <si>
    <t>PA-2024-889256</t>
  </si>
  <si>
    <t>Crystal Obrien</t>
  </si>
  <si>
    <t>Recently Art</t>
  </si>
  <si>
    <t>OH-2023-925549</t>
  </si>
  <si>
    <t>FM-98112</t>
  </si>
  <si>
    <t>Anita Rodriguez</t>
  </si>
  <si>
    <t>OFF-PA-88815</t>
  </si>
  <si>
    <t>Individual Paper</t>
  </si>
  <si>
    <t>PA-2023-194336</t>
  </si>
  <si>
    <t>GX-74724</t>
  </si>
  <si>
    <t>Sean Zhang</t>
  </si>
  <si>
    <t>FUR-TA-74597</t>
  </si>
  <si>
    <t>Sometimes Tables</t>
  </si>
  <si>
    <t>FL-2023-168535</t>
  </si>
  <si>
    <t>KS-44029</t>
  </si>
  <si>
    <t>Richard Pierce</t>
  </si>
  <si>
    <t>FUR-TA-35146</t>
  </si>
  <si>
    <t>Its Tables</t>
  </si>
  <si>
    <t>PA-2024-985356</t>
  </si>
  <si>
    <t>Sarah Peterson</t>
  </si>
  <si>
    <t>TEC-PH-39431</t>
  </si>
  <si>
    <t>Little Phones</t>
  </si>
  <si>
    <t>OH-2023-362127</t>
  </si>
  <si>
    <t>ML-18237</t>
  </si>
  <si>
    <t>Richard King</t>
  </si>
  <si>
    <t>TEC-PH-13653</t>
  </si>
  <si>
    <t>Within Phones</t>
  </si>
  <si>
    <t>PA-2023-176452</t>
  </si>
  <si>
    <t>CF-21211</t>
  </si>
  <si>
    <t>Tommy Hamilton</t>
  </si>
  <si>
    <t>FUR-FU-51062</t>
  </si>
  <si>
    <t>Half Furnishings</t>
  </si>
  <si>
    <t>CA-2024-991215</t>
  </si>
  <si>
    <t>XM-40554</t>
  </si>
  <si>
    <t>Austin Silva</t>
  </si>
  <si>
    <t>TEC-PH-69429</t>
  </si>
  <si>
    <t>Prevent Phones</t>
  </si>
  <si>
    <t>TX-2023-724086</t>
  </si>
  <si>
    <t>WS-93540</t>
  </si>
  <si>
    <t>Nicole Larson</t>
  </si>
  <si>
    <t>OFF-ST-65182</t>
  </si>
  <si>
    <t>Include Storage</t>
  </si>
  <si>
    <t>PA-2024-712018</t>
  </si>
  <si>
    <t>CF-89079</t>
  </si>
  <si>
    <t>Roberta Cardenas</t>
  </si>
  <si>
    <t>OFF-ST-11059</t>
  </si>
  <si>
    <t>Mention Storage</t>
  </si>
  <si>
    <t>FL-2023-458143</t>
  </si>
  <si>
    <t>PL-88612</t>
  </si>
  <si>
    <t>Nicole Hines</t>
  </si>
  <si>
    <t>OFF-AR-84199</t>
  </si>
  <si>
    <t>National Art</t>
  </si>
  <si>
    <t>FL-2023-589199</t>
  </si>
  <si>
    <t>XI-59271</t>
  </si>
  <si>
    <t>Andrea Jenkins</t>
  </si>
  <si>
    <t>OFF-BI-10881</t>
  </si>
  <si>
    <t>Time Binders</t>
  </si>
  <si>
    <t>CA-2023-307434</t>
  </si>
  <si>
    <t>MO-32843</t>
  </si>
  <si>
    <t>Jennifer Willis</t>
  </si>
  <si>
    <t>TEC-AC-33401</t>
  </si>
  <si>
    <t>Town Accessories</t>
  </si>
  <si>
    <t>IL-2024-351815</t>
  </si>
  <si>
    <t>XY-18569</t>
  </si>
  <si>
    <t>Melissa Castillo</t>
  </si>
  <si>
    <t>FUR-CH-34856</t>
  </si>
  <si>
    <t>We Chairs</t>
  </si>
  <si>
    <t>IL-2023-443598</t>
  </si>
  <si>
    <t>AZ-76619</t>
  </si>
  <si>
    <t>Michelle Velazquez</t>
  </si>
  <si>
    <t>OFF-BI-20670</t>
  </si>
  <si>
    <t>Color Binders</t>
  </si>
  <si>
    <t>PA-2024-850413</t>
  </si>
  <si>
    <t>TJ-93637</t>
  </si>
  <si>
    <t>Kathleen Fields</t>
  </si>
  <si>
    <t>TEC-PH-37158</t>
  </si>
  <si>
    <t>Improve Phones</t>
  </si>
  <si>
    <t>TX-2023-888133</t>
  </si>
  <si>
    <t>GM-40169</t>
  </si>
  <si>
    <t>Jeffery Stevens</t>
  </si>
  <si>
    <t>FUR-FU-77143</t>
  </si>
  <si>
    <t>Cause Furnishings</t>
  </si>
  <si>
    <t>TX-2024-186422</t>
  </si>
  <si>
    <t>WA-39850</t>
  </si>
  <si>
    <t>Daniel Curry</t>
  </si>
  <si>
    <t>FUR-BO-57216</t>
  </si>
  <si>
    <t>Beyond Bookcases</t>
  </si>
  <si>
    <t>NY-2024-108948</t>
  </si>
  <si>
    <t>NG-63183</t>
  </si>
  <si>
    <t>Brian Wong</t>
  </si>
  <si>
    <t>TEC-PH-71866</t>
  </si>
  <si>
    <t>Truth Phones</t>
  </si>
  <si>
    <t>MI-2024-930382</t>
  </si>
  <si>
    <t>DU-64747</t>
  </si>
  <si>
    <t>Sarah Jordan</t>
  </si>
  <si>
    <t>OFF-PA-83196</t>
  </si>
  <si>
    <t>It Paper</t>
  </si>
  <si>
    <t>OH-2024-899897</t>
  </si>
  <si>
    <t>HL-28236</t>
  </si>
  <si>
    <t>Angela Torres</t>
  </si>
  <si>
    <t>OFF-AR-92554</t>
  </si>
  <si>
    <t>Skill Art</t>
  </si>
  <si>
    <t>MI-2024-197770</t>
  </si>
  <si>
    <t>AA-89084</t>
  </si>
  <si>
    <t>Alison Brown</t>
  </si>
  <si>
    <t>FUR-CH-36083</t>
  </si>
  <si>
    <t>Prepare Chairs</t>
  </si>
  <si>
    <t>OH-2024-264663</t>
  </si>
  <si>
    <t>AG-19012</t>
  </si>
  <si>
    <t>Jake Paul</t>
  </si>
  <si>
    <t>FUR-CH-36958</t>
  </si>
  <si>
    <t>Can Chairs</t>
  </si>
  <si>
    <t>NY-2024-167077</t>
  </si>
  <si>
    <t>QW-84609</t>
  </si>
  <si>
    <t>Becky Singh</t>
  </si>
  <si>
    <t>OFF-PA-85514</t>
  </si>
  <si>
    <t>Fire Paper</t>
  </si>
  <si>
    <t>NY-2024-361236</t>
  </si>
  <si>
    <t>YO-60418</t>
  </si>
  <si>
    <t>Brandon Hernandez</t>
  </si>
  <si>
    <t>FUR-BO-61583</t>
  </si>
  <si>
    <t>Hot Bookcases</t>
  </si>
  <si>
    <t>FL-2024-531256</t>
  </si>
  <si>
    <t>KD-76112</t>
  </si>
  <si>
    <t>Sara Castillo</t>
  </si>
  <si>
    <t>OFF-PA-31605</t>
  </si>
  <si>
    <t>Purpose Paper</t>
  </si>
  <si>
    <t>OH-2023-111258</t>
  </si>
  <si>
    <t>JU-97856</t>
  </si>
  <si>
    <t>Kaitlin Graham</t>
  </si>
  <si>
    <t>OFF-PA-70470</t>
  </si>
  <si>
    <t>Officer Paper</t>
  </si>
  <si>
    <t>NY-2024-230182</t>
  </si>
  <si>
    <t>PI-98785</t>
  </si>
  <si>
    <t>Debra Walker MD</t>
  </si>
  <si>
    <t>FUR-FU-56935</t>
  </si>
  <si>
    <t>Themselves Furnishings</t>
  </si>
  <si>
    <t>OH-2024-565553</t>
  </si>
  <si>
    <t>Rebecca Thomas</t>
  </si>
  <si>
    <t>FUR-TA-41265</t>
  </si>
  <si>
    <t>Again Tables</t>
  </si>
  <si>
    <t>NY-2023-146150</t>
  </si>
  <si>
    <t>RZ-52294</t>
  </si>
  <si>
    <t>Lindsay Wallace</t>
  </si>
  <si>
    <t>TEC-AC-91877</t>
  </si>
  <si>
    <t>Glass Accessories</t>
  </si>
  <si>
    <t>OH-2023-581061</t>
  </si>
  <si>
    <t>YF-15759</t>
  </si>
  <si>
    <t>Randall Cooper</t>
  </si>
  <si>
    <t>FUR-FU-49522</t>
  </si>
  <si>
    <t>Since Furnishings</t>
  </si>
  <si>
    <t>OH-2023-448176</t>
  </si>
  <si>
    <t>XF-18849</t>
  </si>
  <si>
    <t>John Hawkins</t>
  </si>
  <si>
    <t>FUR-FU-60118</t>
  </si>
  <si>
    <t>Table Furnishings</t>
  </si>
  <si>
    <t>FL-2023-162833</t>
  </si>
  <si>
    <t>ZL-36478</t>
  </si>
  <si>
    <t>Debra Green</t>
  </si>
  <si>
    <t>OFF-BI-94153</t>
  </si>
  <si>
    <t>Mouth Binders</t>
  </si>
  <si>
    <t>IL-2023-340134</t>
  </si>
  <si>
    <t>RF-80688</t>
  </si>
  <si>
    <t>Patrick Anderson</t>
  </si>
  <si>
    <t>Finally Accessories</t>
  </si>
  <si>
    <t>NY-2023-231660</t>
  </si>
  <si>
    <t>EC-76509</t>
  </si>
  <si>
    <t>Patrick Hoover</t>
  </si>
  <si>
    <t>OFF-PA-50824</t>
  </si>
  <si>
    <t>Who Paper</t>
  </si>
  <si>
    <t>MI-2023-477048</t>
  </si>
  <si>
    <t>SA-67852</t>
  </si>
  <si>
    <t>John Mccarty</t>
  </si>
  <si>
    <t>TEC-MA-30431</t>
  </si>
  <si>
    <t>Expert Machines</t>
  </si>
  <si>
    <t>NY-2024-498930</t>
  </si>
  <si>
    <t>SU-59171</t>
  </si>
  <si>
    <t>Karen Gilbert</t>
  </si>
  <si>
    <t>Trip Machines</t>
  </si>
  <si>
    <t>OH-2024-502692</t>
  </si>
  <si>
    <t>OC-15089</t>
  </si>
  <si>
    <t>Desiree Miller</t>
  </si>
  <si>
    <t>OFF-AR-31281</t>
  </si>
  <si>
    <t>By Art</t>
  </si>
  <si>
    <t>OH-2024-871399</t>
  </si>
  <si>
    <t>CO-57371</t>
  </si>
  <si>
    <t>Molly Garcia</t>
  </si>
  <si>
    <t>TEC-PH-97251</t>
  </si>
  <si>
    <t>Beyond Phones</t>
  </si>
  <si>
    <t>TX-2024-516983</t>
  </si>
  <si>
    <t>LC-31734</t>
  </si>
  <si>
    <t>Timothy Maynard</t>
  </si>
  <si>
    <t>OFF-ST-75620</t>
  </si>
  <si>
    <t>Serious Storage</t>
  </si>
  <si>
    <t>PA-2023-382089</t>
  </si>
  <si>
    <t>VS-10841</t>
  </si>
  <si>
    <t>Eric Richmond</t>
  </si>
  <si>
    <t>OFF-LA-22697</t>
  </si>
  <si>
    <t>Question Labels</t>
  </si>
  <si>
    <t>TX-2024-694639</t>
  </si>
  <si>
    <t>QC-33950</t>
  </si>
  <si>
    <t>Jacob Peterson</t>
  </si>
  <si>
    <t>OFF-PA-67767</t>
  </si>
  <si>
    <t>Suddenly Paper</t>
  </si>
  <si>
    <t>MI-2024-805486</t>
  </si>
  <si>
    <t>NV-10947</t>
  </si>
  <si>
    <t>David Bennett</t>
  </si>
  <si>
    <t>TEC-PH-22693</t>
  </si>
  <si>
    <t>Six Phones</t>
  </si>
  <si>
    <t>PA-2024-430536</t>
  </si>
  <si>
    <t>DZ-90059</t>
  </si>
  <si>
    <t>Patricia Castillo</t>
  </si>
  <si>
    <t>OFF-ST-23130</t>
  </si>
  <si>
    <t>Exist Storage</t>
  </si>
  <si>
    <t>MI-2024-792299</t>
  </si>
  <si>
    <t>ET-93070</t>
  </si>
  <si>
    <t>Linda Craig</t>
  </si>
  <si>
    <t>FUR-TA-98857</t>
  </si>
  <si>
    <t>Air Tables</t>
  </si>
  <si>
    <t>TX-2024-408137</t>
  </si>
  <si>
    <t>DK-26759</t>
  </si>
  <si>
    <t>Abigail Smith</t>
  </si>
  <si>
    <t>FUR-TA-98219</t>
  </si>
  <si>
    <t>Inside Tables</t>
  </si>
  <si>
    <t>TX-2023-556018</t>
  </si>
  <si>
    <t>VS-46747</t>
  </si>
  <si>
    <t>Jacob Clay</t>
  </si>
  <si>
    <t>TEC-CO-97285</t>
  </si>
  <si>
    <t>Ask Copiers</t>
  </si>
  <si>
    <t>TX-2024-495323</t>
  </si>
  <si>
    <t>AF-39301</t>
  </si>
  <si>
    <t>Brandy Dominguez</t>
  </si>
  <si>
    <t>FUR-TA-21492</t>
  </si>
  <si>
    <t>Call Tables</t>
  </si>
  <si>
    <t>CA-2024-164891</t>
  </si>
  <si>
    <t>QY-57844</t>
  </si>
  <si>
    <t>Rebecca Norris</t>
  </si>
  <si>
    <t>FUR-CH-23970</t>
  </si>
  <si>
    <t>Shake Chairs</t>
  </si>
  <si>
    <t>CA-2024-423896</t>
  </si>
  <si>
    <t>BJ-74883</t>
  </si>
  <si>
    <t>Thomas Martinez</t>
  </si>
  <si>
    <t>TEC-MA-17708</t>
  </si>
  <si>
    <t>Consider Machines</t>
  </si>
  <si>
    <t>NY-2024-862729</t>
  </si>
  <si>
    <t>BO-81819</t>
  </si>
  <si>
    <t>Cheryl Buck</t>
  </si>
  <si>
    <t>OFF-PA-98853</t>
  </si>
  <si>
    <t>Model Paper</t>
  </si>
  <si>
    <t>NY-2024-888808</t>
  </si>
  <si>
    <t>IL-95804</t>
  </si>
  <si>
    <t>Dennis Preston</t>
  </si>
  <si>
    <t>TEC-AC-67918</t>
  </si>
  <si>
    <t>Serve Accessories</t>
  </si>
  <si>
    <t>NY-2024-547858</t>
  </si>
  <si>
    <t>JG-72111</t>
  </si>
  <si>
    <t>Teresa Williams</t>
  </si>
  <si>
    <t>FUR-BO-77559</t>
  </si>
  <si>
    <t>Day Bookcases</t>
  </si>
  <si>
    <t>NY-2024-913537</t>
  </si>
  <si>
    <t>NE-92881</t>
  </si>
  <si>
    <t>Laura Parker</t>
  </si>
  <si>
    <t>OFF-ST-11520</t>
  </si>
  <si>
    <t>Research Storage</t>
  </si>
  <si>
    <t>TX-2023-502611</t>
  </si>
  <si>
    <t>QF-84897</t>
  </si>
  <si>
    <t>Kelly Anderson</t>
  </si>
  <si>
    <t>FUR-TA-18322</t>
  </si>
  <si>
    <t>Cut Tables</t>
  </si>
  <si>
    <t>TX-2023-790573</t>
  </si>
  <si>
    <t>ZR-82708</t>
  </si>
  <si>
    <t>Tamara Wilson</t>
  </si>
  <si>
    <t>OFF-LA-15130</t>
  </si>
  <si>
    <t>Break Labels</t>
  </si>
  <si>
    <t>NY-2024-790130</t>
  </si>
  <si>
    <t>NW-78084</t>
  </si>
  <si>
    <t>Cole Smith</t>
  </si>
  <si>
    <t>TEC-MA-28331</t>
  </si>
  <si>
    <t>Here Machines</t>
  </si>
  <si>
    <t>CA-2023-248548</t>
  </si>
  <si>
    <t>AW-87566</t>
  </si>
  <si>
    <t>Daniel Bright</t>
  </si>
  <si>
    <t>OFF-BI-91567</t>
  </si>
  <si>
    <t>Its Binders</t>
  </si>
  <si>
    <t>NY-2023-173985</t>
  </si>
  <si>
    <t>RV-83877</t>
  </si>
  <si>
    <t>Daniel Wilson</t>
  </si>
  <si>
    <t>TEC-AC-65009</t>
  </si>
  <si>
    <t>Bit Accessories</t>
  </si>
  <si>
    <t>PA-2023-480443</t>
  </si>
  <si>
    <t>ZG-45867</t>
  </si>
  <si>
    <t>Tanner Barker Jr.</t>
  </si>
  <si>
    <t>FUR-FU-39127</t>
  </si>
  <si>
    <t>Win Furnishings</t>
  </si>
  <si>
    <t>IL-2024-736975</t>
  </si>
  <si>
    <t>ZU-61060</t>
  </si>
  <si>
    <t>John Bowers</t>
  </si>
  <si>
    <t>OFF-AR-82308</t>
  </si>
  <si>
    <t>Deep Art</t>
  </si>
  <si>
    <t>IL-2023-860657</t>
  </si>
  <si>
    <t>QN-70003</t>
  </si>
  <si>
    <t>Kimberly Walker</t>
  </si>
  <si>
    <t>OFF-ST-71428</t>
  </si>
  <si>
    <t>Good Storage</t>
  </si>
  <si>
    <t>PA-2023-765506</t>
  </si>
  <si>
    <t>XK-31641</t>
  </si>
  <si>
    <t>Antonio Graham</t>
  </si>
  <si>
    <t>FUR-BO-47467</t>
  </si>
  <si>
    <t>Me Bookcases</t>
  </si>
  <si>
    <t>TX-2024-114575</t>
  </si>
  <si>
    <t>ZS-80035</t>
  </si>
  <si>
    <t>Donna Nguyen</t>
  </si>
  <si>
    <t>OFF-BI-96661</t>
  </si>
  <si>
    <t>Early Binders</t>
  </si>
  <si>
    <t>PA-2023-638637</t>
  </si>
  <si>
    <t>QY-59688</t>
  </si>
  <si>
    <t>Richard Patterson</t>
  </si>
  <si>
    <t>OFF-LA-54296</t>
  </si>
  <si>
    <t>OH-2023-419626</t>
  </si>
  <si>
    <t>SA-56628</t>
  </si>
  <si>
    <t>Hannah Gillespie</t>
  </si>
  <si>
    <t>TEC-MA-53063</t>
  </si>
  <si>
    <t>Media Machines</t>
  </si>
  <si>
    <t>NY-2024-229858</t>
  </si>
  <si>
    <t>LZ-39634</t>
  </si>
  <si>
    <t>Samuel Jackson</t>
  </si>
  <si>
    <t>OFF-ST-49227</t>
  </si>
  <si>
    <t>Accept Storage</t>
  </si>
  <si>
    <t>PA-2023-216041</t>
  </si>
  <si>
    <t>CV-61713</t>
  </si>
  <si>
    <t>Carolyn Schmidt</t>
  </si>
  <si>
    <t>TEC-CO-14142</t>
  </si>
  <si>
    <t>Choice Copiers</t>
  </si>
  <si>
    <t>OH-2024-237801</t>
  </si>
  <si>
    <t>NF-30387</t>
  </si>
  <si>
    <t>Kelli Dickson</t>
  </si>
  <si>
    <t>TEC-PH-99710</t>
  </si>
  <si>
    <t>Site Phones</t>
  </si>
  <si>
    <t>NY-2023-361584</t>
  </si>
  <si>
    <t>WP-97337</t>
  </si>
  <si>
    <t>Jean Jones DDS</t>
  </si>
  <si>
    <t>FUR-FU-23508</t>
  </si>
  <si>
    <t>Nearly Furnishings</t>
  </si>
  <si>
    <t>FL-2023-547011</t>
  </si>
  <si>
    <t>TI-16678</t>
  </si>
  <si>
    <t>Joshua West</t>
  </si>
  <si>
    <t>OFF-AR-50166</t>
  </si>
  <si>
    <t>Treatment Art</t>
  </si>
  <si>
    <t>PA-2024-358965</t>
  </si>
  <si>
    <t>EP-10070</t>
  </si>
  <si>
    <t>William Robinson</t>
  </si>
  <si>
    <t>TEC-CO-37784</t>
  </si>
  <si>
    <t>Road Copiers</t>
  </si>
  <si>
    <t>NY-2024-478083</t>
  </si>
  <si>
    <t>PP-95229</t>
  </si>
  <si>
    <t>Joseph Alexander</t>
  </si>
  <si>
    <t>FUR-FU-21433</t>
  </si>
  <si>
    <t>Work Furnishings</t>
  </si>
  <si>
    <t>TX-2024-416120</t>
  </si>
  <si>
    <t>PI-26755</t>
  </si>
  <si>
    <t>Melinda Burns</t>
  </si>
  <si>
    <t>OFF-AR-43099</t>
  </si>
  <si>
    <t>Light Art</t>
  </si>
  <si>
    <t>CA-2023-728258</t>
  </si>
  <si>
    <t>DI-15956</t>
  </si>
  <si>
    <t>Victoria Snow</t>
  </si>
  <si>
    <t>FUR-CH-62100</t>
  </si>
  <si>
    <t>Keep Chairs</t>
  </si>
  <si>
    <t>NY-2023-267775</t>
  </si>
  <si>
    <t>QN-76036</t>
  </si>
  <si>
    <t>Colleen Coleman</t>
  </si>
  <si>
    <t>TEC-CO-49768</t>
  </si>
  <si>
    <t>Sing Copiers</t>
  </si>
  <si>
    <t>NY-2024-929026</t>
  </si>
  <si>
    <t>SC-80070</t>
  </si>
  <si>
    <t>Leah Smith</t>
  </si>
  <si>
    <t>FUR-TA-92927</t>
  </si>
  <si>
    <t>Indeed Tables</t>
  </si>
  <si>
    <t>CA-2023-963955</t>
  </si>
  <si>
    <t>VJ-43552</t>
  </si>
  <si>
    <t>Shirley Freeman</t>
  </si>
  <si>
    <t>TEC-PH-60067</t>
  </si>
  <si>
    <t>Growth Phones</t>
  </si>
  <si>
    <t>NY-2024-342979</t>
  </si>
  <si>
    <t>VS-22280</t>
  </si>
  <si>
    <t>Rebecca Rowe</t>
  </si>
  <si>
    <t>FUR-FU-34251</t>
  </si>
  <si>
    <t>Relationship Furnishings</t>
  </si>
  <si>
    <t>FL-2023-250494</t>
  </si>
  <si>
    <t>AQ-94557</t>
  </si>
  <si>
    <t>Shane Kennedy</t>
  </si>
  <si>
    <t>FUR-CH-11545</t>
  </si>
  <si>
    <t>Spend Chairs</t>
  </si>
  <si>
    <t>NY-2023-930892</t>
  </si>
  <si>
    <t>IO-36518</t>
  </si>
  <si>
    <t>Timothy Rivera</t>
  </si>
  <si>
    <t>OFF-AR-68238</t>
  </si>
  <si>
    <t>Modern Art</t>
  </si>
  <si>
    <t>IL-2023-636391</t>
  </si>
  <si>
    <t>ST-13145</t>
  </si>
  <si>
    <t>Laura Ramos</t>
  </si>
  <si>
    <t>OFF-PA-29316</t>
  </si>
  <si>
    <t>Yet Paper</t>
  </si>
  <si>
    <t>FL-2023-395503</t>
  </si>
  <si>
    <t>GW-57250</t>
  </si>
  <si>
    <t>Lindsey Lin</t>
  </si>
  <si>
    <t>FUR-CH-33339</t>
  </si>
  <si>
    <t>Us Chairs</t>
  </si>
  <si>
    <t>IL-2024-793875</t>
  </si>
  <si>
    <t>IX-29482</t>
  </si>
  <si>
    <t>Angela Brown</t>
  </si>
  <si>
    <t>FUR-TA-29369</t>
  </si>
  <si>
    <t>Matter Tables</t>
  </si>
  <si>
    <t>PA-2024-618213</t>
  </si>
  <si>
    <t>JV-28116</t>
  </si>
  <si>
    <t>Nina Fuentes</t>
  </si>
  <si>
    <t>FUR-FU-64874</t>
  </si>
  <si>
    <t>Include Furnishings</t>
  </si>
  <si>
    <t>FL-2023-346617</t>
  </si>
  <si>
    <t>XR-57500</t>
  </si>
  <si>
    <t>Daniel Mays</t>
  </si>
  <si>
    <t>OFF-BI-24438</t>
  </si>
  <si>
    <t>Avoid Binders</t>
  </si>
  <si>
    <t>OH-2023-320974</t>
  </si>
  <si>
    <t>FP-28753</t>
  </si>
  <si>
    <t>Mr. Thomas Williams</t>
  </si>
  <si>
    <t>TEC-PH-65667</t>
  </si>
  <si>
    <t>Never Phones</t>
  </si>
  <si>
    <t>OH-2023-902598</t>
  </si>
  <si>
    <t>CA-71628</t>
  </si>
  <si>
    <t>David Bryant</t>
  </si>
  <si>
    <t>TEC-CO-68192</t>
  </si>
  <si>
    <t>Fear Copiers</t>
  </si>
  <si>
    <t>OH-2024-681074</t>
  </si>
  <si>
    <t>EC-65531</t>
  </si>
  <si>
    <t>Sarah Olson</t>
  </si>
  <si>
    <t>OFF-LA-78354</t>
  </si>
  <si>
    <t>Stage Labels</t>
  </si>
  <si>
    <t>MI-2024-428403</t>
  </si>
  <si>
    <t>GG-58690</t>
  </si>
  <si>
    <t>Christopher Dean</t>
  </si>
  <si>
    <t>OFF-BI-45378</t>
  </si>
  <si>
    <t>Street Binders</t>
  </si>
  <si>
    <t>IL-2023-678490</t>
  </si>
  <si>
    <t>DR-45280</t>
  </si>
  <si>
    <t>Shaun Knight</t>
  </si>
  <si>
    <t>TEC-PH-83890</t>
  </si>
  <si>
    <t>Almost Phones</t>
  </si>
  <si>
    <t>PA-2024-860939</t>
  </si>
  <si>
    <t>RJ-63383</t>
  </si>
  <si>
    <t>Alan Harris</t>
  </si>
  <si>
    <t>TEC-PH-75821</t>
  </si>
  <si>
    <t>Become Phones</t>
  </si>
  <si>
    <t>TX-2023-326122</t>
  </si>
  <si>
    <t>PC-68652</t>
  </si>
  <si>
    <t>Andrea Cross</t>
  </si>
  <si>
    <t>OFF-ST-57227</t>
  </si>
  <si>
    <t>Area Storage</t>
  </si>
  <si>
    <t>MI-2023-943816</t>
  </si>
  <si>
    <t>LR-75393</t>
  </si>
  <si>
    <t>Jennifer Robinson</t>
  </si>
  <si>
    <t>OFF-ST-32245</t>
  </si>
  <si>
    <t>Magazine Storage</t>
  </si>
  <si>
    <t>IL-2024-781880</t>
  </si>
  <si>
    <t>RC-57641</t>
  </si>
  <si>
    <t>Ruth Pittman</t>
  </si>
  <si>
    <t>OFF-PA-91223</t>
  </si>
  <si>
    <t>Manager Paper</t>
  </si>
  <si>
    <t>CA-2023-877039</t>
  </si>
  <si>
    <t>DC-23801</t>
  </si>
  <si>
    <t>Janet Hall</t>
  </si>
  <si>
    <t>OFF-BI-84728</t>
  </si>
  <si>
    <t>Mission Binders</t>
  </si>
  <si>
    <t>TX-2023-867324</t>
  </si>
  <si>
    <t>KZ-62628</t>
  </si>
  <si>
    <t>Brandon Mayer</t>
  </si>
  <si>
    <t>FUR-TA-54882</t>
  </si>
  <si>
    <t>Friend Tables</t>
  </si>
  <si>
    <t>PA-2023-730275</t>
  </si>
  <si>
    <t>EI-72050</t>
  </si>
  <si>
    <t>Todd Lara</t>
  </si>
  <si>
    <t>FUR-CH-13007</t>
  </si>
  <si>
    <t>Possible Chairs</t>
  </si>
  <si>
    <t>OH-2023-802173</t>
  </si>
  <si>
    <t>JH-66168</t>
  </si>
  <si>
    <t>Brandi Moore</t>
  </si>
  <si>
    <t>OFF-BI-36031</t>
  </si>
  <si>
    <t>Popular Binders</t>
  </si>
  <si>
    <t>CA-2023-181588</t>
  </si>
  <si>
    <t>Samantha Gonzalez</t>
  </si>
  <si>
    <t>FUR-FU-51472</t>
  </si>
  <si>
    <t>Skin Furnishings</t>
  </si>
  <si>
    <t>TX-2023-329242</t>
  </si>
  <si>
    <t>Jerry Fernandez</t>
  </si>
  <si>
    <t>FUR-CH-99080</t>
  </si>
  <si>
    <t>Skill Chairs</t>
  </si>
  <si>
    <t>MI-2024-530321</t>
  </si>
  <si>
    <t>QY-24860</t>
  </si>
  <si>
    <t>Matthew Mccarthy</t>
  </si>
  <si>
    <t>OFF-PA-58905</t>
  </si>
  <si>
    <t>Discover Paper</t>
  </si>
  <si>
    <t>TX-2023-945089</t>
  </si>
  <si>
    <t>CM-23588</t>
  </si>
  <si>
    <t>Catherine Ortiz</t>
  </si>
  <si>
    <t>TEC-PH-93037</t>
  </si>
  <si>
    <t>Fear Phones</t>
  </si>
  <si>
    <t>TX-2024-932308</t>
  </si>
  <si>
    <t>BI-59105</t>
  </si>
  <si>
    <t>Shelly Oneill</t>
  </si>
  <si>
    <t>TEC-CO-45076</t>
  </si>
  <si>
    <t>Practice Copiers</t>
  </si>
  <si>
    <t>NY-2024-981610</t>
  </si>
  <si>
    <t>KF-41697</t>
  </si>
  <si>
    <t>Daniel Kelly</t>
  </si>
  <si>
    <t>OFF-BI-90775</t>
  </si>
  <si>
    <t>Statement Binders</t>
  </si>
  <si>
    <t>FL-2023-844515</t>
  </si>
  <si>
    <t>OV-92223</t>
  </si>
  <si>
    <t>Jessica Brooks</t>
  </si>
  <si>
    <t>TEC-AC-52258</t>
  </si>
  <si>
    <t>Wall Accessories</t>
  </si>
  <si>
    <t>OH-2023-878399</t>
  </si>
  <si>
    <t>BP-41420</t>
  </si>
  <si>
    <t>Mark Sanchez</t>
  </si>
  <si>
    <t>FUR-TA-35405</t>
  </si>
  <si>
    <t>Fish Tables</t>
  </si>
  <si>
    <t>TX-2023-581430</t>
  </si>
  <si>
    <t>TY-44340</t>
  </si>
  <si>
    <t>Douglas Shaw</t>
  </si>
  <si>
    <t>FUR-BO-74781</t>
  </si>
  <si>
    <t>Dream Bookcases</t>
  </si>
  <si>
    <t>PA-2024-947825</t>
  </si>
  <si>
    <t>ZF-33419</t>
  </si>
  <si>
    <t>Anita Powell</t>
  </si>
  <si>
    <t>Whether Phones</t>
  </si>
  <si>
    <t>CA-2023-326813</t>
  </si>
  <si>
    <t>SH-52931</t>
  </si>
  <si>
    <t>Miss Ashlee Blair</t>
  </si>
  <si>
    <t>FUR-BO-26591</t>
  </si>
  <si>
    <t>Mean Bookcases</t>
  </si>
  <si>
    <t>OH-2023-362241</t>
  </si>
  <si>
    <t>GW-23486</t>
  </si>
  <si>
    <t>William Jones</t>
  </si>
  <si>
    <t>TEC-CO-31712</t>
  </si>
  <si>
    <t>In Copiers</t>
  </si>
  <si>
    <t>PA-2024-763432</t>
  </si>
  <si>
    <t>MW-77024</t>
  </si>
  <si>
    <t>April Stanley MD</t>
  </si>
  <si>
    <t>TEC-MA-48466</t>
  </si>
  <si>
    <t>Small Machines</t>
  </si>
  <si>
    <t>PA-2024-252085</t>
  </si>
  <si>
    <t>SA-11428</t>
  </si>
  <si>
    <t>Amanda Hunt</t>
  </si>
  <si>
    <t>OFF-BI-70997</t>
  </si>
  <si>
    <t>Chance Binders</t>
  </si>
  <si>
    <t>TX-2024-815267</t>
  </si>
  <si>
    <t>BJ-35837</t>
  </si>
  <si>
    <t>Rebecca Jones</t>
  </si>
  <si>
    <t>OFF-PA-16133</t>
  </si>
  <si>
    <t>Case Paper</t>
  </si>
  <si>
    <t>CA-2024-398179</t>
  </si>
  <si>
    <t>VW-54222</t>
  </si>
  <si>
    <t>Matthew Watson</t>
  </si>
  <si>
    <t>FUR-BO-71589</t>
  </si>
  <si>
    <t>Prevent Bookcases</t>
  </si>
  <si>
    <t>MI-2024-989897</t>
  </si>
  <si>
    <t>DZ-39362</t>
  </si>
  <si>
    <t>Erin Phelps</t>
  </si>
  <si>
    <t>FUR-CH-23780</t>
  </si>
  <si>
    <t>Behavior Chairs</t>
  </si>
  <si>
    <t>CA-2024-923073</t>
  </si>
  <si>
    <t>SD-19835</t>
  </si>
  <si>
    <t>Michael Osborn</t>
  </si>
  <si>
    <t>OFF-AR-59749</t>
  </si>
  <si>
    <t>Relationship Art</t>
  </si>
  <si>
    <t>MI-2023-647108</t>
  </si>
  <si>
    <t>YP-46771</t>
  </si>
  <si>
    <t>Cathy Palmer</t>
  </si>
  <si>
    <t>TEC-MA-39600</t>
  </si>
  <si>
    <t>During Machines</t>
  </si>
  <si>
    <t>MI-2023-322796</t>
  </si>
  <si>
    <t>CI-60470</t>
  </si>
  <si>
    <t>Chase Hampton</t>
  </si>
  <si>
    <t>OFF-LA-54623</t>
  </si>
  <si>
    <t>These Labels</t>
  </si>
  <si>
    <t>NY-2023-481308</t>
  </si>
  <si>
    <t>HJ-34635</t>
  </si>
  <si>
    <t>James Miller</t>
  </si>
  <si>
    <t>OFF-PA-31521</t>
  </si>
  <si>
    <t>Office Paper</t>
  </si>
  <si>
    <t>MI-2024-378479</t>
  </si>
  <si>
    <t>ZV-66554</t>
  </si>
  <si>
    <t>Jennifer Serrano</t>
  </si>
  <si>
    <t>FUR-FU-75823</t>
  </si>
  <si>
    <t>While Furnishings</t>
  </si>
  <si>
    <t>NY-2024-655286</t>
  </si>
  <si>
    <t>YA-99281</t>
  </si>
  <si>
    <t>Mr. Benjamin Shaw</t>
  </si>
  <si>
    <t>TEC-AC-24559</t>
  </si>
  <si>
    <t>Quickly Accessories</t>
  </si>
  <si>
    <t>OH-2023-330569</t>
  </si>
  <si>
    <t>KB-36683</t>
  </si>
  <si>
    <t>Lucas Wilson</t>
  </si>
  <si>
    <t>TEC-CO-88159</t>
  </si>
  <si>
    <t>Wind Copiers</t>
  </si>
  <si>
    <t>TX-2023-296444</t>
  </si>
  <si>
    <t>HX-97298</t>
  </si>
  <si>
    <t>Brandon Bates</t>
  </si>
  <si>
    <t>Million Storage</t>
  </si>
  <si>
    <t>MI-2023-147371</t>
  </si>
  <si>
    <t>UH-78848</t>
  </si>
  <si>
    <t>Karen Lewis</t>
  </si>
  <si>
    <t>FUR-CH-22308</t>
  </si>
  <si>
    <t>Budget Chairs</t>
  </si>
  <si>
    <t>IL-2024-642985</t>
  </si>
  <si>
    <t>LG-29385</t>
  </si>
  <si>
    <t>Ruben Snyder</t>
  </si>
  <si>
    <t>FUR-CH-56818</t>
  </si>
  <si>
    <t>Investment Chairs</t>
  </si>
  <si>
    <t>IL-2024-652501</t>
  </si>
  <si>
    <t>VF-61252</t>
  </si>
  <si>
    <t>Mary Vasquez</t>
  </si>
  <si>
    <t>OFF-ST-50543</t>
  </si>
  <si>
    <t>Learn Storage</t>
  </si>
  <si>
    <t>TX-2023-623162</t>
  </si>
  <si>
    <t>RT-91762</t>
  </si>
  <si>
    <t>Jodi Wallace</t>
  </si>
  <si>
    <t>TEC-AC-49799</t>
  </si>
  <si>
    <t>Office Accessories</t>
  </si>
  <si>
    <t>CA-2023-363647</t>
  </si>
  <si>
    <t>NQ-21272</t>
  </si>
  <si>
    <t>Peter Buck</t>
  </si>
  <si>
    <t>OFF-BI-35785</t>
  </si>
  <si>
    <t>Room Binders</t>
  </si>
  <si>
    <t>TX-2024-416693</t>
  </si>
  <si>
    <t>DV-85781</t>
  </si>
  <si>
    <t>John Summers</t>
  </si>
  <si>
    <t>TEC-AC-42770</t>
  </si>
  <si>
    <t>OH-2023-245342</t>
  </si>
  <si>
    <t>VI-71391</t>
  </si>
  <si>
    <t>Brenda Cook</t>
  </si>
  <si>
    <t>OFF-PA-65116</t>
  </si>
  <si>
    <t>Me Paper</t>
  </si>
  <si>
    <t>PA-2023-751050</t>
  </si>
  <si>
    <t>NO-62814</t>
  </si>
  <si>
    <t>Tamara Bowers</t>
  </si>
  <si>
    <t>FUR-FU-77896</t>
  </si>
  <si>
    <t>Population Furnishings</t>
  </si>
  <si>
    <t>PA-2023-227341</t>
  </si>
  <si>
    <t>JP-83668</t>
  </si>
  <si>
    <t>Anthony Graham</t>
  </si>
  <si>
    <t>OFF-BI-39300</t>
  </si>
  <si>
    <t>Consumer Binders</t>
  </si>
  <si>
    <t>NY-2023-645073</t>
  </si>
  <si>
    <t>ID-72094</t>
  </si>
  <si>
    <t>Jessica Chan MD</t>
  </si>
  <si>
    <t>TEC-MA-61211</t>
  </si>
  <si>
    <t>Get Machines</t>
  </si>
  <si>
    <t>TX-2024-253350</t>
  </si>
  <si>
    <t>XC-32383</t>
  </si>
  <si>
    <t>Sherri Williamson</t>
  </si>
  <si>
    <t>TEC-AC-72411</t>
  </si>
  <si>
    <t>Strong Accessories</t>
  </si>
  <si>
    <t>OH-2023-129329</t>
  </si>
  <si>
    <t>QJ-11444</t>
  </si>
  <si>
    <t>Samantha Lin</t>
  </si>
  <si>
    <t>OFF-LA-94555</t>
  </si>
  <si>
    <t>Democratic Labels</t>
  </si>
  <si>
    <t>PA-2023-465779</t>
  </si>
  <si>
    <t>PF-95972</t>
  </si>
  <si>
    <t>Kristen Dennis</t>
  </si>
  <si>
    <t>OFF-AR-54471</t>
  </si>
  <si>
    <t>NY-2024-235708</t>
  </si>
  <si>
    <t>SQ-18856</t>
  </si>
  <si>
    <t>Melissa Mathews</t>
  </si>
  <si>
    <t>FUR-CH-40369</t>
  </si>
  <si>
    <t>Finally Chairs</t>
  </si>
  <si>
    <t>NY-2024-892528</t>
  </si>
  <si>
    <t>RV-25004</t>
  </si>
  <si>
    <t>Michael Ellis</t>
  </si>
  <si>
    <t>TEC-PH-67872</t>
  </si>
  <si>
    <t>Break Phones</t>
  </si>
  <si>
    <t>IL-2024-558767</t>
  </si>
  <si>
    <t>UQ-66893</t>
  </si>
  <si>
    <t>Gina Dudley</t>
  </si>
  <si>
    <t>Character Bookcases</t>
  </si>
  <si>
    <t>MI-2023-972837</t>
  </si>
  <si>
    <t>VJ-56725</t>
  </si>
  <si>
    <t>Jeremy Butler</t>
  </si>
  <si>
    <t>TEC-AC-18802</t>
  </si>
  <si>
    <t>Force Accessories</t>
  </si>
  <si>
    <t>CA-2023-961224</t>
  </si>
  <si>
    <t>HX-18906</t>
  </si>
  <si>
    <t>Matthew Rose</t>
  </si>
  <si>
    <t>OFF-LA-80047</t>
  </si>
  <si>
    <t>Already Labels</t>
  </si>
  <si>
    <t>IL-2023-133842</t>
  </si>
  <si>
    <t>DF-53848</t>
  </si>
  <si>
    <t>Cheryl Brown</t>
  </si>
  <si>
    <t>FUR-CH-81707</t>
  </si>
  <si>
    <t>These Chairs</t>
  </si>
  <si>
    <t>TX-2024-727203</t>
  </si>
  <si>
    <t>EH-45456</t>
  </si>
  <si>
    <t>Stephanie Gray</t>
  </si>
  <si>
    <t>FUR-BO-14666</t>
  </si>
  <si>
    <t>Exactly Bookcases</t>
  </si>
  <si>
    <t>FL-2024-815067</t>
  </si>
  <si>
    <t>JH-60741</t>
  </si>
  <si>
    <t>Charles Moyer</t>
  </si>
  <si>
    <t>TEC-AC-66324</t>
  </si>
  <si>
    <t>Behind Accessories</t>
  </si>
  <si>
    <t>FL-2023-196459</t>
  </si>
  <si>
    <t>NR-11952</t>
  </si>
  <si>
    <t>Jake Carlson</t>
  </si>
  <si>
    <t>FUR-BO-20041</t>
  </si>
  <si>
    <t>Compare Bookcases</t>
  </si>
  <si>
    <t>TX-2023-180088</t>
  </si>
  <si>
    <t>MN-56787</t>
  </si>
  <si>
    <t>Robert Foster</t>
  </si>
  <si>
    <t>OFF-ST-58094</t>
  </si>
  <si>
    <t>Drive Storage</t>
  </si>
  <si>
    <t>MI-2024-182256</t>
  </si>
  <si>
    <t>VQ-82478</t>
  </si>
  <si>
    <t>Chad Webb</t>
  </si>
  <si>
    <t>FUR-TA-28607</t>
  </si>
  <si>
    <t>Try Tables</t>
  </si>
  <si>
    <t>TX-2023-392649</t>
  </si>
  <si>
    <t>IT-60418</t>
  </si>
  <si>
    <t>Brian Schaefer</t>
  </si>
  <si>
    <t>FUR-CH-36965</t>
  </si>
  <si>
    <t>Need Chairs</t>
  </si>
  <si>
    <t>IL-2023-894036</t>
  </si>
  <si>
    <t>TP-17486</t>
  </si>
  <si>
    <t>Benjamin Bryant</t>
  </si>
  <si>
    <t>TEC-MA-98862</t>
  </si>
  <si>
    <t>Writer Machines</t>
  </si>
  <si>
    <t>FL-2023-115920</t>
  </si>
  <si>
    <t>JO-42759</t>
  </si>
  <si>
    <t>Mrs. Amanda Martin</t>
  </si>
  <si>
    <t>OFF-ST-84852</t>
  </si>
  <si>
    <t>Once Storage</t>
  </si>
  <si>
    <t>PA-2024-988765</t>
  </si>
  <si>
    <t>RJ-67659</t>
  </si>
  <si>
    <t>Sabrina Phillips</t>
  </si>
  <si>
    <t>OFF-LA-57018</t>
  </si>
  <si>
    <t>Police Labels</t>
  </si>
  <si>
    <t>IL-2024-372148</t>
  </si>
  <si>
    <t>KF-29254</t>
  </si>
  <si>
    <t>Kelly Mathis</t>
  </si>
  <si>
    <t>TEC-PH-40496</t>
  </si>
  <si>
    <t>Economy Phones</t>
  </si>
  <si>
    <t>IL-2024-116901</t>
  </si>
  <si>
    <t>LW-55839</t>
  </si>
  <si>
    <t>Ryan Williams</t>
  </si>
  <si>
    <t>FUR-FU-24835</t>
  </si>
  <si>
    <t>Word Furnishings</t>
  </si>
  <si>
    <t>PA-2024-451258</t>
  </si>
  <si>
    <t>EH-48543</t>
  </si>
  <si>
    <t>Keith Wells</t>
  </si>
  <si>
    <t>FUR-CH-58274</t>
  </si>
  <si>
    <t>Second Chairs</t>
  </si>
  <si>
    <t>PA-2023-497242</t>
  </si>
  <si>
    <t>KY-95093</t>
  </si>
  <si>
    <t>Jill Lewis</t>
  </si>
  <si>
    <t>FUR-CH-84108</t>
  </si>
  <si>
    <t>Center Chairs</t>
  </si>
  <si>
    <t>MI-2024-382258</t>
  </si>
  <si>
    <t>CK-53081</t>
  </si>
  <si>
    <t>Angela Sullivan</t>
  </si>
  <si>
    <t>OFF-BI-69745</t>
  </si>
  <si>
    <t>Soldier Binders</t>
  </si>
  <si>
    <t>MI-2023-570777</t>
  </si>
  <si>
    <t>ZX-63427</t>
  </si>
  <si>
    <t>Joseph Morgan</t>
  </si>
  <si>
    <t>TEC-AC-89370</t>
  </si>
  <si>
    <t>Hit Accessories</t>
  </si>
  <si>
    <t>NY-2024-116265</t>
  </si>
  <si>
    <t>JG-82689</t>
  </si>
  <si>
    <t>Michael Sanders</t>
  </si>
  <si>
    <t>OFF-LA-26567</t>
  </si>
  <si>
    <t>Opportunity Labels</t>
  </si>
  <si>
    <t>OH-2023-846568</t>
  </si>
  <si>
    <t>MU-87526</t>
  </si>
  <si>
    <t>Alexandra Valencia</t>
  </si>
  <si>
    <t>TEC-PH-15929</t>
  </si>
  <si>
    <t>Sometimes Phones</t>
  </si>
  <si>
    <t>TX-2023-108161</t>
  </si>
  <si>
    <t>VA-52000</t>
  </si>
  <si>
    <t>Kyle Perez</t>
  </si>
  <si>
    <t>FUR-TA-22700</t>
  </si>
  <si>
    <t>Customer Tables</t>
  </si>
  <si>
    <t>NY-2023-143971</t>
  </si>
  <si>
    <t>AY-23037</t>
  </si>
  <si>
    <t>Harold Johnson</t>
  </si>
  <si>
    <t>OFF-BI-25538</t>
  </si>
  <si>
    <t>Pull Binders</t>
  </si>
  <si>
    <t>IL-2023-200638</t>
  </si>
  <si>
    <t>XW-88432</t>
  </si>
  <si>
    <t>Russell Rodriguez</t>
  </si>
  <si>
    <t>TEC-AC-10873</t>
  </si>
  <si>
    <t>TX-2023-565992</t>
  </si>
  <si>
    <t>FP-27933</t>
  </si>
  <si>
    <t>David Daugherty</t>
  </si>
  <si>
    <t>TEC-PH-56362</t>
  </si>
  <si>
    <t>Force Phones</t>
  </si>
  <si>
    <t>PA-2023-554429</t>
  </si>
  <si>
    <t>BB-83160</t>
  </si>
  <si>
    <t>Melissa Bell</t>
  </si>
  <si>
    <t>TEC-PH-93164</t>
  </si>
  <si>
    <t>Consider Phones</t>
  </si>
  <si>
    <t>MI-2024-238193</t>
  </si>
  <si>
    <t>FH-10419</t>
  </si>
  <si>
    <t>Brian Dodson</t>
  </si>
  <si>
    <t>FUR-FU-83103</t>
  </si>
  <si>
    <t>Ask Furnishings</t>
  </si>
  <si>
    <t>NY-2024-981529</t>
  </si>
  <si>
    <t>ID-92578</t>
  </si>
  <si>
    <t>Cody Vasquez</t>
  </si>
  <si>
    <t>TEC-CO-81226</t>
  </si>
  <si>
    <t>Guess Copiers</t>
  </si>
  <si>
    <t>TX-2023-587310</t>
  </si>
  <si>
    <t>PI-62178</t>
  </si>
  <si>
    <t>Candice Garcia</t>
  </si>
  <si>
    <t>FUR-FU-74117</t>
  </si>
  <si>
    <t>Knowledge Furnishings</t>
  </si>
  <si>
    <t>PA-2024-510389</t>
  </si>
  <si>
    <t>PY-17160</t>
  </si>
  <si>
    <t>Jessica Cabrera</t>
  </si>
  <si>
    <t>OFF-BI-54543</t>
  </si>
  <si>
    <t>Create Binders</t>
  </si>
  <si>
    <t>PA-2023-734347</t>
  </si>
  <si>
    <t>PL-21829</t>
  </si>
  <si>
    <t>Ana Smith</t>
  </si>
  <si>
    <t>OFF-ST-82468</t>
  </si>
  <si>
    <t>Reflect Storage</t>
  </si>
  <si>
    <t>NY-2024-447605</t>
  </si>
  <si>
    <t>AX-14728</t>
  </si>
  <si>
    <t>Christopher White</t>
  </si>
  <si>
    <t>TEC-PH-75732</t>
  </si>
  <si>
    <t>Season Phones</t>
  </si>
  <si>
    <t>OH-2024-237566</t>
  </si>
  <si>
    <t>PC-76127</t>
  </si>
  <si>
    <t>Alvin Giles</t>
  </si>
  <si>
    <t>TEC-MA-12641</t>
  </si>
  <si>
    <t>Somebody Machines</t>
  </si>
  <si>
    <t>OH-2023-416831</t>
  </si>
  <si>
    <t>YI-44638</t>
  </si>
  <si>
    <t>Dr. Laura Greene</t>
  </si>
  <si>
    <t>TEC-MA-59359</t>
  </si>
  <si>
    <t>Tv Machines</t>
  </si>
  <si>
    <t>MI-2024-490843</t>
  </si>
  <si>
    <t>VN-62081</t>
  </si>
  <si>
    <t>Crystal Johnson</t>
  </si>
  <si>
    <t>OFF-ST-72495</t>
  </si>
  <si>
    <t>Half Storage</t>
  </si>
  <si>
    <t>TX-2023-522780</t>
  </si>
  <si>
    <t>OX-74673</t>
  </si>
  <si>
    <t>Cynthia Jones</t>
  </si>
  <si>
    <t>OFF-ST-54285</t>
  </si>
  <si>
    <t>Dream Storage</t>
  </si>
  <si>
    <t>MI-2024-783680</t>
  </si>
  <si>
    <t>William Flores</t>
  </si>
  <si>
    <t>TEC-PH-23768</t>
  </si>
  <si>
    <t>Mouth Phones</t>
  </si>
  <si>
    <t>OH-2024-279015</t>
  </si>
  <si>
    <t>AV-11213</t>
  </si>
  <si>
    <t>Timothy Rocha</t>
  </si>
  <si>
    <t>FUR-FU-48564</t>
  </si>
  <si>
    <t>Six Furnishings</t>
  </si>
  <si>
    <t>PA-2024-595043</t>
  </si>
  <si>
    <t>IC-31527</t>
  </si>
  <si>
    <t>Emily Hayes</t>
  </si>
  <si>
    <t>Whether Machines</t>
  </si>
  <si>
    <t>TX-2023-755331</t>
  </si>
  <si>
    <t>HF-55934</t>
  </si>
  <si>
    <t>Daniel Jensen</t>
  </si>
  <si>
    <t>TEC-AC-55214</t>
  </si>
  <si>
    <t>Right Accessories</t>
  </si>
  <si>
    <t>FL-2023-721427</t>
  </si>
  <si>
    <t>DM-33373</t>
  </si>
  <si>
    <t>Joseph Jackson</t>
  </si>
  <si>
    <t>TEC-PH-26607</t>
  </si>
  <si>
    <t>Standard Phones</t>
  </si>
  <si>
    <t>MI-2023-276264</t>
  </si>
  <si>
    <t>LE-90599</t>
  </si>
  <si>
    <t>Daniel Clayton</t>
  </si>
  <si>
    <t>FUR-CH-72320</t>
  </si>
  <si>
    <t>Send Chairs</t>
  </si>
  <si>
    <t>TX-2023-687354</t>
  </si>
  <si>
    <t>ZR-56529</t>
  </si>
  <si>
    <t>Matthew Johnson</t>
  </si>
  <si>
    <t>TEC-CO-79558</t>
  </si>
  <si>
    <t>East Copiers</t>
  </si>
  <si>
    <t>IL-2023-685005</t>
  </si>
  <si>
    <t>QI-13315</t>
  </si>
  <si>
    <t>Alexis Bennett</t>
  </si>
  <si>
    <t>OFF-ST-65584</t>
  </si>
  <si>
    <t>Rest Storage</t>
  </si>
  <si>
    <t>IL-2024-198679</t>
  </si>
  <si>
    <t>AQ-14394</t>
  </si>
  <si>
    <t>Robert Blevins</t>
  </si>
  <si>
    <t>OFF-PA-62205</t>
  </si>
  <si>
    <t>War Paper</t>
  </si>
  <si>
    <t>MI-2023-596446</t>
  </si>
  <si>
    <t>FF-90336</t>
  </si>
  <si>
    <t>Eduardo Terry</t>
  </si>
  <si>
    <t>FUR-CH-27255</t>
  </si>
  <si>
    <t>Grow Chairs</t>
  </si>
  <si>
    <t>CA-2024-977944</t>
  </si>
  <si>
    <t>PY-77677</t>
  </si>
  <si>
    <t>Sarah Young</t>
  </si>
  <si>
    <t>TEC-MA-64575</t>
  </si>
  <si>
    <t>Fall Machines</t>
  </si>
  <si>
    <t>OH-2023-766160</t>
  </si>
  <si>
    <t>SJ-25429</t>
  </si>
  <si>
    <t>Paul Harrison</t>
  </si>
  <si>
    <t>OFF-AR-21284</t>
  </si>
  <si>
    <t>Care Art</t>
  </si>
  <si>
    <t>CA-2023-768934</t>
  </si>
  <si>
    <t>AA-50341</t>
  </si>
  <si>
    <t>Matthew Davis</t>
  </si>
  <si>
    <t>TEC-AC-27397</t>
  </si>
  <si>
    <t>What Accessories</t>
  </si>
  <si>
    <t>IL-2024-831442</t>
  </si>
  <si>
    <t>YY-56550</t>
  </si>
  <si>
    <t>Jill Meyer</t>
  </si>
  <si>
    <t>OFF-ST-94125</t>
  </si>
  <si>
    <t>Seek Storage</t>
  </si>
  <si>
    <t>IL-2023-458802</t>
  </si>
  <si>
    <t>EJ-38607</t>
  </si>
  <si>
    <t>Danielle Savage</t>
  </si>
  <si>
    <t>OFF-LA-25112</t>
  </si>
  <si>
    <t>He Labels</t>
  </si>
  <si>
    <t>PA-2023-266461</t>
  </si>
  <si>
    <t>CN-94919</t>
  </si>
  <si>
    <t>Eric Williams</t>
  </si>
  <si>
    <t>FUR-TA-50144</t>
  </si>
  <si>
    <t>FL-2024-858510</t>
  </si>
  <si>
    <t>TF-98939</t>
  </si>
  <si>
    <t>Michael Norman</t>
  </si>
  <si>
    <t>OFF-LA-40710</t>
  </si>
  <si>
    <t>Item Labels</t>
  </si>
  <si>
    <t>FL-2023-236200</t>
  </si>
  <si>
    <t>OC-28541</t>
  </si>
  <si>
    <t>Michelle Madden</t>
  </si>
  <si>
    <t>OFF-PA-31671</t>
  </si>
  <si>
    <t>Room Paper</t>
  </si>
  <si>
    <t>PA-2023-600531</t>
  </si>
  <si>
    <t>DW-82067</t>
  </si>
  <si>
    <t>Barbara King</t>
  </si>
  <si>
    <t>OFF-BI-71906</t>
  </si>
  <si>
    <t>Of Binders</t>
  </si>
  <si>
    <t>OH-2024-660060</t>
  </si>
  <si>
    <t>YV-39057</t>
  </si>
  <si>
    <t>Mark Martin</t>
  </si>
  <si>
    <t>FUR-CH-58382</t>
  </si>
  <si>
    <t>Decision Chairs</t>
  </si>
  <si>
    <t>OH-2023-456082</t>
  </si>
  <si>
    <t>CC-29758</t>
  </si>
  <si>
    <t>Betty Powell</t>
  </si>
  <si>
    <t>OFF-PA-98509</t>
  </si>
  <si>
    <t>Ok Paper</t>
  </si>
  <si>
    <t>TX-2024-942583</t>
  </si>
  <si>
    <t>AU-85324</t>
  </si>
  <si>
    <t>Derek Hayes</t>
  </si>
  <si>
    <t>OFF-PA-11518</t>
  </si>
  <si>
    <t>Manage Paper</t>
  </si>
  <si>
    <t>PA-2024-846610</t>
  </si>
  <si>
    <t>EC-33440</t>
  </si>
  <si>
    <t>Laura Hamilton</t>
  </si>
  <si>
    <t>TEC-MA-98436</t>
  </si>
  <si>
    <t>Himself Machines</t>
  </si>
  <si>
    <t>MI-2024-141779</t>
  </si>
  <si>
    <t>MR-16563</t>
  </si>
  <si>
    <t>Kimberly Oliver</t>
  </si>
  <si>
    <t>TEC-CO-43072</t>
  </si>
  <si>
    <t>Sense Copiers</t>
  </si>
  <si>
    <t>PA-2023-657075</t>
  </si>
  <si>
    <t>LE-80121</t>
  </si>
  <si>
    <t>Mary Young</t>
  </si>
  <si>
    <t>FUR-CH-92958</t>
  </si>
  <si>
    <t>Cold Chairs</t>
  </si>
  <si>
    <t>MI-2023-180253</t>
  </si>
  <si>
    <t>VL-89869</t>
  </si>
  <si>
    <t>Laurie Huffman</t>
  </si>
  <si>
    <t>TEC-PH-60058</t>
  </si>
  <si>
    <t>Discuss Phones</t>
  </si>
  <si>
    <t>TX-2024-222080</t>
  </si>
  <si>
    <t>LF-90685</t>
  </si>
  <si>
    <t>Brandon Miles</t>
  </si>
  <si>
    <t>TEC-AC-16400</t>
  </si>
  <si>
    <t>Push Accessories</t>
  </si>
  <si>
    <t>NY-2024-385925</t>
  </si>
  <si>
    <t>Brian Smith</t>
  </si>
  <si>
    <t>FUR-TA-45003</t>
  </si>
  <si>
    <t>Year Tables</t>
  </si>
  <si>
    <t>OH-2024-667759</t>
  </si>
  <si>
    <t>PJ-54642</t>
  </si>
  <si>
    <t>Michael Trujillo</t>
  </si>
  <si>
    <t>OFF-PA-29893</t>
  </si>
  <si>
    <t>Others Paper</t>
  </si>
  <si>
    <t>MI-2024-187128</t>
  </si>
  <si>
    <t>EM-48249</t>
  </si>
  <si>
    <t>Lisa Stokes</t>
  </si>
  <si>
    <t>OFF-PA-13875</t>
  </si>
  <si>
    <t>Apply Paper</t>
  </si>
  <si>
    <t>FL-2024-663706</t>
  </si>
  <si>
    <t>DJ-61871</t>
  </si>
  <si>
    <t>Hector Mitchell</t>
  </si>
  <si>
    <t>FUR-BO-84808</t>
  </si>
  <si>
    <t>Grow Bookcases</t>
  </si>
  <si>
    <t>PA-2024-336033</t>
  </si>
  <si>
    <t>QD-68911</t>
  </si>
  <si>
    <t>Charles Franco</t>
  </si>
  <si>
    <t>FUR-FU-47802</t>
  </si>
  <si>
    <t>Build Furnishings</t>
  </si>
  <si>
    <t>CA-2023-245303</t>
  </si>
  <si>
    <t>UA-52601</t>
  </si>
  <si>
    <t>Melissa Harding</t>
  </si>
  <si>
    <t>FUR-CH-84620</t>
  </si>
  <si>
    <t>Assume Chairs</t>
  </si>
  <si>
    <t>MI-2024-858183</t>
  </si>
  <si>
    <t>MP-52300</t>
  </si>
  <si>
    <t>Joseph Swanson</t>
  </si>
  <si>
    <t>OFF-LA-14048</t>
  </si>
  <si>
    <t>Although Labels</t>
  </si>
  <si>
    <t>PA-2023-356757</t>
  </si>
  <si>
    <t>QJ-14236</t>
  </si>
  <si>
    <t>Lindsey Newman</t>
  </si>
  <si>
    <t>TEC-MA-78126</t>
  </si>
  <si>
    <t>Girl Machines</t>
  </si>
  <si>
    <t>CA-2024-604163</t>
  </si>
  <si>
    <t>ZZ-57628</t>
  </si>
  <si>
    <t>David Hernandez</t>
  </si>
  <si>
    <t>TEC-MA-66175</t>
  </si>
  <si>
    <t>Way Machines</t>
  </si>
  <si>
    <t>NY-2023-934197</t>
  </si>
  <si>
    <t>BC-53257</t>
  </si>
  <si>
    <t>Scott Watson</t>
  </si>
  <si>
    <t>TEC-PH-70062</t>
  </si>
  <si>
    <t>Music Phones</t>
  </si>
  <si>
    <t>CA-2023-255214</t>
  </si>
  <si>
    <t>AQ-83864</t>
  </si>
  <si>
    <t>Evan Hood</t>
  </si>
  <si>
    <t>TEC-CO-50194</t>
  </si>
  <si>
    <t>Part Copiers</t>
  </si>
  <si>
    <t>IL-2024-369804</t>
  </si>
  <si>
    <t>CB-29446</t>
  </si>
  <si>
    <t>Marissa Moore</t>
  </si>
  <si>
    <t>FUR-TA-57731</t>
  </si>
  <si>
    <t>Management Tables</t>
  </si>
  <si>
    <t>OH-2024-779872</t>
  </si>
  <si>
    <t>ET-73438</t>
  </si>
  <si>
    <t>Mary Bass</t>
  </si>
  <si>
    <t>FUR-BO-54874</t>
  </si>
  <si>
    <t>Home Bookcases</t>
  </si>
  <si>
    <t>CA-2023-877391</t>
  </si>
  <si>
    <t>EI-92103</t>
  </si>
  <si>
    <t>Shawn Romero</t>
  </si>
  <si>
    <t>OFF-AR-18807</t>
  </si>
  <si>
    <t>Sing Art</t>
  </si>
  <si>
    <t>FL-2023-823137</t>
  </si>
  <si>
    <t>XK-82348</t>
  </si>
  <si>
    <t>Mary Mullen</t>
  </si>
  <si>
    <t>FUR-CH-18345</t>
  </si>
  <si>
    <t>About Chairs</t>
  </si>
  <si>
    <t>CA-2024-928391</t>
  </si>
  <si>
    <t>ZU-67920</t>
  </si>
  <si>
    <t>Seth Jefferson</t>
  </si>
  <si>
    <t>OFF-BI-23090</t>
  </si>
  <si>
    <t>Reflect Binders</t>
  </si>
  <si>
    <t>FL-2024-100519</t>
  </si>
  <si>
    <t>HT-92723</t>
  </si>
  <si>
    <t>Dr. Carol Haney</t>
  </si>
  <si>
    <t>OFF-AR-73344</t>
  </si>
  <si>
    <t>Herself Art</t>
  </si>
  <si>
    <t>NY-2024-106833</t>
  </si>
  <si>
    <t>ER-31381</t>
  </si>
  <si>
    <t>Benjamin Knight</t>
  </si>
  <si>
    <t>FUR-FU-98208</t>
  </si>
  <si>
    <t>Cut Furnishings</t>
  </si>
  <si>
    <t>PA-2024-207916</t>
  </si>
  <si>
    <t>PE-52436</t>
  </si>
  <si>
    <t>Roger White</t>
  </si>
  <si>
    <t>FUR-FU-32515</t>
  </si>
  <si>
    <t>Rock Furnishings</t>
  </si>
  <si>
    <t>IL-2024-997830</t>
  </si>
  <si>
    <t>Carrie Brown</t>
  </si>
  <si>
    <t>OFF-ST-68944</t>
  </si>
  <si>
    <t>Realize Storage</t>
  </si>
  <si>
    <t>MI-2024-120425</t>
  </si>
  <si>
    <t>OY-58952</t>
  </si>
  <si>
    <t>Lisa Robertson</t>
  </si>
  <si>
    <t>OFF-PA-60122</t>
  </si>
  <si>
    <t>Become Paper</t>
  </si>
  <si>
    <t>MI-2023-919176</t>
  </si>
  <si>
    <t>TM-46718</t>
  </si>
  <si>
    <t>Tyler James</t>
  </si>
  <si>
    <t>TEC-MA-17774</t>
  </si>
  <si>
    <t>Hour Machines</t>
  </si>
  <si>
    <t>OH-2023-257726</t>
  </si>
  <si>
    <t>NW-67443</t>
  </si>
  <si>
    <t>Lucas Bradley</t>
  </si>
  <si>
    <t>OFF-AR-81642</t>
  </si>
  <si>
    <t>Open Art</t>
  </si>
  <si>
    <t>PA-2024-910237</t>
  </si>
  <si>
    <t>EY-52109</t>
  </si>
  <si>
    <t>Lisa Garcia</t>
  </si>
  <si>
    <t>FUR-FU-57474</t>
  </si>
  <si>
    <t>Help Furnishings</t>
  </si>
  <si>
    <t>CA-2024-116988</t>
  </si>
  <si>
    <t>BU-47047</t>
  </si>
  <si>
    <t>Pamela Walker</t>
  </si>
  <si>
    <t>OFF-LA-19902</t>
  </si>
  <si>
    <t>Evidence Labels</t>
  </si>
  <si>
    <t>TX-2024-957479</t>
  </si>
  <si>
    <t>ON-95254</t>
  </si>
  <si>
    <t>James Ellis</t>
  </si>
  <si>
    <t>FUR-CH-94913</t>
  </si>
  <si>
    <t>Race Chairs</t>
  </si>
  <si>
    <t>OH-2023-108952</t>
  </si>
  <si>
    <t>BA-43928</t>
  </si>
  <si>
    <t>Suzanne Moreno</t>
  </si>
  <si>
    <t>TEC-CO-79778</t>
  </si>
  <si>
    <t>Nor Copiers</t>
  </si>
  <si>
    <t>TX-2023-659333</t>
  </si>
  <si>
    <t>NX-52920</t>
  </si>
  <si>
    <t>Joseph Mills</t>
  </si>
  <si>
    <t>FUR-CH-36437</t>
  </si>
  <si>
    <t>OH-2023-565517</t>
  </si>
  <si>
    <t>DR-67481</t>
  </si>
  <si>
    <t>Amy Lewis</t>
  </si>
  <si>
    <t>FUR-CH-59873</t>
  </si>
  <si>
    <t>Series Chairs</t>
  </si>
  <si>
    <t>PA-2024-535293</t>
  </si>
  <si>
    <t>SX-72649</t>
  </si>
  <si>
    <t>Eddie Collier</t>
  </si>
  <si>
    <t>TEC-PH-69893</t>
  </si>
  <si>
    <t>Feel Phones</t>
  </si>
  <si>
    <t>IL-2023-835276</t>
  </si>
  <si>
    <t>JY-12077</t>
  </si>
  <si>
    <t>William Riley</t>
  </si>
  <si>
    <t>TEC-CO-15946</t>
  </si>
  <si>
    <t>Key Copiers</t>
  </si>
  <si>
    <t>IL-2024-747553</t>
  </si>
  <si>
    <t>PQ-32890</t>
  </si>
  <si>
    <t>Christine Briggs</t>
  </si>
  <si>
    <t>FUR-CH-57850</t>
  </si>
  <si>
    <t>Weight Chairs</t>
  </si>
  <si>
    <t>CA-2024-129881</t>
  </si>
  <si>
    <t>GR-16094</t>
  </si>
  <si>
    <t>Michael Christensen</t>
  </si>
  <si>
    <t>OFF-AR-78839</t>
  </si>
  <si>
    <t>Drive Art</t>
  </si>
  <si>
    <t>MI-2023-998541</t>
  </si>
  <si>
    <t>MB-43667</t>
  </si>
  <si>
    <t>Stacey Morales</t>
  </si>
  <si>
    <t>OFF-AR-57917</t>
  </si>
  <si>
    <t>Able Art</t>
  </si>
  <si>
    <t>TX-2023-852110</t>
  </si>
  <si>
    <t>OW-39651</t>
  </si>
  <si>
    <t>Taylor Nelson</t>
  </si>
  <si>
    <t>FUR-TA-53073</t>
  </si>
  <si>
    <t>Away Tables</t>
  </si>
  <si>
    <t>CA-2024-762574</t>
  </si>
  <si>
    <t>GW-28737</t>
  </si>
  <si>
    <t>Tamara Flores</t>
  </si>
  <si>
    <t>FUR-CH-31218</t>
  </si>
  <si>
    <t>MI-2024-672396</t>
  </si>
  <si>
    <t>SS-54204</t>
  </si>
  <si>
    <t>Gregory Atkinson</t>
  </si>
  <si>
    <t>OFF-ST-73878</t>
  </si>
  <si>
    <t>Though Storage</t>
  </si>
  <si>
    <t>NY-2023-338157</t>
  </si>
  <si>
    <t>LH-26554</t>
  </si>
  <si>
    <t>Elizabeth Anderson</t>
  </si>
  <si>
    <t>OFF-PA-67168</t>
  </si>
  <si>
    <t>Customer Paper</t>
  </si>
  <si>
    <t>FL-2024-651105</t>
  </si>
  <si>
    <t>OM-80707</t>
  </si>
  <si>
    <t>Albert Thompson</t>
  </si>
  <si>
    <t>TEC-AC-59082</t>
  </si>
  <si>
    <t>Much Accessories</t>
  </si>
  <si>
    <t>CA-2024-410899</t>
  </si>
  <si>
    <t>XB-71342</t>
  </si>
  <si>
    <t>Dr. Katrina Palmer</t>
  </si>
  <si>
    <t>FUR-TA-10046</t>
  </si>
  <si>
    <t>Sea Tables</t>
  </si>
  <si>
    <t>NY-2023-510243</t>
  </si>
  <si>
    <t>NE-87518</t>
  </si>
  <si>
    <t>Kathleen Camacho</t>
  </si>
  <si>
    <t>FUR-TA-19244</t>
  </si>
  <si>
    <t>Scientist Tables</t>
  </si>
  <si>
    <t>PA-2023-767687</t>
  </si>
  <si>
    <t>XG-92384</t>
  </si>
  <si>
    <t>James Ball</t>
  </si>
  <si>
    <t>OFF-BI-96562</t>
  </si>
  <si>
    <t>Before Binders</t>
  </si>
  <si>
    <t>CA-2024-978683</t>
  </si>
  <si>
    <t>VU-86674</t>
  </si>
  <si>
    <t>Christopher Gilbert</t>
  </si>
  <si>
    <t>TEC-MA-48155</t>
  </si>
  <si>
    <t>Control Machines</t>
  </si>
  <si>
    <t>OH-2024-159404</t>
  </si>
  <si>
    <t>WN-93920</t>
  </si>
  <si>
    <t>Paul Davis</t>
  </si>
  <si>
    <t>OFF-PA-97422</t>
  </si>
  <si>
    <t>Option Paper</t>
  </si>
  <si>
    <t>MI-2024-736095</t>
  </si>
  <si>
    <t>HW-85448</t>
  </si>
  <si>
    <t>Adrian Sandoval</t>
  </si>
  <si>
    <t>FUR-CH-57277</t>
  </si>
  <si>
    <t>Her Chairs</t>
  </si>
  <si>
    <t>CA-2024-952660</t>
  </si>
  <si>
    <t>DR-84308</t>
  </si>
  <si>
    <t>Joshua Reid</t>
  </si>
  <si>
    <t>FUR-TA-22950</t>
  </si>
  <si>
    <t>Simple Tables</t>
  </si>
  <si>
    <t>MI-2023-440275</t>
  </si>
  <si>
    <t>HZ-37443</t>
  </si>
  <si>
    <t>Adrian Ortiz</t>
  </si>
  <si>
    <t>TEC-CO-62601</t>
  </si>
  <si>
    <t>Our Copiers</t>
  </si>
  <si>
    <t>TX-2023-770513</t>
  </si>
  <si>
    <t>YA-60160</t>
  </si>
  <si>
    <t>Amanda Morton</t>
  </si>
  <si>
    <t>OFF-PA-55953</t>
  </si>
  <si>
    <t>Staff Paper</t>
  </si>
  <si>
    <t>IL-2023-517303</t>
  </si>
  <si>
    <t>JE-88377</t>
  </si>
  <si>
    <t>Mrs. Jessica Holden</t>
  </si>
  <si>
    <t>OFF-ST-29105</t>
  </si>
  <si>
    <t>Dark Storage</t>
  </si>
  <si>
    <t>TX-2024-335745</t>
  </si>
  <si>
    <t>BA-97493</t>
  </si>
  <si>
    <t>Kevin Mack</t>
  </si>
  <si>
    <t>FUR-FU-39421</t>
  </si>
  <si>
    <t>Until Furnishings</t>
  </si>
  <si>
    <t>MI-2024-534661</t>
  </si>
  <si>
    <t>HT-92215</t>
  </si>
  <si>
    <t>Jonathan Smith</t>
  </si>
  <si>
    <t>OFF-ST-57706</t>
  </si>
  <si>
    <t>Money Storage</t>
  </si>
  <si>
    <t>FL-2023-201314</t>
  </si>
  <si>
    <t>GJ-89179</t>
  </si>
  <si>
    <t>Michelle Hanna</t>
  </si>
  <si>
    <t>TEC-CO-94536</t>
  </si>
  <si>
    <t>Community Copiers</t>
  </si>
  <si>
    <t>CA-2024-686149</t>
  </si>
  <si>
    <t>IG-18359</t>
  </si>
  <si>
    <t>Russell Gross</t>
  </si>
  <si>
    <t>OFF-LA-46187</t>
  </si>
  <si>
    <t>IL-2024-343861</t>
  </si>
  <si>
    <t>FE-89900</t>
  </si>
  <si>
    <t>Christina Gordon</t>
  </si>
  <si>
    <t>TEC-CO-86997</t>
  </si>
  <si>
    <t>Son Copiers</t>
  </si>
  <si>
    <t>NY-2023-780952</t>
  </si>
  <si>
    <t>EX-21679</t>
  </si>
  <si>
    <t>Jennifer Griffith</t>
  </si>
  <si>
    <t>OFF-AR-99830</t>
  </si>
  <si>
    <t>MI-2023-293531</t>
  </si>
  <si>
    <t>DF-56032</t>
  </si>
  <si>
    <t>John Hopkins</t>
  </si>
  <si>
    <t>TEC-PH-54527</t>
  </si>
  <si>
    <t>Bag Phones</t>
  </si>
  <si>
    <t>CA-2023-442737</t>
  </si>
  <si>
    <t>JY-19094</t>
  </si>
  <si>
    <t>Steven Vaughn</t>
  </si>
  <si>
    <t>FUR-FU-33827</t>
  </si>
  <si>
    <t>NY-2023-953919</t>
  </si>
  <si>
    <t>YC-50850</t>
  </si>
  <si>
    <t>Kyle Alvarado</t>
  </si>
  <si>
    <t>FUR-TA-99526</t>
  </si>
  <si>
    <t>Must Tables</t>
  </si>
  <si>
    <t>OH-2024-222034</t>
  </si>
  <si>
    <t>FH-28531</t>
  </si>
  <si>
    <t>Angela Coleman</t>
  </si>
  <si>
    <t>OFF-BI-62990</t>
  </si>
  <si>
    <t>PA-2024-893691</t>
  </si>
  <si>
    <t>YJ-68707</t>
  </si>
  <si>
    <t>Elizabeth Henry</t>
  </si>
  <si>
    <t>OFF-PA-62984</t>
  </si>
  <si>
    <t>Project Paper</t>
  </si>
  <si>
    <t>CA-2023-297215</t>
  </si>
  <si>
    <t>SZ-16285</t>
  </si>
  <si>
    <t>April Gregory</t>
  </si>
  <si>
    <t>FUR-BO-49707</t>
  </si>
  <si>
    <t>Main Bookcases</t>
  </si>
  <si>
    <t>CA-2023-203442</t>
  </si>
  <si>
    <t>AP-19563</t>
  </si>
  <si>
    <t>Tamara Bullock</t>
  </si>
  <si>
    <t>FUR-FU-37097</t>
  </si>
  <si>
    <t>Why Furnishings</t>
  </si>
  <si>
    <t>PA-2023-508856</t>
  </si>
  <si>
    <t>OA-30437</t>
  </si>
  <si>
    <t>Jordan Allison</t>
  </si>
  <si>
    <t>TEC-AC-91495</t>
  </si>
  <si>
    <t>Expect Accessories</t>
  </si>
  <si>
    <t>CA-2024-963559</t>
  </si>
  <si>
    <t>YO-73991</t>
  </si>
  <si>
    <t>Jamie Davis</t>
  </si>
  <si>
    <t>TEC-PH-92121</t>
  </si>
  <si>
    <t>However Phones</t>
  </si>
  <si>
    <t>PA-2023-876043</t>
  </si>
  <si>
    <t>WN-80288</t>
  </si>
  <si>
    <t>Chase Castillo DDS</t>
  </si>
  <si>
    <t>OFF-AR-44275</t>
  </si>
  <si>
    <t>Dog Art</t>
  </si>
  <si>
    <t>MI-2024-214655</t>
  </si>
  <si>
    <t>FI-34179</t>
  </si>
  <si>
    <t>Chad Hill DVM</t>
  </si>
  <si>
    <t>TEC-PH-41686</t>
  </si>
  <si>
    <t>Present Phones</t>
  </si>
  <si>
    <t>PA-2023-696431</t>
  </si>
  <si>
    <t>EH-33006</t>
  </si>
  <si>
    <t>Michael Nelson</t>
  </si>
  <si>
    <t>OFF-BI-94428</t>
  </si>
  <si>
    <t>Worker Binders</t>
  </si>
  <si>
    <t>MI-2023-984392</t>
  </si>
  <si>
    <t>KC-28790</t>
  </si>
  <si>
    <t>Andre Smith</t>
  </si>
  <si>
    <t>OFF-LA-24596</t>
  </si>
  <si>
    <t>New Labels</t>
  </si>
  <si>
    <t>FL-2023-499731</t>
  </si>
  <si>
    <t>WC-84311</t>
  </si>
  <si>
    <t>Brandy Wood</t>
  </si>
  <si>
    <t>FUR-BO-83877</t>
  </si>
  <si>
    <t>Tax Bookcases</t>
  </si>
  <si>
    <t>IL-2024-767625</t>
  </si>
  <si>
    <t>YB-80314</t>
  </si>
  <si>
    <t>Amy Watkins</t>
  </si>
  <si>
    <t>FUR-CH-47599</t>
  </si>
  <si>
    <t>Politics Chairs</t>
  </si>
  <si>
    <t>FL-2024-231097</t>
  </si>
  <si>
    <t>GC-64752</t>
  </si>
  <si>
    <t>Mary Irwin</t>
  </si>
  <si>
    <t>TEC-MA-68181</t>
  </si>
  <si>
    <t>End Machines</t>
  </si>
  <si>
    <t>PA-2024-674835</t>
  </si>
  <si>
    <t>DD-61488</t>
  </si>
  <si>
    <t>Mario Wilcox</t>
  </si>
  <si>
    <t>OFF-LA-81149</t>
  </si>
  <si>
    <t>MI-2023-827679</t>
  </si>
  <si>
    <t>UC-99211</t>
  </si>
  <si>
    <t>Tara Stephens</t>
  </si>
  <si>
    <t>FUR-FU-85375</t>
  </si>
  <si>
    <t>Difference Furnishings</t>
  </si>
  <si>
    <t>CA-2023-925189</t>
  </si>
  <si>
    <t>CY-16914</t>
  </si>
  <si>
    <t>Lee Peters</t>
  </si>
  <si>
    <t>FUR-TA-56752</t>
  </si>
  <si>
    <t>Key Tables</t>
  </si>
  <si>
    <t>NY-2024-417970</t>
  </si>
  <si>
    <t>TH-31398</t>
  </si>
  <si>
    <t>Sean Stout</t>
  </si>
  <si>
    <t>FUR-FU-30746</t>
  </si>
  <si>
    <t>Training Furnishings</t>
  </si>
  <si>
    <t>NY-2024-595780</t>
  </si>
  <si>
    <t>QH-86831</t>
  </si>
  <si>
    <t>Nicole Crosby</t>
  </si>
  <si>
    <t>OFF-PA-86662</t>
  </si>
  <si>
    <t>Effect Paper</t>
  </si>
  <si>
    <t>NY-2024-810277</t>
  </si>
  <si>
    <t>XL-93128</t>
  </si>
  <si>
    <t>Dr. Evan Hill</t>
  </si>
  <si>
    <t>OFF-LA-56492</t>
  </si>
  <si>
    <t>Base Labels</t>
  </si>
  <si>
    <t>CA-2024-434042</t>
  </si>
  <si>
    <t>IT-44486</t>
  </si>
  <si>
    <t>Sierra Myers</t>
  </si>
  <si>
    <t>OFF-ST-15302</t>
  </si>
  <si>
    <t>Star Storage</t>
  </si>
  <si>
    <t>FL-2024-498476</t>
  </si>
  <si>
    <t>PL-53992</t>
  </si>
  <si>
    <t>Patricia Garcia</t>
  </si>
  <si>
    <t>TEC-MA-63371</t>
  </si>
  <si>
    <t>Study Machines</t>
  </si>
  <si>
    <t>PA-2023-124125</t>
  </si>
  <si>
    <t>Shannon Wall</t>
  </si>
  <si>
    <t>FUR-CH-84961</t>
  </si>
  <si>
    <t>Mr Chairs</t>
  </si>
  <si>
    <t>MI-2024-924318</t>
  </si>
  <si>
    <t>HQ-28181</t>
  </si>
  <si>
    <t>John Sanders</t>
  </si>
  <si>
    <t>TEC-PH-34323</t>
  </si>
  <si>
    <t>Agreement Phones</t>
  </si>
  <si>
    <t>FL-2024-734868</t>
  </si>
  <si>
    <t>JX-68001</t>
  </si>
  <si>
    <t>Phillip Bright</t>
  </si>
  <si>
    <t>TEC-PH-20427</t>
  </si>
  <si>
    <t>Really Phones</t>
  </si>
  <si>
    <t>PA-2023-270313</t>
  </si>
  <si>
    <t>JG-76408</t>
  </si>
  <si>
    <t>Kenneth Gardner</t>
  </si>
  <si>
    <t>OFF-BI-65905</t>
  </si>
  <si>
    <t>Including Binders</t>
  </si>
  <si>
    <t>PA-2023-749954</t>
  </si>
  <si>
    <t>VF-98408</t>
  </si>
  <si>
    <t>Joseph Ryan</t>
  </si>
  <si>
    <t>OFF-AR-57379</t>
  </si>
  <si>
    <t>Term Art</t>
  </si>
  <si>
    <t>MI-2024-672435</t>
  </si>
  <si>
    <t>SO-56254</t>
  </si>
  <si>
    <t>Lindsay Powell</t>
  </si>
  <si>
    <t>OFF-PA-52515</t>
  </si>
  <si>
    <t>Find Paper</t>
  </si>
  <si>
    <t>PA-2024-762902</t>
  </si>
  <si>
    <t>NO-66935</t>
  </si>
  <si>
    <t>Courtney Garrett</t>
  </si>
  <si>
    <t>FUR-CH-87717</t>
  </si>
  <si>
    <t>Cut Chairs</t>
  </si>
  <si>
    <t>IL-2023-299172</t>
  </si>
  <si>
    <t>NY-67030</t>
  </si>
  <si>
    <t>Eric Burton</t>
  </si>
  <si>
    <t>OFF-LA-56316</t>
  </si>
  <si>
    <t>Continue Labels</t>
  </si>
  <si>
    <t>IL-2023-455027</t>
  </si>
  <si>
    <t>XR-88527</t>
  </si>
  <si>
    <t>David Soto</t>
  </si>
  <si>
    <t>Someone Copiers</t>
  </si>
  <si>
    <t>PA-2024-925026</t>
  </si>
  <si>
    <t>OR-35477</t>
  </si>
  <si>
    <t>Christopher Morris</t>
  </si>
  <si>
    <t>OFF-AR-40005</t>
  </si>
  <si>
    <t>Sense Art</t>
  </si>
  <si>
    <t>NY-2024-185257</t>
  </si>
  <si>
    <t>CL-68914</t>
  </si>
  <si>
    <t>Matthew Haas</t>
  </si>
  <si>
    <t>FUR-TA-28754</t>
  </si>
  <si>
    <t>Rise Tables</t>
  </si>
  <si>
    <t>PA-2024-429429</t>
  </si>
  <si>
    <t>HX-48747</t>
  </si>
  <si>
    <t>Christopher Peck</t>
  </si>
  <si>
    <t>FUR-CH-78616</t>
  </si>
  <si>
    <t>Camera Chairs</t>
  </si>
  <si>
    <t>OH-2023-486538</t>
  </si>
  <si>
    <t>AY-82779</t>
  </si>
  <si>
    <t>David Wilson</t>
  </si>
  <si>
    <t>TEC-MA-51168</t>
  </si>
  <si>
    <t>Key Machines</t>
  </si>
  <si>
    <t>PA-2024-486737</t>
  </si>
  <si>
    <t>FN-92429</t>
  </si>
  <si>
    <t>Angie Smith</t>
  </si>
  <si>
    <t>TEC-CO-61843</t>
  </si>
  <si>
    <t>Her Copiers</t>
  </si>
  <si>
    <t>MI-2023-171192</t>
  </si>
  <si>
    <t>VZ-40803</t>
  </si>
  <si>
    <t>Steven Black</t>
  </si>
  <si>
    <t>OFF-ST-54323</t>
  </si>
  <si>
    <t>Herself Storage</t>
  </si>
  <si>
    <t>FL-2024-266786</t>
  </si>
  <si>
    <t>QV-17407</t>
  </si>
  <si>
    <t>Adam Simmons</t>
  </si>
  <si>
    <t>TEC-PH-16879</t>
  </si>
  <si>
    <t>Second Phones</t>
  </si>
  <si>
    <t>OH-2023-635032</t>
  </si>
  <si>
    <t>WY-82093</t>
  </si>
  <si>
    <t>Johnathan Green</t>
  </si>
  <si>
    <t>FUR-CH-87289</t>
  </si>
  <si>
    <t>Character Chairs</t>
  </si>
  <si>
    <t>NY-2023-758169</t>
  </si>
  <si>
    <t>JP-30953</t>
  </si>
  <si>
    <t>Thomas Smith</t>
  </si>
  <si>
    <t>TEC-CO-53841</t>
  </si>
  <si>
    <t>Set Copiers</t>
  </si>
  <si>
    <t>NY-2023-143683</t>
  </si>
  <si>
    <t>EL-84738</t>
  </si>
  <si>
    <t>Cynthia Taylor</t>
  </si>
  <si>
    <t>TEC-CO-98369</t>
  </si>
  <si>
    <t>Anyone Copiers</t>
  </si>
  <si>
    <t>IL-2023-326936</t>
  </si>
  <si>
    <t>AN-60930</t>
  </si>
  <si>
    <t>Brian Flores</t>
  </si>
  <si>
    <t>OFF-PA-61216</t>
  </si>
  <si>
    <t>Those Paper</t>
  </si>
  <si>
    <t>CA-2023-749358</t>
  </si>
  <si>
    <t>ZI-49773</t>
  </si>
  <si>
    <t>Jenna Woods</t>
  </si>
  <si>
    <t>OFF-AR-30904</t>
  </si>
  <si>
    <t>Happy Art</t>
  </si>
  <si>
    <t>CA-2023-416722</t>
  </si>
  <si>
    <t>SO-25771</t>
  </si>
  <si>
    <t>Jacob Larsen</t>
  </si>
  <si>
    <t>TEC-PH-72456</t>
  </si>
  <si>
    <t>Nearly Phones</t>
  </si>
  <si>
    <t>TX-2023-325942</t>
  </si>
  <si>
    <t>LG-14870</t>
  </si>
  <si>
    <t>Johnny Duran</t>
  </si>
  <si>
    <t>OFF-PA-64057</t>
  </si>
  <si>
    <t>IL-2023-803848</t>
  </si>
  <si>
    <t>QR-10255</t>
  </si>
  <si>
    <t>Jose Taylor</t>
  </si>
  <si>
    <t>FUR-FU-83261</t>
  </si>
  <si>
    <t>Make Furnishings</t>
  </si>
  <si>
    <t>PA-2024-861474</t>
  </si>
  <si>
    <t>KH-32801</t>
  </si>
  <si>
    <t>Laura Meyer</t>
  </si>
  <si>
    <t>OFF-ST-71274</t>
  </si>
  <si>
    <t>Artist Storage</t>
  </si>
  <si>
    <t>NY-2024-476091</t>
  </si>
  <si>
    <t>QY-55017</t>
  </si>
  <si>
    <t>Andrew Smith</t>
  </si>
  <si>
    <t>TEC-AC-88484</t>
  </si>
  <si>
    <t>Specific Accessories</t>
  </si>
  <si>
    <t>CA-2023-703418</t>
  </si>
  <si>
    <t>AV-99654</t>
  </si>
  <si>
    <t>Miguel Humphrey</t>
  </si>
  <si>
    <t>OFF-PA-25325</t>
  </si>
  <si>
    <t>Address Paper</t>
  </si>
  <si>
    <t>TX-2023-771580</t>
  </si>
  <si>
    <t>VH-76127</t>
  </si>
  <si>
    <t>Misty Woodward</t>
  </si>
  <si>
    <t>OFF-BI-19464</t>
  </si>
  <si>
    <t>Hand Binders</t>
  </si>
  <si>
    <t>IL-2023-317146</t>
  </si>
  <si>
    <t>EF-43218</t>
  </si>
  <si>
    <t>Caitlin Pittman</t>
  </si>
  <si>
    <t>FUR-FU-56860</t>
  </si>
  <si>
    <t>Technology Furnishings</t>
  </si>
  <si>
    <t>CA-2024-133049</t>
  </si>
  <si>
    <t>BY-43525</t>
  </si>
  <si>
    <t>Patricia Daugherty</t>
  </si>
  <si>
    <t>OFF-PA-80650</t>
  </si>
  <si>
    <t>Range Paper</t>
  </si>
  <si>
    <t>TX-2024-364405</t>
  </si>
  <si>
    <t>KF-69596</t>
  </si>
  <si>
    <t>Sabrina Davidson</t>
  </si>
  <si>
    <t>TEC-CO-41637</t>
  </si>
  <si>
    <t>No Copiers</t>
  </si>
  <si>
    <t>CA-2024-172456</t>
  </si>
  <si>
    <t>VJ-80210</t>
  </si>
  <si>
    <t>Ashley Wong</t>
  </si>
  <si>
    <t>TEC-PH-43187</t>
  </si>
  <si>
    <t>Table Phones</t>
  </si>
  <si>
    <t>TX-2023-605566</t>
  </si>
  <si>
    <t>JS-95704</t>
  </si>
  <si>
    <t>Heather Murillo</t>
  </si>
  <si>
    <t>OFF-LA-49620</t>
  </si>
  <si>
    <t>Them Labels</t>
  </si>
  <si>
    <t>CA-2024-620246</t>
  </si>
  <si>
    <t>WT-78835</t>
  </si>
  <si>
    <t>Vincent Willis</t>
  </si>
  <si>
    <t>OFF-AR-23936</t>
  </si>
  <si>
    <t>Note Art</t>
  </si>
  <si>
    <t>FL-2023-226889</t>
  </si>
  <si>
    <t>AT-97115</t>
  </si>
  <si>
    <t>Melissa Moore</t>
  </si>
  <si>
    <t>OFF-AR-58931</t>
  </si>
  <si>
    <t>Son Art</t>
  </si>
  <si>
    <t>OH-2023-489921</t>
  </si>
  <si>
    <t>PK-78755</t>
  </si>
  <si>
    <t>Erica Evans</t>
  </si>
  <si>
    <t>OFF-AR-79536</t>
  </si>
  <si>
    <t>Join Art</t>
  </si>
  <si>
    <t>OH-2023-253209</t>
  </si>
  <si>
    <t>PN-72611</t>
  </si>
  <si>
    <t>Ronald Morris</t>
  </si>
  <si>
    <t>FUR-CH-42383</t>
  </si>
  <si>
    <t>Few Chairs</t>
  </si>
  <si>
    <t>FL-2024-509758</t>
  </si>
  <si>
    <t>KV-72831</t>
  </si>
  <si>
    <t>Bradley Gonzalez</t>
  </si>
  <si>
    <t>TEC-MA-94677</t>
  </si>
  <si>
    <t>Former Machines</t>
  </si>
  <si>
    <t>NY-2023-487470</t>
  </si>
  <si>
    <t>HC-95218</t>
  </si>
  <si>
    <t>Richard Francis</t>
  </si>
  <si>
    <t>OFF-AR-89337</t>
  </si>
  <si>
    <t>Director Art</t>
  </si>
  <si>
    <t>NY-2024-453449</t>
  </si>
  <si>
    <t>SN-79827</t>
  </si>
  <si>
    <t>Taylor Rogers</t>
  </si>
  <si>
    <t>TEC-PH-42976</t>
  </si>
  <si>
    <t>Total Phones</t>
  </si>
  <si>
    <t>FL-2024-642818</t>
  </si>
  <si>
    <t>DQ-97776</t>
  </si>
  <si>
    <t>Dustin Savage</t>
  </si>
  <si>
    <t>FUR-CH-48668</t>
  </si>
  <si>
    <t>Ten Chairs</t>
  </si>
  <si>
    <t>FL-2023-727186</t>
  </si>
  <si>
    <t>YL-42195</t>
  </si>
  <si>
    <t>Dr. Ashley Byrd DDS</t>
  </si>
  <si>
    <t>OFF-ST-84473</t>
  </si>
  <si>
    <t>Citizen Storage</t>
  </si>
  <si>
    <t>IL-2024-576851</t>
  </si>
  <si>
    <t>UX-44825</t>
  </si>
  <si>
    <t>Isabel Johnson</t>
  </si>
  <si>
    <t>OFF-PA-88023</t>
  </si>
  <si>
    <t>Training Paper</t>
  </si>
  <si>
    <t>TX-2024-233611</t>
  </si>
  <si>
    <t>IG-15234</t>
  </si>
  <si>
    <t>Kristin Burke</t>
  </si>
  <si>
    <t>TEC-PH-11291</t>
  </si>
  <si>
    <t>Boy Phones</t>
  </si>
  <si>
    <t>FL-2023-124069</t>
  </si>
  <si>
    <t>YC-36626</t>
  </si>
  <si>
    <t>Kristina Clayton</t>
  </si>
  <si>
    <t>TEC-PH-31023</t>
  </si>
  <si>
    <t>Check Phones</t>
  </si>
  <si>
    <t>FL-2024-212603</t>
  </si>
  <si>
    <t>XY-85974</t>
  </si>
  <si>
    <t>Ashley Maxwell</t>
  </si>
  <si>
    <t>OFF-PA-37969</t>
  </si>
  <si>
    <t>Catch Paper</t>
  </si>
  <si>
    <t>IL-2023-806017</t>
  </si>
  <si>
    <t>FJ-12715</t>
  </si>
  <si>
    <t>Brenda Turner</t>
  </si>
  <si>
    <t>TEC-MA-67958</t>
  </si>
  <si>
    <t>System Machines</t>
  </si>
  <si>
    <t>OH-2024-360849</t>
  </si>
  <si>
    <t>QE-13181</t>
  </si>
  <si>
    <t>Paul Duffy</t>
  </si>
  <si>
    <t>TEC-AC-94603</t>
  </si>
  <si>
    <t>Woman Accessories</t>
  </si>
  <si>
    <t>IL-2024-339659</t>
  </si>
  <si>
    <t>OI-30722</t>
  </si>
  <si>
    <t>Justin Holmes</t>
  </si>
  <si>
    <t>FUR-CH-14757</t>
  </si>
  <si>
    <t>Past Chairs</t>
  </si>
  <si>
    <t>IL-2024-256268</t>
  </si>
  <si>
    <t>IL-34382</t>
  </si>
  <si>
    <t>Patrick Blankenship</t>
  </si>
  <si>
    <t>OFF-ST-31840</t>
  </si>
  <si>
    <t>Culture Storage</t>
  </si>
  <si>
    <t>MI-2024-276083</t>
  </si>
  <si>
    <t>VC-18831</t>
  </si>
  <si>
    <t>Danielle Banks</t>
  </si>
  <si>
    <t>OFF-BI-79986</t>
  </si>
  <si>
    <t>Push Binders</t>
  </si>
  <si>
    <t>IL-2023-625245</t>
  </si>
  <si>
    <t>YH-16336</t>
  </si>
  <si>
    <t>Julia Castro</t>
  </si>
  <si>
    <t>FUR-CH-41709</t>
  </si>
  <si>
    <t>Anyone Chairs</t>
  </si>
  <si>
    <t>CA-2023-495758</t>
  </si>
  <si>
    <t>SJ-79323</t>
  </si>
  <si>
    <t>Melissa Johnson</t>
  </si>
  <si>
    <t>TEC-MA-82130</t>
  </si>
  <si>
    <t>IL-2024-275002</t>
  </si>
  <si>
    <t>TQ-19622</t>
  </si>
  <si>
    <t>Paul Pitts</t>
  </si>
  <si>
    <t>OFF-ST-25143</t>
  </si>
  <si>
    <t>Authority Storage</t>
  </si>
  <si>
    <t>NY-2024-719110</t>
  </si>
  <si>
    <t>HM-42046</t>
  </si>
  <si>
    <t>Adam Robertson</t>
  </si>
  <si>
    <t>FUR-CH-67544</t>
  </si>
  <si>
    <t>Difficult Chairs</t>
  </si>
  <si>
    <t>TX-2024-492204</t>
  </si>
  <si>
    <t>CV-95646</t>
  </si>
  <si>
    <t>Tracie Gardner</t>
  </si>
  <si>
    <t>FUR-TA-56500</t>
  </si>
  <si>
    <t>Suggest Tables</t>
  </si>
  <si>
    <t>CA-2023-253028</t>
  </si>
  <si>
    <t>CS-92663</t>
  </si>
  <si>
    <t>Susan Robinson</t>
  </si>
  <si>
    <t>OFF-LA-68767</t>
  </si>
  <si>
    <t>Think Labels</t>
  </si>
  <si>
    <t>OH-2023-798687</t>
  </si>
  <si>
    <t>XJ-96588</t>
  </si>
  <si>
    <t>Jaime Johnson</t>
  </si>
  <si>
    <t>OFF-ST-28868</t>
  </si>
  <si>
    <t>Audience Storage</t>
  </si>
  <si>
    <t>FL-2024-938306</t>
  </si>
  <si>
    <t>WQ-10074</t>
  </si>
  <si>
    <t>George Duncan</t>
  </si>
  <si>
    <t>FUR-BO-44800</t>
  </si>
  <si>
    <t>Officer Bookcases</t>
  </si>
  <si>
    <t>PA-2024-370620</t>
  </si>
  <si>
    <t>YV-97523</t>
  </si>
  <si>
    <t>Jordan Robinson</t>
  </si>
  <si>
    <t>TEC-CO-87837</t>
  </si>
  <si>
    <t>Accept Copiers</t>
  </si>
  <si>
    <t>CA-2024-940615</t>
  </si>
  <si>
    <t>YF-38698</t>
  </si>
  <si>
    <t>Kayla Coleman</t>
  </si>
  <si>
    <t>OFF-BI-22923</t>
  </si>
  <si>
    <t>Actually Binders</t>
  </si>
  <si>
    <t>TX-2024-159667</t>
  </si>
  <si>
    <t>KS-64293</t>
  </si>
  <si>
    <t>Travis Young</t>
  </si>
  <si>
    <t>FUR-TA-58546</t>
  </si>
  <si>
    <t>My Tables</t>
  </si>
  <si>
    <t>NY-2024-266924</t>
  </si>
  <si>
    <t>YQ-23193</t>
  </si>
  <si>
    <t>Joseph Lewis</t>
  </si>
  <si>
    <t>FUR-BO-29666</t>
  </si>
  <si>
    <t>Truth Bookcases</t>
  </si>
  <si>
    <t>IL-2024-811710</t>
  </si>
  <si>
    <t>KX-31655</t>
  </si>
  <si>
    <t>Melissa Williams</t>
  </si>
  <si>
    <t>OFF-LA-15104</t>
  </si>
  <si>
    <t>Itself Labels</t>
  </si>
  <si>
    <t>IL-2023-972207</t>
  </si>
  <si>
    <t>QU-89451</t>
  </si>
  <si>
    <t>Jessica Estrada</t>
  </si>
  <si>
    <t>FUR-BO-75066</t>
  </si>
  <si>
    <t>Five Bookcases</t>
  </si>
  <si>
    <t>OH-2024-946165</t>
  </si>
  <si>
    <t>VG-41546</t>
  </si>
  <si>
    <t>Steven Hawkins</t>
  </si>
  <si>
    <t>FUR-CH-14823</t>
  </si>
  <si>
    <t>Beautiful Chairs</t>
  </si>
  <si>
    <t>FL-2024-556481</t>
  </si>
  <si>
    <t>VI-72026</t>
  </si>
  <si>
    <t>Justin Hill</t>
  </si>
  <si>
    <t>FUR-TA-30516</t>
  </si>
  <si>
    <t>Could Tables</t>
  </si>
  <si>
    <t>PA-2024-239359</t>
  </si>
  <si>
    <t>VK-84261</t>
  </si>
  <si>
    <t>Pamela Gonzalez</t>
  </si>
  <si>
    <t>FUR-BO-31519</t>
  </si>
  <si>
    <t>Turn Bookcases</t>
  </si>
  <si>
    <t>FL-2023-538168</t>
  </si>
  <si>
    <t>HV-90593</t>
  </si>
  <si>
    <t>Mark Fitzgerald</t>
  </si>
  <si>
    <t>OFF-LA-23709</t>
  </si>
  <si>
    <t>Threat Labels</t>
  </si>
  <si>
    <t>FL-2024-907101</t>
  </si>
  <si>
    <t>QA-15834</t>
  </si>
  <si>
    <t>Katherine Dominguez</t>
  </si>
  <si>
    <t>OFF-LA-63390</t>
  </si>
  <si>
    <t>FL-2024-377558</t>
  </si>
  <si>
    <t>XJ-97612</t>
  </si>
  <si>
    <t>Kari Wilcox</t>
  </si>
  <si>
    <t>OFF-PA-44782</t>
  </si>
  <si>
    <t>Low Paper</t>
  </si>
  <si>
    <t>OH-2023-626124</t>
  </si>
  <si>
    <t>UM-86044</t>
  </si>
  <si>
    <t>Christina Richardson</t>
  </si>
  <si>
    <t>TEC-CO-25187</t>
  </si>
  <si>
    <t>Doctor Copiers</t>
  </si>
  <si>
    <t>MI-2023-204291</t>
  </si>
  <si>
    <t>JJ-96174</t>
  </si>
  <si>
    <t>Philip Miller</t>
  </si>
  <si>
    <t>TEC-CO-64470</t>
  </si>
  <si>
    <t>TX-2023-227339</t>
  </si>
  <si>
    <t>KB-33458</t>
  </si>
  <si>
    <t>Troy Ramirez</t>
  </si>
  <si>
    <t>OFF-ST-25917</t>
  </si>
  <si>
    <t>Police Storage</t>
  </si>
  <si>
    <t>FL-2024-860548</t>
  </si>
  <si>
    <t>RD-31271</t>
  </si>
  <si>
    <t>Natalie Hicks</t>
  </si>
  <si>
    <t>OFF-BI-78430</t>
  </si>
  <si>
    <t>Per Binders</t>
  </si>
  <si>
    <t>OH-2023-275660</t>
  </si>
  <si>
    <t>QF-39720</t>
  </si>
  <si>
    <t>Sharon Johnson</t>
  </si>
  <si>
    <t>OFF-AR-70011</t>
  </si>
  <si>
    <t>Matter Art</t>
  </si>
  <si>
    <t>PA-2024-886151</t>
  </si>
  <si>
    <t>GO-27574</t>
  </si>
  <si>
    <t>Patricia Molina</t>
  </si>
  <si>
    <t>TEC-PH-87710</t>
  </si>
  <si>
    <t>High Phones</t>
  </si>
  <si>
    <t>IL-2024-407706</t>
  </si>
  <si>
    <t>BM-97139</t>
  </si>
  <si>
    <t>Kenneth Hogan</t>
  </si>
  <si>
    <t>TEC-CO-59752</t>
  </si>
  <si>
    <t>Form Copiers</t>
  </si>
  <si>
    <t>CA-2024-443674</t>
  </si>
  <si>
    <t>HY-78806</t>
  </si>
  <si>
    <t>Jeremy Tyler</t>
  </si>
  <si>
    <t>TEC-PH-57517</t>
  </si>
  <si>
    <t>Well Phones</t>
  </si>
  <si>
    <t>TX-2024-679198</t>
  </si>
  <si>
    <t>AM-50880</t>
  </si>
  <si>
    <t>Dana Hodges</t>
  </si>
  <si>
    <t>TX-2024-266521</t>
  </si>
  <si>
    <t>SV-34265</t>
  </si>
  <si>
    <t>Preston Smith</t>
  </si>
  <si>
    <t>TEC-PH-92685</t>
  </si>
  <si>
    <t>Medical Phones</t>
  </si>
  <si>
    <t>IL-2023-616583</t>
  </si>
  <si>
    <t>SL-90380</t>
  </si>
  <si>
    <t>Erin Harmon</t>
  </si>
  <si>
    <t>OFF-BI-79177</t>
  </si>
  <si>
    <t>Social Binders</t>
  </si>
  <si>
    <t>IL-2024-101523</t>
  </si>
  <si>
    <t>GG-26802</t>
  </si>
  <si>
    <t>Tina Carroll</t>
  </si>
  <si>
    <t>FUR-BO-97952</t>
  </si>
  <si>
    <t>Hope Bookcases</t>
  </si>
  <si>
    <t>CA-2023-852076</t>
  </si>
  <si>
    <t>PM-24018</t>
  </si>
  <si>
    <t>Marcus Bass</t>
  </si>
  <si>
    <t>FUR-FU-28924</t>
  </si>
  <si>
    <t>Person Furnishings</t>
  </si>
  <si>
    <t>FL-2024-470334</t>
  </si>
  <si>
    <t>JJ-74082</t>
  </si>
  <si>
    <t>Michael Mack</t>
  </si>
  <si>
    <t>OFF-LA-43044</t>
  </si>
  <si>
    <t>Build Labels</t>
  </si>
  <si>
    <t>NY-2024-392896</t>
  </si>
  <si>
    <t>PJ-79414</t>
  </si>
  <si>
    <t>Lori Barker</t>
  </si>
  <si>
    <t>TEC-MA-55592</t>
  </si>
  <si>
    <t>Indicate Machines</t>
  </si>
  <si>
    <t>NY-2023-918946</t>
  </si>
  <si>
    <t>WD-38688</t>
  </si>
  <si>
    <t>Karen Allen</t>
  </si>
  <si>
    <t>TEC-AC-24394</t>
  </si>
  <si>
    <t>Decide Accessories</t>
  </si>
  <si>
    <t>TX-2023-396551</t>
  </si>
  <si>
    <t>Cole Hanson</t>
  </si>
  <si>
    <t>FUR-BO-52909</t>
  </si>
  <si>
    <t>Call Bookcases</t>
  </si>
  <si>
    <t>IL-2023-759393</t>
  </si>
  <si>
    <t>BJ-59797</t>
  </si>
  <si>
    <t>Lisa Johnson</t>
  </si>
  <si>
    <t>TEC-AC-42097</t>
  </si>
  <si>
    <t>NY-2023-530687</t>
  </si>
  <si>
    <t>RE-80120</t>
  </si>
  <si>
    <t>Charles Pacheco</t>
  </si>
  <si>
    <t>FUR-BO-99254</t>
  </si>
  <si>
    <t>Inside Bookcases</t>
  </si>
  <si>
    <t>TX-2024-774254</t>
  </si>
  <si>
    <t>JY-41025</t>
  </si>
  <si>
    <t>Scott Charles</t>
  </si>
  <si>
    <t>FUR-BO-42809</t>
  </si>
  <si>
    <t>Once Bookcases</t>
  </si>
  <si>
    <t>FL-2024-446810</t>
  </si>
  <si>
    <t>FG-10012</t>
  </si>
  <si>
    <t>Joshua Mays</t>
  </si>
  <si>
    <t>TEC-CO-56779</t>
  </si>
  <si>
    <t>Teach Copiers</t>
  </si>
  <si>
    <t>CA-2023-305369</t>
  </si>
  <si>
    <t>HA-70405</t>
  </si>
  <si>
    <t>Dustin Eaton</t>
  </si>
  <si>
    <t>TEC-MA-39573</t>
  </si>
  <si>
    <t>Side Machines</t>
  </si>
  <si>
    <t>TX-2023-596741</t>
  </si>
  <si>
    <t>NN-14604</t>
  </si>
  <si>
    <t>Elizabeth Campbell</t>
  </si>
  <si>
    <t>FUR-FU-24224</t>
  </si>
  <si>
    <t>Still Furnishings</t>
  </si>
  <si>
    <t>PA-2024-265042</t>
  </si>
  <si>
    <t>NG-90078</t>
  </si>
  <si>
    <t>Stephanie Ryan</t>
  </si>
  <si>
    <t>OFF-ST-44108</t>
  </si>
  <si>
    <t>Add Storage</t>
  </si>
  <si>
    <t>CA-2023-872804</t>
  </si>
  <si>
    <t>ZZ-95151</t>
  </si>
  <si>
    <t>Amanda Charles</t>
  </si>
  <si>
    <t>TEC-AC-16924</t>
  </si>
  <si>
    <t>Employee Accessories</t>
  </si>
  <si>
    <t>TX-2024-650581</t>
  </si>
  <si>
    <t>ST-81946</t>
  </si>
  <si>
    <t>Anthony James</t>
  </si>
  <si>
    <t>FUR-BO-66062</t>
  </si>
  <si>
    <t>General Bookcases</t>
  </si>
  <si>
    <t>TX-2024-583287</t>
  </si>
  <si>
    <t>RC-13926</t>
  </si>
  <si>
    <t>Anthony Carlson</t>
  </si>
  <si>
    <t>FUR-BO-97147</t>
  </si>
  <si>
    <t>Drug Bookcases</t>
  </si>
  <si>
    <t>TX-2024-921716</t>
  </si>
  <si>
    <t>TJ-56312</t>
  </si>
  <si>
    <t>Meredith Allen</t>
  </si>
  <si>
    <t>OFF-LA-76062</t>
  </si>
  <si>
    <t>Knowledge Labels</t>
  </si>
  <si>
    <t>TX-2023-284260</t>
  </si>
  <si>
    <t>WH-59734</t>
  </si>
  <si>
    <t>Trevor Cruz</t>
  </si>
  <si>
    <t>FUR-FU-71251</t>
  </si>
  <si>
    <t>May Furnishings</t>
  </si>
  <si>
    <t>NY-2024-496069</t>
  </si>
  <si>
    <t>MR-45312</t>
  </si>
  <si>
    <t>Heather Kemp</t>
  </si>
  <si>
    <t>FUR-TA-58439</t>
  </si>
  <si>
    <t>By Tables</t>
  </si>
  <si>
    <t>FL-2023-530108</t>
  </si>
  <si>
    <t>TP-91841</t>
  </si>
  <si>
    <t>Evan Collier</t>
  </si>
  <si>
    <t>TEC-AC-26484</t>
  </si>
  <si>
    <t>Instead Accessories</t>
  </si>
  <si>
    <t>IL-2024-998572</t>
  </si>
  <si>
    <t>LY-42638</t>
  </si>
  <si>
    <t>John Mann</t>
  </si>
  <si>
    <t>FUR-FU-34600</t>
  </si>
  <si>
    <t>IL-2024-412042</t>
  </si>
  <si>
    <t>TM-27106</t>
  </si>
  <si>
    <t>Brenda Blankenship</t>
  </si>
  <si>
    <t>TEC-MA-38032</t>
  </si>
  <si>
    <t>Another Machines</t>
  </si>
  <si>
    <t>PA-2024-144374</t>
  </si>
  <si>
    <t>XW-54555</t>
  </si>
  <si>
    <t>John Lewis</t>
  </si>
  <si>
    <t>TEC-AC-48513</t>
  </si>
  <si>
    <t>Account Accessories</t>
  </si>
  <si>
    <t>CA-2023-866278</t>
  </si>
  <si>
    <t>YB-46101</t>
  </si>
  <si>
    <t>TEC-AC-71037</t>
  </si>
  <si>
    <t>Drop Accessories</t>
  </si>
  <si>
    <t>PA-2023-968772</t>
  </si>
  <si>
    <t>AD-61736</t>
  </si>
  <si>
    <t>Glenn Burns</t>
  </si>
  <si>
    <t>FUR-CH-23392</t>
  </si>
  <si>
    <t>Two Chairs</t>
  </si>
  <si>
    <t>FL-2024-327312</t>
  </si>
  <si>
    <t>JB-15139</t>
  </si>
  <si>
    <t>Emily Lee</t>
  </si>
  <si>
    <t>FUR-BO-20992</t>
  </si>
  <si>
    <t>For Bookcases</t>
  </si>
  <si>
    <t>CA-2023-293807</t>
  </si>
  <si>
    <t>IL-53855</t>
  </si>
  <si>
    <t>Rachel Carlson</t>
  </si>
  <si>
    <t>FUR-CH-88275</t>
  </si>
  <si>
    <t>Western Chairs</t>
  </si>
  <si>
    <t>OH-2023-751226</t>
  </si>
  <si>
    <t>ZW-27553</t>
  </si>
  <si>
    <t>Bradley Flores</t>
  </si>
  <si>
    <t>FUR-TA-89127</t>
  </si>
  <si>
    <t>General Tables</t>
  </si>
  <si>
    <t>CA-2023-893269</t>
  </si>
  <si>
    <t>JI-38257</t>
  </si>
  <si>
    <t>Shawn Brown</t>
  </si>
  <si>
    <t>TEC-AC-19633</t>
  </si>
  <si>
    <t>Wife Accessories</t>
  </si>
  <si>
    <t>OH-2023-969880</t>
  </si>
  <si>
    <t>HL-41149</t>
  </si>
  <si>
    <t>Danielle Alvarado</t>
  </si>
  <si>
    <t>OFF-PA-67064</t>
  </si>
  <si>
    <t>Peace Paper</t>
  </si>
  <si>
    <t>CA-2023-478873</t>
  </si>
  <si>
    <t>ML-60631</t>
  </si>
  <si>
    <t>John Austin</t>
  </si>
  <si>
    <t>TEC-MA-19526</t>
  </si>
  <si>
    <t>Nothing Machines</t>
  </si>
  <si>
    <t>OH-2023-608964</t>
  </si>
  <si>
    <t>VX-78746</t>
  </si>
  <si>
    <t>Anthony Cruz</t>
  </si>
  <si>
    <t>OFF-LA-25181</t>
  </si>
  <si>
    <t>Phone Labels</t>
  </si>
  <si>
    <t>NY-2024-148360</t>
  </si>
  <si>
    <t>HX-16999</t>
  </si>
  <si>
    <t>Karen Gomez</t>
  </si>
  <si>
    <t>TEC-CO-69183</t>
  </si>
  <si>
    <t>Watch Copiers</t>
  </si>
  <si>
    <t>CA-2024-367642</t>
  </si>
  <si>
    <t>AH-96084</t>
  </si>
  <si>
    <t>Sarah Padilla</t>
  </si>
  <si>
    <t>TEC-MA-21751</t>
  </si>
  <si>
    <t>Common Machines</t>
  </si>
  <si>
    <t>CA-2024-697144</t>
  </si>
  <si>
    <t>JK-34242</t>
  </si>
  <si>
    <t>Debra Collins</t>
  </si>
  <si>
    <t>OFF-BI-66344</t>
  </si>
  <si>
    <t>Different Binders</t>
  </si>
  <si>
    <t>CA-2024-282362</t>
  </si>
  <si>
    <t>AA-52700</t>
  </si>
  <si>
    <t>James Smith</t>
  </si>
  <si>
    <t>Picture Copiers</t>
  </si>
  <si>
    <t>OH-2023-249376</t>
  </si>
  <si>
    <t>UL-63245</t>
  </si>
  <si>
    <t>Charles Mcdowell</t>
  </si>
  <si>
    <t>OFF-AR-98677</t>
  </si>
  <si>
    <t>Save Art</t>
  </si>
  <si>
    <t>MI-2024-203025</t>
  </si>
  <si>
    <t>XP-25753</t>
  </si>
  <si>
    <t>Ann Blair</t>
  </si>
  <si>
    <t>FUR-TA-62254</t>
  </si>
  <si>
    <t>Lawyer Tables</t>
  </si>
  <si>
    <t>MI-2023-101025</t>
  </si>
  <si>
    <t>HX-61024</t>
  </si>
  <si>
    <t>Arthur Dean</t>
  </si>
  <si>
    <t>FUR-BO-60749</t>
  </si>
  <si>
    <t>Some Bookcases</t>
  </si>
  <si>
    <t>CA-2024-183995</t>
  </si>
  <si>
    <t>EH-17120</t>
  </si>
  <si>
    <t>Cassandra Bradley</t>
  </si>
  <si>
    <t>OFF-BI-92514</t>
  </si>
  <si>
    <t>We Binders</t>
  </si>
  <si>
    <t>MI-2024-727924</t>
  </si>
  <si>
    <t>AP-68854</t>
  </si>
  <si>
    <t>Susan Allison</t>
  </si>
  <si>
    <t>TEC-MA-63955</t>
  </si>
  <si>
    <t>Military Machines</t>
  </si>
  <si>
    <t>CA-2023-692887</t>
  </si>
  <si>
    <t>FD-78679</t>
  </si>
  <si>
    <t>Kristen Davis</t>
  </si>
  <si>
    <t>TEC-CO-18802</t>
  </si>
  <si>
    <t>Daughter Copiers</t>
  </si>
  <si>
    <t>OH-2023-589887</t>
  </si>
  <si>
    <t>IB-31531</t>
  </si>
  <si>
    <t>Gregory Hebert</t>
  </si>
  <si>
    <t>FUR-BO-89026</t>
  </si>
  <si>
    <t>Research Bookcases</t>
  </si>
  <si>
    <t>PA-2024-227154</t>
  </si>
  <si>
    <t>XW-97539</t>
  </si>
  <si>
    <t>Mary Adkins</t>
  </si>
  <si>
    <t>OFF-ST-44681</t>
  </si>
  <si>
    <t>Imagine Storage</t>
  </si>
  <si>
    <t>CA-2023-573682</t>
  </si>
  <si>
    <t>DM-62213</t>
  </si>
  <si>
    <t>Anthony James PhD</t>
  </si>
  <si>
    <t>Million Phones</t>
  </si>
  <si>
    <t>NY-2023-758784</t>
  </si>
  <si>
    <t>PN-85041</t>
  </si>
  <si>
    <t>Elizabeth Barnes</t>
  </si>
  <si>
    <t>OFF-PA-89494</t>
  </si>
  <si>
    <t>Mean Paper</t>
  </si>
  <si>
    <t>CA-2024-340027</t>
  </si>
  <si>
    <t>XY-87150</t>
  </si>
  <si>
    <t>John Hart</t>
  </si>
  <si>
    <t>TEC-MA-62793</t>
  </si>
  <si>
    <t>Improve Machines</t>
  </si>
  <si>
    <t>CA-2024-901674</t>
  </si>
  <si>
    <t>KM-96364</t>
  </si>
  <si>
    <t>Brittany Wells</t>
  </si>
  <si>
    <t>FUR-CH-92467</t>
  </si>
  <si>
    <t>IL-2024-697092</t>
  </si>
  <si>
    <t>WN-19535</t>
  </si>
  <si>
    <t>Matthew Harper</t>
  </si>
  <si>
    <t>FUR-TA-84431</t>
  </si>
  <si>
    <t>Answer Tables</t>
  </si>
  <si>
    <t>CA-2023-233037</t>
  </si>
  <si>
    <t>PP-96810</t>
  </si>
  <si>
    <t>Gregory Nichols</t>
  </si>
  <si>
    <t>OFF-AR-42869</t>
  </si>
  <si>
    <t>Help Art</t>
  </si>
  <si>
    <t>PA-2024-756477</t>
  </si>
  <si>
    <t>GM-56784</t>
  </si>
  <si>
    <t>Deborah Green</t>
  </si>
  <si>
    <t>FUR-FU-68665</t>
  </si>
  <si>
    <t>Story Furnishings</t>
  </si>
  <si>
    <t>TX-2024-618938</t>
  </si>
  <si>
    <t>MY-76296</t>
  </si>
  <si>
    <t>Carlos Johnson</t>
  </si>
  <si>
    <t>TEC-AC-26972</t>
  </si>
  <si>
    <t>Police Accessories</t>
  </si>
  <si>
    <t>FL-2024-154391</t>
  </si>
  <si>
    <t>WI-59930</t>
  </si>
  <si>
    <t>Christopher Decker</t>
  </si>
  <si>
    <t>TEC-CO-99864</t>
  </si>
  <si>
    <t>Firm Copiers</t>
  </si>
  <si>
    <t>NY-2024-583064</t>
  </si>
  <si>
    <t>SJ-90135</t>
  </si>
  <si>
    <t>Terri Smith</t>
  </si>
  <si>
    <t>FUR-CH-93092</t>
  </si>
  <si>
    <t>Example Chairs</t>
  </si>
  <si>
    <t>TX-2024-524569</t>
  </si>
  <si>
    <t>BT-34458</t>
  </si>
  <si>
    <t>Vanessa Valencia</t>
  </si>
  <si>
    <t>OFF-PA-33317</t>
  </si>
  <si>
    <t>Indicate Paper</t>
  </si>
  <si>
    <t>PA-2023-334412</t>
  </si>
  <si>
    <t>IB-57946</t>
  </si>
  <si>
    <t>Brenda Bush</t>
  </si>
  <si>
    <t>TEC-MA-78017</t>
  </si>
  <si>
    <t>Sort Machines</t>
  </si>
  <si>
    <t>IL-2023-808236</t>
  </si>
  <si>
    <t>DY-31602</t>
  </si>
  <si>
    <t>Michelle Young</t>
  </si>
  <si>
    <t>FUR-TA-86280</t>
  </si>
  <si>
    <t>Hotel Tables</t>
  </si>
  <si>
    <t>TX-2023-864341</t>
  </si>
  <si>
    <t>HG-72371</t>
  </si>
  <si>
    <t>Justin Parker</t>
  </si>
  <si>
    <t>TEC-PH-41214</t>
  </si>
  <si>
    <t>Baby Phones</t>
  </si>
  <si>
    <t>TX-2023-914044</t>
  </si>
  <si>
    <t>JN-90703</t>
  </si>
  <si>
    <t>Dr. Gabriel Garcia MD</t>
  </si>
  <si>
    <t>FUR-FU-83595</t>
  </si>
  <si>
    <t>Natural Furnishings</t>
  </si>
  <si>
    <t>NY-2024-684483</t>
  </si>
  <si>
    <t>FS-86489</t>
  </si>
  <si>
    <t>Michael Lamb</t>
  </si>
  <si>
    <t>OFF-PA-80636</t>
  </si>
  <si>
    <t>Read Paper</t>
  </si>
  <si>
    <t>OH-2024-935298</t>
  </si>
  <si>
    <t>XE-75802</t>
  </si>
  <si>
    <t>Chris Smith</t>
  </si>
  <si>
    <t>Crime Art</t>
  </si>
  <si>
    <t>FL-2023-347905</t>
  </si>
  <si>
    <t>QE-51599</t>
  </si>
  <si>
    <t>Stacey Macias</t>
  </si>
  <si>
    <t>FUR-BO-52464</t>
  </si>
  <si>
    <t>Maybe Bookcases</t>
  </si>
  <si>
    <t>OH-2024-714920</t>
  </si>
  <si>
    <t>ZP-65452</t>
  </si>
  <si>
    <t>Ashley Davis</t>
  </si>
  <si>
    <t>TEC-MA-48360</t>
  </si>
  <si>
    <t>Behind Machines</t>
  </si>
  <si>
    <t>TX-2023-944507</t>
  </si>
  <si>
    <t>HV-34959</t>
  </si>
  <si>
    <t>Lindsey Davis</t>
  </si>
  <si>
    <t>FUR-CH-89505</t>
  </si>
  <si>
    <t>Couple Chairs</t>
  </si>
  <si>
    <t>FL-2024-461766</t>
  </si>
  <si>
    <t>SK-62956</t>
  </si>
  <si>
    <t>Daniel Alexander</t>
  </si>
  <si>
    <t>TEC-PH-97183</t>
  </si>
  <si>
    <t>Moment Phones</t>
  </si>
  <si>
    <t>CA-2024-249365</t>
  </si>
  <si>
    <t>UF-96203</t>
  </si>
  <si>
    <t>Joshua Ross</t>
  </si>
  <si>
    <t>FUR-BO-61445</t>
  </si>
  <si>
    <t>Start Bookcases</t>
  </si>
  <si>
    <t>FL-2023-978560</t>
  </si>
  <si>
    <t>WL-30341</t>
  </si>
  <si>
    <t>Tina Williams</t>
  </si>
  <si>
    <t>TEC-AC-63993</t>
  </si>
  <si>
    <t>Population Accessories</t>
  </si>
  <si>
    <t>NY-2024-785055</t>
  </si>
  <si>
    <t>FS-51969</t>
  </si>
  <si>
    <t>Peter Crawford</t>
  </si>
  <si>
    <t>OFF-ST-64771</t>
  </si>
  <si>
    <t>Production Storage</t>
  </si>
  <si>
    <t>MI-2023-289226</t>
  </si>
  <si>
    <t>NU-34483</t>
  </si>
  <si>
    <t>Emily Parks</t>
  </si>
  <si>
    <t>FUR-FU-19159</t>
  </si>
  <si>
    <t>Hard Furnishings</t>
  </si>
  <si>
    <t>PA-2023-707732</t>
  </si>
  <si>
    <t>YG-98502</t>
  </si>
  <si>
    <t>Thomas Brown</t>
  </si>
  <si>
    <t>FUR-TA-62052</t>
  </si>
  <si>
    <t>Never Tables</t>
  </si>
  <si>
    <t>MI-2024-466281</t>
  </si>
  <si>
    <t>NE-34203</t>
  </si>
  <si>
    <t>John Gutierrez</t>
  </si>
  <si>
    <t>TEC-MA-17979</t>
  </si>
  <si>
    <t>Next Machines</t>
  </si>
  <si>
    <t>PA-2023-582570</t>
  </si>
  <si>
    <t>IF-84778</t>
  </si>
  <si>
    <t>Teresa Reynolds</t>
  </si>
  <si>
    <t>FUR-CH-94267</t>
  </si>
  <si>
    <t>Dinner Chairs</t>
  </si>
  <si>
    <t>FL-2023-704555</t>
  </si>
  <si>
    <t>QV-87789</t>
  </si>
  <si>
    <t>Tara Singh</t>
  </si>
  <si>
    <t>FUR-BO-29029</t>
  </si>
  <si>
    <t>Own Bookcases</t>
  </si>
  <si>
    <t>NY-2023-220760</t>
  </si>
  <si>
    <t>OA-62782</t>
  </si>
  <si>
    <t>Marc Camacho</t>
  </si>
  <si>
    <t>FUR-CH-15485</t>
  </si>
  <si>
    <t>Money Chairs</t>
  </si>
  <si>
    <t>FL-2023-407874</t>
  </si>
  <si>
    <t>UH-37315</t>
  </si>
  <si>
    <t>David Mitchell</t>
  </si>
  <si>
    <t>FUR-CH-69682</t>
  </si>
  <si>
    <t>Population Chairs</t>
  </si>
  <si>
    <t>NY-2024-109166</t>
  </si>
  <si>
    <t>LJ-59227</t>
  </si>
  <si>
    <t>Julie Russell</t>
  </si>
  <si>
    <t>FUR-CH-58067</t>
  </si>
  <si>
    <t>Water Chairs</t>
  </si>
  <si>
    <t>PA-2023-917070</t>
  </si>
  <si>
    <t>GN-69471</t>
  </si>
  <si>
    <t>John Gonzalez</t>
  </si>
  <si>
    <t>FUR-TA-35002</t>
  </si>
  <si>
    <t>Plant Tables</t>
  </si>
  <si>
    <t>NY-2023-247687</t>
  </si>
  <si>
    <t>DP-57424</t>
  </si>
  <si>
    <t>Robert Calderon</t>
  </si>
  <si>
    <t>FUR-FU-40252</t>
  </si>
  <si>
    <t>Guy Furnishings</t>
  </si>
  <si>
    <t>OH-2023-236301</t>
  </si>
  <si>
    <t>OP-51869</t>
  </si>
  <si>
    <t>John Evans</t>
  </si>
  <si>
    <t>FUR-BO-39076</t>
  </si>
  <si>
    <t>MI-2024-543745</t>
  </si>
  <si>
    <t>PM-68040</t>
  </si>
  <si>
    <t>Lance Garcia</t>
  </si>
  <si>
    <t>TEC-CO-58754</t>
  </si>
  <si>
    <t>Democratic Copiers</t>
  </si>
  <si>
    <t>CA-2023-935986</t>
  </si>
  <si>
    <t>KX-64076</t>
  </si>
  <si>
    <t>Mindy Cruz</t>
  </si>
  <si>
    <t>FUR-BO-68894</t>
  </si>
  <si>
    <t>Structure Bookcases</t>
  </si>
  <si>
    <t>NY-2023-854757</t>
  </si>
  <si>
    <t>KB-21067</t>
  </si>
  <si>
    <t>Jennifer Miller</t>
  </si>
  <si>
    <t>TEC-PH-63554</t>
  </si>
  <si>
    <t>Look Phones</t>
  </si>
  <si>
    <t>IL-2024-414820</t>
  </si>
  <si>
    <t>OL-35762</t>
  </si>
  <si>
    <t>Edward Hinton</t>
  </si>
  <si>
    <t>FUR-FU-33819</t>
  </si>
  <si>
    <t>Moment Furnishings</t>
  </si>
  <si>
    <t>FL-2024-264190</t>
  </si>
  <si>
    <t>AD-67253</t>
  </si>
  <si>
    <t>Cindy Spencer</t>
  </si>
  <si>
    <t>FUR-TA-86696</t>
  </si>
  <si>
    <t>Kind Tables</t>
  </si>
  <si>
    <t>PA-2023-891775</t>
  </si>
  <si>
    <t>ZB-87137</t>
  </si>
  <si>
    <t>Ricardo Hansen</t>
  </si>
  <si>
    <t>TEC-MA-26295</t>
  </si>
  <si>
    <t>Party Machines</t>
  </si>
  <si>
    <t>IL-2023-430350</t>
  </si>
  <si>
    <t>FN-32560</t>
  </si>
  <si>
    <t>Patty Tucker</t>
  </si>
  <si>
    <t>OFF-AR-89803</t>
  </si>
  <si>
    <t>Man Art</t>
  </si>
  <si>
    <t>FL-2023-308314</t>
  </si>
  <si>
    <t>FK-64339</t>
  </si>
  <si>
    <t>David Payne</t>
  </si>
  <si>
    <t>TEC-CO-23376</t>
  </si>
  <si>
    <t>PA-2024-291905</t>
  </si>
  <si>
    <t>RB-90025</t>
  </si>
  <si>
    <t>Juan Shaw</t>
  </si>
  <si>
    <t>FUR-BO-44617</t>
  </si>
  <si>
    <t>Study Bookcases</t>
  </si>
  <si>
    <t>CA-2023-792852</t>
  </si>
  <si>
    <t>JX-81532</t>
  </si>
  <si>
    <t>Mr. Jeremiah Thomas</t>
  </si>
  <si>
    <t>FUR-TA-99698</t>
  </si>
  <si>
    <t>Crime Tables</t>
  </si>
  <si>
    <t>MI-2023-866463</t>
  </si>
  <si>
    <t>PW-81646</t>
  </si>
  <si>
    <t>Jennifer Kim</t>
  </si>
  <si>
    <t>OFF-ST-80137</t>
  </si>
  <si>
    <t>Against Storage</t>
  </si>
  <si>
    <t>PA-2024-112094</t>
  </si>
  <si>
    <t>ZO-80791</t>
  </si>
  <si>
    <t>Jennifer Andrews</t>
  </si>
  <si>
    <t>OFF-PA-51969</t>
  </si>
  <si>
    <t>Director Paper</t>
  </si>
  <si>
    <t>NY-2024-807097</t>
  </si>
  <si>
    <t>IC-70733</t>
  </si>
  <si>
    <t>Gregory Adams</t>
  </si>
  <si>
    <t>OFF-AR-97854</t>
  </si>
  <si>
    <t>Occur Art</t>
  </si>
  <si>
    <t>TX-2024-547898</t>
  </si>
  <si>
    <t>PL-73898</t>
  </si>
  <si>
    <t>Gregory Collins</t>
  </si>
  <si>
    <t>TEC-AC-53687</t>
  </si>
  <si>
    <t>He Accessories</t>
  </si>
  <si>
    <t>CA-2024-836111</t>
  </si>
  <si>
    <t>KT-81669</t>
  </si>
  <si>
    <t>Sheila Oneal</t>
  </si>
  <si>
    <t>TEC-CO-90190</t>
  </si>
  <si>
    <t>Chance Copiers</t>
  </si>
  <si>
    <t>PA-2023-965620</t>
  </si>
  <si>
    <t>BW-75867</t>
  </si>
  <si>
    <t>Lindsey Gallegos</t>
  </si>
  <si>
    <t>FUR-TA-80073</t>
  </si>
  <si>
    <t>And Tables</t>
  </si>
  <si>
    <t>MI-2023-545555</t>
  </si>
  <si>
    <t>EB-49308</t>
  </si>
  <si>
    <t>Franklin Larson</t>
  </si>
  <si>
    <t>FUR-BO-86873</t>
  </si>
  <si>
    <t>Factor Bookcases</t>
  </si>
  <si>
    <t>FL-2023-598189</t>
  </si>
  <si>
    <t>XK-42587</t>
  </si>
  <si>
    <t>Dr. Rachel Hamilton DDS</t>
  </si>
  <si>
    <t>OFF-ST-82914</t>
  </si>
  <si>
    <t>Reason Storage</t>
  </si>
  <si>
    <t>IL-2023-746216</t>
  </si>
  <si>
    <t>MR-35329</t>
  </si>
  <si>
    <t>Sabrina Woods</t>
  </si>
  <si>
    <t>OFF-ST-13703</t>
  </si>
  <si>
    <t>Bank Storage</t>
  </si>
  <si>
    <t>IL-2023-673261</t>
  </si>
  <si>
    <t>FO-22700</t>
  </si>
  <si>
    <t>Bonnie Miller</t>
  </si>
  <si>
    <t>FUR-FU-45503</t>
  </si>
  <si>
    <t>Recent Furnishings</t>
  </si>
  <si>
    <t>FL-2024-830311</t>
  </si>
  <si>
    <t>LD-21835</t>
  </si>
  <si>
    <t>Scott Sanchez</t>
  </si>
  <si>
    <t>OFF-AR-44238</t>
  </si>
  <si>
    <t>Use Art</t>
  </si>
  <si>
    <t>FL-2024-828515</t>
  </si>
  <si>
    <t>PC-72191</t>
  </si>
  <si>
    <t>Joseph Moore</t>
  </si>
  <si>
    <t>OFF-LA-39762</t>
  </si>
  <si>
    <t>Hope Labels</t>
  </si>
  <si>
    <t>IL-2024-490477</t>
  </si>
  <si>
    <t>KT-16442</t>
  </si>
  <si>
    <t>Deborah Owens</t>
  </si>
  <si>
    <t>TEC-CO-27810</t>
  </si>
  <si>
    <t>OH-2024-621670</t>
  </si>
  <si>
    <t>LH-44358</t>
  </si>
  <si>
    <t>Jason Monroe</t>
  </si>
  <si>
    <t>FUR-TA-51254</t>
  </si>
  <si>
    <t>Report Tables</t>
  </si>
  <si>
    <t>FL-2023-919209</t>
  </si>
  <si>
    <t>PU-58434</t>
  </si>
  <si>
    <t>Mary Wang</t>
  </si>
  <si>
    <t>OFF-PA-27145</t>
  </si>
  <si>
    <t>Data Paper</t>
  </si>
  <si>
    <t>CA-2024-268049</t>
  </si>
  <si>
    <t>NT-48549</t>
  </si>
  <si>
    <t>David Shaw</t>
  </si>
  <si>
    <t>OFF-PA-72700</t>
  </si>
  <si>
    <t>Question Paper</t>
  </si>
  <si>
    <t>TX-2023-490604</t>
  </si>
  <si>
    <t>FW-10802</t>
  </si>
  <si>
    <t>Kelly Hubbard</t>
  </si>
  <si>
    <t>FUR-BO-72204</t>
  </si>
  <si>
    <t>MI-2023-940867</t>
  </si>
  <si>
    <t>XN-44487</t>
  </si>
  <si>
    <t>Adam Parker</t>
  </si>
  <si>
    <t>TEC-MA-19979</t>
  </si>
  <si>
    <t>Rule Machines</t>
  </si>
  <si>
    <t>OH-2023-583607</t>
  </si>
  <si>
    <t>TG-44698</t>
  </si>
  <si>
    <t>Jeanette Mathews</t>
  </si>
  <si>
    <t>FUR-TA-26766</t>
  </si>
  <si>
    <t>Tell Tables</t>
  </si>
  <si>
    <t>OH-2024-420343</t>
  </si>
  <si>
    <t>VT-29089</t>
  </si>
  <si>
    <t>Jonathan Erickson</t>
  </si>
  <si>
    <t>FUR-BO-28342</t>
  </si>
  <si>
    <t>Just Bookcases</t>
  </si>
  <si>
    <t>TX-2024-559683</t>
  </si>
  <si>
    <t>CT-94549</t>
  </si>
  <si>
    <t>Jennifer Franklin</t>
  </si>
  <si>
    <t>TEC-AC-74131</t>
  </si>
  <si>
    <t>Discover Accessories</t>
  </si>
  <si>
    <t>TX-2024-358933</t>
  </si>
  <si>
    <t>ER-14351</t>
  </si>
  <si>
    <t>Dr. Megan Newman</t>
  </si>
  <si>
    <t>TEC-AC-52598</t>
  </si>
  <si>
    <t>Get Accessories</t>
  </si>
  <si>
    <t>TX-2023-849894</t>
  </si>
  <si>
    <t>ZU-77395</t>
  </si>
  <si>
    <t>William Moses</t>
  </si>
  <si>
    <t>OFF-ST-32577</t>
  </si>
  <si>
    <t>Remain Storage</t>
  </si>
  <si>
    <t>FL-2024-838802</t>
  </si>
  <si>
    <t>JO-94364</t>
  </si>
  <si>
    <t>Cynthia Villanueva</t>
  </si>
  <si>
    <t>FUR-CH-80337</t>
  </si>
  <si>
    <t>Cultural Chairs</t>
  </si>
  <si>
    <t>NY-2023-420942</t>
  </si>
  <si>
    <t>FB-23717</t>
  </si>
  <si>
    <t>Ashley Mccormick</t>
  </si>
  <si>
    <t>OFF-BI-43265</t>
  </si>
  <si>
    <t>Citizen Binders</t>
  </si>
  <si>
    <t>FL-2023-721168</t>
  </si>
  <si>
    <t>RU-84450</t>
  </si>
  <si>
    <t>Jimmy Jones</t>
  </si>
  <si>
    <t>FUR-BO-94681</t>
  </si>
  <si>
    <t>White Bookcases</t>
  </si>
  <si>
    <t>CA-2023-275933</t>
  </si>
  <si>
    <t>MQ-11953</t>
  </si>
  <si>
    <t>Steven Johnson</t>
  </si>
  <si>
    <t>FUR-CH-10276</t>
  </si>
  <si>
    <t>Could Chairs</t>
  </si>
  <si>
    <t>MI-2024-227614</t>
  </si>
  <si>
    <t>YZ-34818</t>
  </si>
  <si>
    <t>Dean Hill</t>
  </si>
  <si>
    <t>OFF-LA-47848</t>
  </si>
  <si>
    <t>Happy Labels</t>
  </si>
  <si>
    <t>IL-2024-921075</t>
  </si>
  <si>
    <t>ZD-63564</t>
  </si>
  <si>
    <t>Jasmin Williams</t>
  </si>
  <si>
    <t>OFF-LA-14570</t>
  </si>
  <si>
    <t>OH-2024-974607</t>
  </si>
  <si>
    <t>SY-67135</t>
  </si>
  <si>
    <t>William Johnson</t>
  </si>
  <si>
    <t>TEC-MA-65323</t>
  </si>
  <si>
    <t>Who Machines</t>
  </si>
  <si>
    <t>FL-2024-101662</t>
  </si>
  <si>
    <t>QA-62274</t>
  </si>
  <si>
    <t>Jennifer Pratt</t>
  </si>
  <si>
    <t>TEC-CO-91082</t>
  </si>
  <si>
    <t>Mention Copiers</t>
  </si>
  <si>
    <t>OH-2023-507281</t>
  </si>
  <si>
    <t>BE-83142</t>
  </si>
  <si>
    <t>Mario Lamb</t>
  </si>
  <si>
    <t>TEC-PH-71928</t>
  </si>
  <si>
    <t>OH-2023-826886</t>
  </si>
  <si>
    <t>FN-27393</t>
  </si>
  <si>
    <t>TEC-CO-69579</t>
  </si>
  <si>
    <t>Task Copiers</t>
  </si>
  <si>
    <t>PA-2023-176377</t>
  </si>
  <si>
    <t>JB-25437</t>
  </si>
  <si>
    <t>John Wilson MD</t>
  </si>
  <si>
    <t>OFF-PA-48114</t>
  </si>
  <si>
    <t>Book Paper</t>
  </si>
  <si>
    <t>IL-2023-738112</t>
  </si>
  <si>
    <t>NX-33203</t>
  </si>
  <si>
    <t>Carlos Craig</t>
  </si>
  <si>
    <t>FUR-FU-53813</t>
  </si>
  <si>
    <t>Source Furnishings</t>
  </si>
  <si>
    <t>TX-2024-814096</t>
  </si>
  <si>
    <t>WR-51806</t>
  </si>
  <si>
    <t>Ms. Jennifer Jackson</t>
  </si>
  <si>
    <t>TEC-AC-10378</t>
  </si>
  <si>
    <t>Hand Accessories</t>
  </si>
  <si>
    <t>OH-2023-838330</t>
  </si>
  <si>
    <t>JZ-70208</t>
  </si>
  <si>
    <t>Colleen Turner</t>
  </si>
  <si>
    <t>FUR-CH-46496</t>
  </si>
  <si>
    <t>Fall Chairs</t>
  </si>
  <si>
    <t>MI-2023-268734</t>
  </si>
  <si>
    <t>YI-21808</t>
  </si>
  <si>
    <t>Daniel Howard</t>
  </si>
  <si>
    <t>OFF-LA-61050</t>
  </si>
  <si>
    <t>View Labels</t>
  </si>
  <si>
    <t>TX-2024-101075</t>
  </si>
  <si>
    <t>FL-51285</t>
  </si>
  <si>
    <t>OFF-LA-15717</t>
  </si>
  <si>
    <t>On Labels</t>
  </si>
  <si>
    <t>CA-2023-607371</t>
  </si>
  <si>
    <t>IG-83632</t>
  </si>
  <si>
    <t>Joseph Malone</t>
  </si>
  <si>
    <t>OFF-ST-39753</t>
  </si>
  <si>
    <t>May Storage</t>
  </si>
  <si>
    <t>IL-2024-903199</t>
  </si>
  <si>
    <t>GF-72145</t>
  </si>
  <si>
    <t>OFF-AR-20832</t>
  </si>
  <si>
    <t>Sport Art</t>
  </si>
  <si>
    <t>MI-2024-323698</t>
  </si>
  <si>
    <t>NF-54223</t>
  </si>
  <si>
    <t>Michelle Mcdonald</t>
  </si>
  <si>
    <t>OFF-AR-17926</t>
  </si>
  <si>
    <t>Concern Art</t>
  </si>
  <si>
    <t>IL-2023-673741</t>
  </si>
  <si>
    <t>MH-60151</t>
  </si>
  <si>
    <t>John Frost</t>
  </si>
  <si>
    <t>OFF-PA-28074</t>
  </si>
  <si>
    <t>Difficult Paper</t>
  </si>
  <si>
    <t>TX-2024-516353</t>
  </si>
  <si>
    <t>LN-87865</t>
  </si>
  <si>
    <t>Louis Torres</t>
  </si>
  <si>
    <t>TEC-CO-52539</t>
  </si>
  <si>
    <t>Direction Copiers</t>
  </si>
  <si>
    <t>OH-2023-730222</t>
  </si>
  <si>
    <t>JE-68351</t>
  </si>
  <si>
    <t>Daniel Morgan</t>
  </si>
  <si>
    <t>OFF-LA-33219</t>
  </si>
  <si>
    <t>Green Labels</t>
  </si>
  <si>
    <t>NY-2023-186709</t>
  </si>
  <si>
    <t>WO-84172</t>
  </si>
  <si>
    <t>Lori Collins</t>
  </si>
  <si>
    <t>FUR-BO-30697</t>
  </si>
  <si>
    <t>Side Bookcases</t>
  </si>
  <si>
    <t>IL-2024-764499</t>
  </si>
  <si>
    <t>PC-15744</t>
  </si>
  <si>
    <t>Mark Lee</t>
  </si>
  <si>
    <t>FUR-FU-35069</t>
  </si>
  <si>
    <t>Chair Furnishings</t>
  </si>
  <si>
    <t>TX-2023-110195</t>
  </si>
  <si>
    <t>IB-11599</t>
  </si>
  <si>
    <t>Michael Day</t>
  </si>
  <si>
    <t>TEC-PH-10393</t>
  </si>
  <si>
    <t>Suffer Phones</t>
  </si>
  <si>
    <t>TX-2023-785707</t>
  </si>
  <si>
    <t>OC-55365</t>
  </si>
  <si>
    <t>Tony Lopez</t>
  </si>
  <si>
    <t>OFF-AR-54625</t>
  </si>
  <si>
    <t>Always Art</t>
  </si>
  <si>
    <t>OH-2023-177267</t>
  </si>
  <si>
    <t>YI-44441</t>
  </si>
  <si>
    <t>Kimberly Smith</t>
  </si>
  <si>
    <t>TEC-AC-72781</t>
  </si>
  <si>
    <t>Front Accessories</t>
  </si>
  <si>
    <t>CA-2024-614616</t>
  </si>
  <si>
    <t>XG-53003</t>
  </si>
  <si>
    <t>Jennifer Chavez</t>
  </si>
  <si>
    <t>FUR-CH-92953</t>
  </si>
  <si>
    <t>Tv Chairs</t>
  </si>
  <si>
    <t>IL-2023-710389</t>
  </si>
  <si>
    <t>TZ-38683</t>
  </si>
  <si>
    <t>Daniel Miller</t>
  </si>
  <si>
    <t>OFF-ST-22484</t>
  </si>
  <si>
    <t>Stay Storage</t>
  </si>
  <si>
    <t>OH-2024-354778</t>
  </si>
  <si>
    <t>DM-60335</t>
  </si>
  <si>
    <t>Christine Owens</t>
  </si>
  <si>
    <t>OFF-BI-27836</t>
  </si>
  <si>
    <t>Left Binders</t>
  </si>
  <si>
    <t>MI-2024-998849</t>
  </si>
  <si>
    <t>QU-50853</t>
  </si>
  <si>
    <t>Jaime Williams</t>
  </si>
  <si>
    <t>OFF-LA-40270</t>
  </si>
  <si>
    <t>Prove Labels</t>
  </si>
  <si>
    <t>TX-2024-584383</t>
  </si>
  <si>
    <t>WE-68316</t>
  </si>
  <si>
    <t>Douglas Flores</t>
  </si>
  <si>
    <t>FUR-TA-31247</t>
  </si>
  <si>
    <t>Hair Tables</t>
  </si>
  <si>
    <t>PA-2023-647622</t>
  </si>
  <si>
    <t>TO-84126</t>
  </si>
  <si>
    <t>OFF-LA-24688</t>
  </si>
  <si>
    <t>Decade Labels</t>
  </si>
  <si>
    <t>MI-2023-838174</t>
  </si>
  <si>
    <t>QV-54521</t>
  </si>
  <si>
    <t>Sandra Dyer</t>
  </si>
  <si>
    <t>OFF-AR-89150</t>
  </si>
  <si>
    <t>Tree Art</t>
  </si>
  <si>
    <t>PA-2024-156015</t>
  </si>
  <si>
    <t>FR-72491</t>
  </si>
  <si>
    <t>Kristin Vargas</t>
  </si>
  <si>
    <t>FUR-BO-33282</t>
  </si>
  <si>
    <t>Reality Bookcases</t>
  </si>
  <si>
    <t>IL-2024-610944</t>
  </si>
  <si>
    <t>MC-78799</t>
  </si>
  <si>
    <t>Erin Cabrera</t>
  </si>
  <si>
    <t>Lead Bookcases</t>
  </si>
  <si>
    <t>FL-2023-390453</t>
  </si>
  <si>
    <t>CI-67528</t>
  </si>
  <si>
    <t>Kristin Freeman</t>
  </si>
  <si>
    <t>OFF-BI-23531</t>
  </si>
  <si>
    <t>Huge Binders</t>
  </si>
  <si>
    <t>CA-2023-461165</t>
  </si>
  <si>
    <t>QJ-56643</t>
  </si>
  <si>
    <t>Lisa Cain</t>
  </si>
  <si>
    <t>TEC-PH-90098</t>
  </si>
  <si>
    <t>Establish Phones</t>
  </si>
  <si>
    <t>TX-2024-413039</t>
  </si>
  <si>
    <t>DQ-86289</t>
  </si>
  <si>
    <t>Lisa Cobb</t>
  </si>
  <si>
    <t>TEC-AC-25641</t>
  </si>
  <si>
    <t>Science Accessories</t>
  </si>
  <si>
    <t>TX-2023-224272</t>
  </si>
  <si>
    <t>QR-58089</t>
  </si>
  <si>
    <t>Jose Vargas</t>
  </si>
  <si>
    <t>TEC-CO-64746</t>
  </si>
  <si>
    <t>Forward Copiers</t>
  </si>
  <si>
    <t>OH-2024-479239</t>
  </si>
  <si>
    <t>FI-49387</t>
  </si>
  <si>
    <t>Cheryl Shields</t>
  </si>
  <si>
    <t>FUR-FU-66555</t>
  </si>
  <si>
    <t>Bill Furnishings</t>
  </si>
  <si>
    <t>MI-2023-235765</t>
  </si>
  <si>
    <t>WN-25397</t>
  </si>
  <si>
    <t>Derek Johnson</t>
  </si>
  <si>
    <t>OFF-BI-43518</t>
  </si>
  <si>
    <t>Remember Binders</t>
  </si>
  <si>
    <t>CA-2024-722978</t>
  </si>
  <si>
    <t>PB-93816</t>
  </si>
  <si>
    <t>Stacy Howard</t>
  </si>
  <si>
    <t>TEC-CO-21093</t>
  </si>
  <si>
    <t>Rather Copiers</t>
  </si>
  <si>
    <t>MI-2023-483394</t>
  </si>
  <si>
    <t>CB-42181</t>
  </si>
  <si>
    <t>Drew Wyatt MD</t>
  </si>
  <si>
    <t>FUR-BO-41573</t>
  </si>
  <si>
    <t>Allow Bookcases</t>
  </si>
  <si>
    <t>IL-2024-446895</t>
  </si>
  <si>
    <t>XZ-36131</t>
  </si>
  <si>
    <t>John Wilson</t>
  </si>
  <si>
    <t>FUR-FU-58590</t>
  </si>
  <si>
    <t>Attention Furnishings</t>
  </si>
  <si>
    <t>NY-2023-285685</t>
  </si>
  <si>
    <t>NY-80187</t>
  </si>
  <si>
    <t>Amanda Hart</t>
  </si>
  <si>
    <t>FUR-TA-91045</t>
  </si>
  <si>
    <t>House Tables</t>
  </si>
  <si>
    <t>OH-2024-985249</t>
  </si>
  <si>
    <t>QS-11775</t>
  </si>
  <si>
    <t>Jacqueline Smith</t>
  </si>
  <si>
    <t>OFF-BI-41404</t>
  </si>
  <si>
    <t>Area Binders</t>
  </si>
  <si>
    <t>FL-2023-931141</t>
  </si>
  <si>
    <t>IF-51515</t>
  </si>
  <si>
    <t>Stephanie Ballard</t>
  </si>
  <si>
    <t>FUR-BO-69350</t>
  </si>
  <si>
    <t>Fact Bookcases</t>
  </si>
  <si>
    <t>PA-2023-248990</t>
  </si>
  <si>
    <t>SV-22108</t>
  </si>
  <si>
    <t>Taylor Wells</t>
  </si>
  <si>
    <t>OFF-ST-30502</t>
  </si>
  <si>
    <t>Month Storage</t>
  </si>
  <si>
    <t>CA-2023-621373</t>
  </si>
  <si>
    <t>BG-79341</t>
  </si>
  <si>
    <t>James Cohen</t>
  </si>
  <si>
    <t>OFF-BI-39171</t>
  </si>
  <si>
    <t>Boy Binders</t>
  </si>
  <si>
    <t>CA-2023-900264</t>
  </si>
  <si>
    <t>PT-13222</t>
  </si>
  <si>
    <t>Jerry Morgan</t>
  </si>
  <si>
    <t>OFF-AR-96282</t>
  </si>
  <si>
    <t>Project Art</t>
  </si>
  <si>
    <t>FL-2023-546087</t>
  </si>
  <si>
    <t>PZ-85191</t>
  </si>
  <si>
    <t>Jennifer Johnson</t>
  </si>
  <si>
    <t>FUR-CH-62166</t>
  </si>
  <si>
    <t>My Chairs</t>
  </si>
  <si>
    <t>OH-2023-855861</t>
  </si>
  <si>
    <t>EW-42260</t>
  </si>
  <si>
    <t>Meghan Hill</t>
  </si>
  <si>
    <t>FUR-TA-90657</t>
  </si>
  <si>
    <t>Guess Tables</t>
  </si>
  <si>
    <t>NY-2023-401286</t>
  </si>
  <si>
    <t>WG-39556</t>
  </si>
  <si>
    <t>Mark Chen</t>
  </si>
  <si>
    <t>FUR-FU-65944</t>
  </si>
  <si>
    <t>Professor Furnishings</t>
  </si>
  <si>
    <t>TX-2023-970071</t>
  </si>
  <si>
    <t>MU-11855</t>
  </si>
  <si>
    <t>Aaron Hernandez</t>
  </si>
  <si>
    <t>FUR-CH-61960</t>
  </si>
  <si>
    <t>Marriage Chairs</t>
  </si>
  <si>
    <t>OH-2024-660078</t>
  </si>
  <si>
    <t>TW-52508</t>
  </si>
  <si>
    <t>Mark Davis</t>
  </si>
  <si>
    <t>OFF-BI-29024</t>
  </si>
  <si>
    <t>Agent Binders</t>
  </si>
  <si>
    <t>NY-2024-687426</t>
  </si>
  <si>
    <t>TZ-56365</t>
  </si>
  <si>
    <t>James Walker</t>
  </si>
  <si>
    <t>FUR-FU-33991</t>
  </si>
  <si>
    <t>Sense Furnishings</t>
  </si>
  <si>
    <t>FL-2023-996620</t>
  </si>
  <si>
    <t>OG-62011</t>
  </si>
  <si>
    <t>Victoria Gibson</t>
  </si>
  <si>
    <t>OFF-ST-23702</t>
  </si>
  <si>
    <t>Choose Storage</t>
  </si>
  <si>
    <t>TX-2023-912403</t>
  </si>
  <si>
    <t>VT-76678</t>
  </si>
  <si>
    <t>Deborah Holmes</t>
  </si>
  <si>
    <t>TEC-MA-40046</t>
  </si>
  <si>
    <t>Company Machines</t>
  </si>
  <si>
    <t>NY-2023-486177</t>
  </si>
  <si>
    <t>DA-20157</t>
  </si>
  <si>
    <t>Wendy Fleming</t>
  </si>
  <si>
    <t>TEC-CO-53246</t>
  </si>
  <si>
    <t>Line Copiers</t>
  </si>
  <si>
    <t>PA-2023-163122</t>
  </si>
  <si>
    <t>AE-43242</t>
  </si>
  <si>
    <t>Dawn Dean</t>
  </si>
  <si>
    <t>OFF-BI-97380</t>
  </si>
  <si>
    <t>Spend Binders</t>
  </si>
  <si>
    <t>OH-2024-585236</t>
  </si>
  <si>
    <t>ND-38261</t>
  </si>
  <si>
    <t>Troy Johnson</t>
  </si>
  <si>
    <t>FUR-FU-74297</t>
  </si>
  <si>
    <t>And Furnishings</t>
  </si>
  <si>
    <t>PA-2024-780261</t>
  </si>
  <si>
    <t>DJ-92701</t>
  </si>
  <si>
    <t>Eugene Cross</t>
  </si>
  <si>
    <t>TEC-CO-36609</t>
  </si>
  <si>
    <t>TX-2023-147899</t>
  </si>
  <si>
    <t>FT-13082</t>
  </si>
  <si>
    <t>Erika Ho</t>
  </si>
  <si>
    <t>Field Paper</t>
  </si>
  <si>
    <t>IL-2024-671217</t>
  </si>
  <si>
    <t>FF-85025</t>
  </si>
  <si>
    <t>Gregory Clark</t>
  </si>
  <si>
    <t>TEC-MA-50568</t>
  </si>
  <si>
    <t>According Machines</t>
  </si>
  <si>
    <t>OH-2023-470150</t>
  </si>
  <si>
    <t>MZ-36106</t>
  </si>
  <si>
    <t>Lauren Mejia</t>
  </si>
  <si>
    <t>TEC-MA-45703</t>
  </si>
  <si>
    <t>FL-2024-315889</t>
  </si>
  <si>
    <t>RC-11042</t>
  </si>
  <si>
    <t>Matthew Jordan</t>
  </si>
  <si>
    <t>OFF-ST-24433</t>
  </si>
  <si>
    <t>Yeah Storage</t>
  </si>
  <si>
    <t>PA-2024-465618</t>
  </si>
  <si>
    <t>XG-49129</t>
  </si>
  <si>
    <t>Peter Kelly</t>
  </si>
  <si>
    <t>OFF-ST-39020</t>
  </si>
  <si>
    <t>Role Storage</t>
  </si>
  <si>
    <t>IL-2024-706411</t>
  </si>
  <si>
    <t>EP-63728</t>
  </si>
  <si>
    <t>Wesley Valencia</t>
  </si>
  <si>
    <t>FUR-CH-29150</t>
  </si>
  <si>
    <t>Food Chairs</t>
  </si>
  <si>
    <t>IL-2023-361281</t>
  </si>
  <si>
    <t>BF-26919</t>
  </si>
  <si>
    <t>Aaron Hall</t>
  </si>
  <si>
    <t>TEC-AC-25092</t>
  </si>
  <si>
    <t>MI-2023-915525</t>
  </si>
  <si>
    <t>JN-15624</t>
  </si>
  <si>
    <t>Terry Cline</t>
  </si>
  <si>
    <t>OFF-AR-66732</t>
  </si>
  <si>
    <t>Population Art</t>
  </si>
  <si>
    <t>NY-2023-313951</t>
  </si>
  <si>
    <t>TS-79306</t>
  </si>
  <si>
    <t>Robert Crawford</t>
  </si>
  <si>
    <t>TEC-MA-34944</t>
  </si>
  <si>
    <t>Start Machines</t>
  </si>
  <si>
    <t>IL-2024-679391</t>
  </si>
  <si>
    <t>EH-61976</t>
  </si>
  <si>
    <t>Michael Roberts</t>
  </si>
  <si>
    <t>FUR-BO-19499</t>
  </si>
  <si>
    <t>My Bookcases</t>
  </si>
  <si>
    <t>NY-2023-999652</t>
  </si>
  <si>
    <t>MB-48371</t>
  </si>
  <si>
    <t>Leonard Roberts</t>
  </si>
  <si>
    <t>OFF-PA-37251</t>
  </si>
  <si>
    <t>Deal Paper</t>
  </si>
  <si>
    <t>CA-2023-678991</t>
  </si>
  <si>
    <t>ZC-59994</t>
  </si>
  <si>
    <t>Scott Allen</t>
  </si>
  <si>
    <t>FUR-CH-95697</t>
  </si>
  <si>
    <t>List Chairs</t>
  </si>
  <si>
    <t>FL-2024-149211</t>
  </si>
  <si>
    <t>PP-61228</t>
  </si>
  <si>
    <t>Andrew Kim</t>
  </si>
  <si>
    <t>FUR-FU-54141</t>
  </si>
  <si>
    <t>TX-2023-314340</t>
  </si>
  <si>
    <t>AU-35856</t>
  </si>
  <si>
    <t>Joseph Cortez</t>
  </si>
  <si>
    <t>OFF-PA-67799</t>
  </si>
  <si>
    <t>Each Paper</t>
  </si>
  <si>
    <t>PA-2024-361224</t>
  </si>
  <si>
    <t>XA-37604</t>
  </si>
  <si>
    <t>Carol Owens</t>
  </si>
  <si>
    <t>FUR-CH-40255</t>
  </si>
  <si>
    <t>Particular Chairs</t>
  </si>
  <si>
    <t>IL-2024-171409</t>
  </si>
  <si>
    <t>NA-31418</t>
  </si>
  <si>
    <t>Cynthia Fox</t>
  </si>
  <si>
    <t>FUR-TA-16831</t>
  </si>
  <si>
    <t>Building Tables</t>
  </si>
  <si>
    <t>TX-2024-773388</t>
  </si>
  <si>
    <t>BS-23876</t>
  </si>
  <si>
    <t>Jennifer Carpenter</t>
  </si>
  <si>
    <t>TEC-AC-44564</t>
  </si>
  <si>
    <t>Little Accessories</t>
  </si>
  <si>
    <t>TX-2023-263107</t>
  </si>
  <si>
    <t>HO-60499</t>
  </si>
  <si>
    <t>Jenna Johnson</t>
  </si>
  <si>
    <t>TEC-CO-43386</t>
  </si>
  <si>
    <t>TX-2023-225017</t>
  </si>
  <si>
    <t>BE-55436</t>
  </si>
  <si>
    <t>Jeffrey Smith</t>
  </si>
  <si>
    <t>TEC-MA-90503</t>
  </si>
  <si>
    <t>Laugh Machines</t>
  </si>
  <si>
    <t>PA-2023-716307</t>
  </si>
  <si>
    <t>AU-88404</t>
  </si>
  <si>
    <t>Megan Garcia</t>
  </si>
  <si>
    <t>TEC-PH-74748</t>
  </si>
  <si>
    <t>Always Phones</t>
  </si>
  <si>
    <t>IL-2023-251353</t>
  </si>
  <si>
    <t>EA-99014</t>
  </si>
  <si>
    <t>Crystal Fleming</t>
  </si>
  <si>
    <t>Great Copiers</t>
  </si>
  <si>
    <t>MI-2023-419535</t>
  </si>
  <si>
    <t>XO-45515</t>
  </si>
  <si>
    <t>Rachel Luna</t>
  </si>
  <si>
    <t>FUR-CH-11353</t>
  </si>
  <si>
    <t>As Chairs</t>
  </si>
  <si>
    <t>IL-2023-516558</t>
  </si>
  <si>
    <t>CW-88346</t>
  </si>
  <si>
    <t>James Hubbard</t>
  </si>
  <si>
    <t>OFF-PA-40562</t>
  </si>
  <si>
    <t>Resource Paper</t>
  </si>
  <si>
    <t>PA-2023-248646</t>
  </si>
  <si>
    <t>DM-29779</t>
  </si>
  <si>
    <t>David Figueroa</t>
  </si>
  <si>
    <t>OFF-LA-19350</t>
  </si>
  <si>
    <t>Daughter Labels</t>
  </si>
  <si>
    <t>NY-2024-280733</t>
  </si>
  <si>
    <t>HU-66552</t>
  </si>
  <si>
    <t>Jessica Hudson</t>
  </si>
  <si>
    <t>FUR-TA-96932</t>
  </si>
  <si>
    <t>Body Tables</t>
  </si>
  <si>
    <t>CA-2023-385853</t>
  </si>
  <si>
    <t>YE-94196</t>
  </si>
  <si>
    <t>Roy Walters</t>
  </si>
  <si>
    <t>FUR-CH-22368</t>
  </si>
  <si>
    <t>Sound Chairs</t>
  </si>
  <si>
    <t>OH-2024-520964</t>
  </si>
  <si>
    <t>CU-79578</t>
  </si>
  <si>
    <t>Kimberly White</t>
  </si>
  <si>
    <t>OFF-AR-80416</t>
  </si>
  <si>
    <t>MI-2024-769286</t>
  </si>
  <si>
    <t>IH-60818</t>
  </si>
  <si>
    <t>Katie Lopez</t>
  </si>
  <si>
    <t>OFF-ST-62336</t>
  </si>
  <si>
    <t>Reach Storage</t>
  </si>
  <si>
    <t>NY-2023-178751</t>
  </si>
  <si>
    <t>US-18383</t>
  </si>
  <si>
    <t>Ashley Barber</t>
  </si>
  <si>
    <t>OFF-BI-90181</t>
  </si>
  <si>
    <t>MI-2024-260876</t>
  </si>
  <si>
    <t>ZN-95418</t>
  </si>
  <si>
    <t>Laura Smith</t>
  </si>
  <si>
    <t>TEC-AC-24535</t>
  </si>
  <si>
    <t>Possible Accessories</t>
  </si>
  <si>
    <t>PA-2023-884330</t>
  </si>
  <si>
    <t>ME-81299</t>
  </si>
  <si>
    <t>Kelly Wilkins</t>
  </si>
  <si>
    <t>FUR-BO-10504</t>
  </si>
  <si>
    <t>Others Bookcases</t>
  </si>
  <si>
    <t>NY-2024-983374</t>
  </si>
  <si>
    <t>VR-69126</t>
  </si>
  <si>
    <t>Jasmine Richardson</t>
  </si>
  <si>
    <t>TEC-MA-31497</t>
  </si>
  <si>
    <t>Address Machines</t>
  </si>
  <si>
    <t>FL-2023-954125</t>
  </si>
  <si>
    <t>LS-93230</t>
  </si>
  <si>
    <t>Kathleen Wright</t>
  </si>
  <si>
    <t>TEC-MA-33204</t>
  </si>
  <si>
    <t>Billion Machines</t>
  </si>
  <si>
    <t>NY-2023-336568</t>
  </si>
  <si>
    <t>GB-34488</t>
  </si>
  <si>
    <t>Paul Hernandez</t>
  </si>
  <si>
    <t>TEC-PH-79252</t>
  </si>
  <si>
    <t>Claim Phones</t>
  </si>
  <si>
    <t>NY-2023-765640</t>
  </si>
  <si>
    <t>VO-19838</t>
  </si>
  <si>
    <t>Kari Washington</t>
  </si>
  <si>
    <t>FUR-FU-89521</t>
  </si>
  <si>
    <t>Agree Furnishings</t>
  </si>
  <si>
    <t>IL-2024-792837</t>
  </si>
  <si>
    <t>VC-61221</t>
  </si>
  <si>
    <t>Kathleen Rice</t>
  </si>
  <si>
    <t>OFF-PA-79974</t>
  </si>
  <si>
    <t>Politics Paper</t>
  </si>
  <si>
    <t>NY-2024-441993</t>
  </si>
  <si>
    <t>FP-92349</t>
  </si>
  <si>
    <t>Angela Garcia</t>
  </si>
  <si>
    <t>FUR-FU-49041</t>
  </si>
  <si>
    <t>Offer Furnishings</t>
  </si>
  <si>
    <t>TX-2024-701981</t>
  </si>
  <si>
    <t>JB-82515</t>
  </si>
  <si>
    <t>Daniel Garcia</t>
  </si>
  <si>
    <t>OFF-ST-99915</t>
  </si>
  <si>
    <t>It Storage</t>
  </si>
  <si>
    <t>IL-2023-530915</t>
  </si>
  <si>
    <t>CZ-78024</t>
  </si>
  <si>
    <t>Alex Humphrey</t>
  </si>
  <si>
    <t>OFF-BI-62254</t>
  </si>
  <si>
    <t>Skin Binders</t>
  </si>
  <si>
    <t>NY-2024-110394</t>
  </si>
  <si>
    <t>MA-31499</t>
  </si>
  <si>
    <t>Christina Guerrero</t>
  </si>
  <si>
    <t>FUR-FU-15122</t>
  </si>
  <si>
    <t>Across Furnishings</t>
  </si>
  <si>
    <t>FL-2023-683303</t>
  </si>
  <si>
    <t>JN-73237</t>
  </si>
  <si>
    <t>Daniel Matthews</t>
  </si>
  <si>
    <t>TEC-AC-91114</t>
  </si>
  <si>
    <t>Be Accessories</t>
  </si>
  <si>
    <t>MI-2024-113343</t>
  </si>
  <si>
    <t>FX-99084</t>
  </si>
  <si>
    <t>Michaela Ward</t>
  </si>
  <si>
    <t>TEC-MA-98974</t>
  </si>
  <si>
    <t>Something Machines</t>
  </si>
  <si>
    <t>FL-2024-667659</t>
  </si>
  <si>
    <t>LO-75883</t>
  </si>
  <si>
    <t>Jason Poole</t>
  </si>
  <si>
    <t>TEC-PH-95672</t>
  </si>
  <si>
    <t>To Phones</t>
  </si>
  <si>
    <t>TX-2023-342143</t>
  </si>
  <si>
    <t>NI-27239</t>
  </si>
  <si>
    <t>Elizabeth Ewing</t>
  </si>
  <si>
    <t>TEC-PH-61563</t>
  </si>
  <si>
    <t>Couple Phones</t>
  </si>
  <si>
    <t>NY-2023-439326</t>
  </si>
  <si>
    <t>OT-27947</t>
  </si>
  <si>
    <t>Mary Johnson</t>
  </si>
  <si>
    <t>OFF-BI-34148</t>
  </si>
  <si>
    <t>Laugh Binders</t>
  </si>
  <si>
    <t>MI-2024-603736</t>
  </si>
  <si>
    <t>Adrian Cline</t>
  </si>
  <si>
    <t>FUR-FU-52763</t>
  </si>
  <si>
    <t>Spring Furnishings</t>
  </si>
  <si>
    <t>NY-2023-103485</t>
  </si>
  <si>
    <t>VS-21980</t>
  </si>
  <si>
    <t>Elizabeth Crawford</t>
  </si>
  <si>
    <t>TEC-MA-41041</t>
  </si>
  <si>
    <t>Determine Machines</t>
  </si>
  <si>
    <t>PA-2024-279274</t>
  </si>
  <si>
    <t>OM-99295</t>
  </si>
  <si>
    <t>Benjamin Smith</t>
  </si>
  <si>
    <t>FUR-TA-23291</t>
  </si>
  <si>
    <t>Entire Tables</t>
  </si>
  <si>
    <t>PA-2024-728397</t>
  </si>
  <si>
    <t>EI-50272</t>
  </si>
  <si>
    <t>Theresa Davis</t>
  </si>
  <si>
    <t>OFF-BI-57988</t>
  </si>
  <si>
    <t>Issue Binders</t>
  </si>
  <si>
    <t>TX-2024-708783</t>
  </si>
  <si>
    <t>KV-44073</t>
  </si>
  <si>
    <t>Dennis Tate</t>
  </si>
  <si>
    <t>TEC-AC-14803</t>
  </si>
  <si>
    <t>Nation Accessories</t>
  </si>
  <si>
    <t>FL-2023-547871</t>
  </si>
  <si>
    <t>GN-82983</t>
  </si>
  <si>
    <t>James Kelly</t>
  </si>
  <si>
    <t>OFF-BI-72903</t>
  </si>
  <si>
    <t>Serve Binders</t>
  </si>
  <si>
    <t>OH-2024-972134</t>
  </si>
  <si>
    <t>AR-77090</t>
  </si>
  <si>
    <t>Courtney Esparza</t>
  </si>
  <si>
    <t>FUR-BO-56693</t>
  </si>
  <si>
    <t>Republican Bookcases</t>
  </si>
  <si>
    <t>OH-2023-425469</t>
  </si>
  <si>
    <t>MG-87025</t>
  </si>
  <si>
    <t>Pamela Patton</t>
  </si>
  <si>
    <t>TEC-CO-59292</t>
  </si>
  <si>
    <t>Bit Copiers</t>
  </si>
  <si>
    <t>PA-2024-338944</t>
  </si>
  <si>
    <t>UJ-31459</t>
  </si>
  <si>
    <t>Robert Henderson</t>
  </si>
  <si>
    <t>TEC-PH-80818</t>
  </si>
  <si>
    <t>MI-2024-559318</t>
  </si>
  <si>
    <t>WC-53069</t>
  </si>
  <si>
    <t>Joan Cox</t>
  </si>
  <si>
    <t>TEC-CO-78144</t>
  </si>
  <si>
    <t>Media Copiers</t>
  </si>
  <si>
    <t>TX-2023-413775</t>
  </si>
  <si>
    <t>OP-70571</t>
  </si>
  <si>
    <t>Briana Wiggins</t>
  </si>
  <si>
    <t>OFF-AR-79352</t>
  </si>
  <si>
    <t>Class Art</t>
  </si>
  <si>
    <t>OH-2023-187031</t>
  </si>
  <si>
    <t>OU-37514</t>
  </si>
  <si>
    <t>Amber Davis</t>
  </si>
  <si>
    <t>TEC-CO-66939</t>
  </si>
  <si>
    <t>Ten Copiers</t>
  </si>
  <si>
    <t>CA-2023-873732</t>
  </si>
  <si>
    <t>HN-85640</t>
  </si>
  <si>
    <t>Andrea Smith</t>
  </si>
  <si>
    <t>OFF-ST-29373</t>
  </si>
  <si>
    <t>Form Storage</t>
  </si>
  <si>
    <t>CA-2024-885385</t>
  </si>
  <si>
    <t>UH-26585</t>
  </si>
  <si>
    <t>Robert Ford</t>
  </si>
  <si>
    <t>OFF-LA-25930</t>
  </si>
  <si>
    <t>Similar Labels</t>
  </si>
  <si>
    <t>PA-2024-227153</t>
  </si>
  <si>
    <t>LK-85231</t>
  </si>
  <si>
    <t>Karina Roth</t>
  </si>
  <si>
    <t>TEC-CO-80125</t>
  </si>
  <si>
    <t>Say Copiers</t>
  </si>
  <si>
    <t>PA-2024-315630</t>
  </si>
  <si>
    <t>OH-20337</t>
  </si>
  <si>
    <t>Linda Price</t>
  </si>
  <si>
    <t>TEC-CO-76801</t>
  </si>
  <si>
    <t>Scientist Copiers</t>
  </si>
  <si>
    <t>OH-2023-484531</t>
  </si>
  <si>
    <t>KF-95283</t>
  </si>
  <si>
    <t>Megan Owens</t>
  </si>
  <si>
    <t>OFF-PA-41379</t>
  </si>
  <si>
    <t>NY-2023-594442</t>
  </si>
  <si>
    <t>SF-30762</t>
  </si>
  <si>
    <t>David Torres</t>
  </si>
  <si>
    <t>TEC-MA-95217</t>
  </si>
  <si>
    <t>Ready Machines</t>
  </si>
  <si>
    <t>OH-2023-136660</t>
  </si>
  <si>
    <t>NS-93179</t>
  </si>
  <si>
    <t>Dave Williams</t>
  </si>
  <si>
    <t>OFF-AR-93206</t>
  </si>
  <si>
    <t>Hospital Art</t>
  </si>
  <si>
    <t>FL-2023-376885</t>
  </si>
  <si>
    <t>OY-65341</t>
  </si>
  <si>
    <t>April Boyer</t>
  </si>
  <si>
    <t>TEC-PH-44510</t>
  </si>
  <si>
    <t>Customer Phones</t>
  </si>
  <si>
    <t>CA-2024-619356</t>
  </si>
  <si>
    <t>CZ-32692</t>
  </si>
  <si>
    <t>Jennifer Shelton</t>
  </si>
  <si>
    <t>TEC-CO-90434</t>
  </si>
  <si>
    <t>Explain Copiers</t>
  </si>
  <si>
    <t>MI-2023-986946</t>
  </si>
  <si>
    <t>DX-35761</t>
  </si>
  <si>
    <t>Sherri Huerta</t>
  </si>
  <si>
    <t>TEC-MA-82456</t>
  </si>
  <si>
    <t>Us Machines</t>
  </si>
  <si>
    <t>FL-2023-631897</t>
  </si>
  <si>
    <t>HL-95445</t>
  </si>
  <si>
    <t>Allison Joseph</t>
  </si>
  <si>
    <t>Member Art</t>
  </si>
  <si>
    <t>TX-2024-302376</t>
  </si>
  <si>
    <t>YX-61891</t>
  </si>
  <si>
    <t>Sheila Sanchez</t>
  </si>
  <si>
    <t>OFF-ST-31870</t>
  </si>
  <si>
    <t>Peace Storage</t>
  </si>
  <si>
    <t>MI-2023-107678</t>
  </si>
  <si>
    <t>CW-17418</t>
  </si>
  <si>
    <t>Luke Austin</t>
  </si>
  <si>
    <t>TEC-MA-87537</t>
  </si>
  <si>
    <t>Bring Machines</t>
  </si>
  <si>
    <t>MI-2024-203589</t>
  </si>
  <si>
    <t>LE-13691</t>
  </si>
  <si>
    <t>Antonio Friedman</t>
  </si>
  <si>
    <t>TEC-MA-29794</t>
  </si>
  <si>
    <t>Grow Machines</t>
  </si>
  <si>
    <t>CA-2024-972815</t>
  </si>
  <si>
    <t>TD-24140</t>
  </si>
  <si>
    <t>Jeffery Travis</t>
  </si>
  <si>
    <t>TEC-PH-14645</t>
  </si>
  <si>
    <t>Laugh Phones</t>
  </si>
  <si>
    <t>NY-2023-258803</t>
  </si>
  <si>
    <t>GH-61239</t>
  </si>
  <si>
    <t>Michael Lopez</t>
  </si>
  <si>
    <t>System Accessories</t>
  </si>
  <si>
    <t>FL-2023-449740</t>
  </si>
  <si>
    <t>RC-90653</t>
  </si>
  <si>
    <t>Brian Potter</t>
  </si>
  <si>
    <t>FUR-CH-14536</t>
  </si>
  <si>
    <t>All Chairs</t>
  </si>
  <si>
    <t>OH-2024-249458</t>
  </si>
  <si>
    <t>SP-51446</t>
  </si>
  <si>
    <t>Megan Lowery</t>
  </si>
  <si>
    <t>OFF-PA-24663</t>
  </si>
  <si>
    <t>Protect Paper</t>
  </si>
  <si>
    <t>CA-2023-965130</t>
  </si>
  <si>
    <t>RY-34073</t>
  </si>
  <si>
    <t>Andrew Burns</t>
  </si>
  <si>
    <t>FUR-BO-94927</t>
  </si>
  <si>
    <t>Risk Bookcases</t>
  </si>
  <si>
    <t>CA-2024-419911</t>
  </si>
  <si>
    <t>DN-90874</t>
  </si>
  <si>
    <t>Bryan Kelley</t>
  </si>
  <si>
    <t>FUR-CH-65137</t>
  </si>
  <si>
    <t>Believe Chairs</t>
  </si>
  <si>
    <t>CA-2023-383480</t>
  </si>
  <si>
    <t>NZ-24673</t>
  </si>
  <si>
    <t>Barbara Hogan</t>
  </si>
  <si>
    <t>FUR-CH-23863</t>
  </si>
  <si>
    <t>Attack Chairs</t>
  </si>
  <si>
    <t>IL-2024-367700</t>
  </si>
  <si>
    <t>FH-26633</t>
  </si>
  <si>
    <t>Sean Snow</t>
  </si>
  <si>
    <t>OFF-PA-17705</t>
  </si>
  <si>
    <t>Easy Paper</t>
  </si>
  <si>
    <t>TX-2023-614531</t>
  </si>
  <si>
    <t>JF-67302</t>
  </si>
  <si>
    <t>Emily Morrow</t>
  </si>
  <si>
    <t>FUR-BO-62909</t>
  </si>
  <si>
    <t>Clearly Bookcases</t>
  </si>
  <si>
    <t>IL-2024-383554</t>
  </si>
  <si>
    <t>Jenny Ruiz</t>
  </si>
  <si>
    <t>TEC-MA-51754</t>
  </si>
  <si>
    <t>Carry Machines</t>
  </si>
  <si>
    <t>NY-2023-476731</t>
  </si>
  <si>
    <t>JN-10259</t>
  </si>
  <si>
    <t>Brianna Wright</t>
  </si>
  <si>
    <t>FUR-BO-81898</t>
  </si>
  <si>
    <t>TX-2023-364369</t>
  </si>
  <si>
    <t>NZ-85975</t>
  </si>
  <si>
    <t>Ruth Harris</t>
  </si>
  <si>
    <t>OFF-AR-92283</t>
  </si>
  <si>
    <t>Send Art</t>
  </si>
  <si>
    <t>MI-2023-507062</t>
  </si>
  <si>
    <t>CE-81214</t>
  </si>
  <si>
    <t>Elizabeth Flores</t>
  </si>
  <si>
    <t>TEC-MA-72918</t>
  </si>
  <si>
    <t>Off Machines</t>
  </si>
  <si>
    <t>OH-2023-201482</t>
  </si>
  <si>
    <t>SG-78601</t>
  </si>
  <si>
    <t>Ray Proctor</t>
  </si>
  <si>
    <t>OFF-LA-96789</t>
  </si>
  <si>
    <t>Meeting Labels</t>
  </si>
  <si>
    <t>CA-2023-480652</t>
  </si>
  <si>
    <t>CS-64116</t>
  </si>
  <si>
    <t>Debbie Rogers</t>
  </si>
  <si>
    <t>FUR-FU-52159</t>
  </si>
  <si>
    <t>TX-2023-677279</t>
  </si>
  <si>
    <t>BE-80657</t>
  </si>
  <si>
    <t>Louis Schneider</t>
  </si>
  <si>
    <t>TEC-AC-28058</t>
  </si>
  <si>
    <t>Price Accessories</t>
  </si>
  <si>
    <t>TX-2024-374810</t>
  </si>
  <si>
    <t>Benjamin Johnson</t>
  </si>
  <si>
    <t>FUR-FU-50838</t>
  </si>
  <si>
    <t>Year Furnishings</t>
  </si>
  <si>
    <t>PA-2023-675617</t>
  </si>
  <si>
    <t>XD-92358</t>
  </si>
  <si>
    <t>Monica Warner</t>
  </si>
  <si>
    <t>TEC-CO-55344</t>
  </si>
  <si>
    <t>And Copiers</t>
  </si>
  <si>
    <t>TX-2023-688835</t>
  </si>
  <si>
    <t>JR-21359</t>
  </si>
  <si>
    <t>Robert Mcbride</t>
  </si>
  <si>
    <t>FUR-CH-36280</t>
  </si>
  <si>
    <t>Discussion Chairs</t>
  </si>
  <si>
    <t>PA-2023-621937</t>
  </si>
  <si>
    <t>OW-43888</t>
  </si>
  <si>
    <t>Brandon Charles</t>
  </si>
  <si>
    <t>OFF-LA-50037</t>
  </si>
  <si>
    <t>Push Labels</t>
  </si>
  <si>
    <t>FL-2023-483727</t>
  </si>
  <si>
    <t>FL-74463</t>
  </si>
  <si>
    <t>Cody Reynolds</t>
  </si>
  <si>
    <t>OFF-BI-55838</t>
  </si>
  <si>
    <t>MI-2023-513391</t>
  </si>
  <si>
    <t>CE-60780</t>
  </si>
  <si>
    <t>Amanda Sanders</t>
  </si>
  <si>
    <t>TEC-MA-30007</t>
  </si>
  <si>
    <t>Student Machines</t>
  </si>
  <si>
    <t>IL-2024-596296</t>
  </si>
  <si>
    <t>XI-93769</t>
  </si>
  <si>
    <t>Scott Bishop</t>
  </si>
  <si>
    <t>OFF-LA-14784</t>
  </si>
  <si>
    <t>Almost Labels</t>
  </si>
  <si>
    <t>FL-2024-156253</t>
  </si>
  <si>
    <t>AS-81786</t>
  </si>
  <si>
    <t>Stephanie Simmons</t>
  </si>
  <si>
    <t>FUR-CH-21387</t>
  </si>
  <si>
    <t>Scene Chairs</t>
  </si>
  <si>
    <t>IL-2024-774043</t>
  </si>
  <si>
    <t>NC-35633</t>
  </si>
  <si>
    <t>David Perez</t>
  </si>
  <si>
    <t>TEC-PH-79624</t>
  </si>
  <si>
    <t>Also Phones</t>
  </si>
  <si>
    <t>NY-2023-653894</t>
  </si>
  <si>
    <t>RK-63104</t>
  </si>
  <si>
    <t>Andrea Garcia</t>
  </si>
  <si>
    <t>OFF-LA-55523</t>
  </si>
  <si>
    <t>Dinner Labels</t>
  </si>
  <si>
    <t>NY-2023-130731</t>
  </si>
  <si>
    <t>KN-50757</t>
  </si>
  <si>
    <t>Megan Kelly</t>
  </si>
  <si>
    <t>TEC-MA-10549</t>
  </si>
  <si>
    <t>Wish Machines</t>
  </si>
  <si>
    <t>FL-2023-723561</t>
  </si>
  <si>
    <t>VY-21726</t>
  </si>
  <si>
    <t>Benjamin Parker</t>
  </si>
  <si>
    <t>FUR-BO-37506</t>
  </si>
  <si>
    <t>Air Bookcases</t>
  </si>
  <si>
    <t>CA-2023-760960</t>
  </si>
  <si>
    <t>NX-76496</t>
  </si>
  <si>
    <t>Allison Leonard</t>
  </si>
  <si>
    <t>FUR-TA-93379</t>
  </si>
  <si>
    <t>Put Tables</t>
  </si>
  <si>
    <t>NY-2023-123733</t>
  </si>
  <si>
    <t>XL-71823</t>
  </si>
  <si>
    <t>Rodney Brown</t>
  </si>
  <si>
    <t>OFF-AR-17371</t>
  </si>
  <si>
    <t>Store Art</t>
  </si>
  <si>
    <t>NY-2023-312653</t>
  </si>
  <si>
    <t>GQ-25809</t>
  </si>
  <si>
    <t>Kimberly Torres</t>
  </si>
  <si>
    <t>FUR-FU-54413</t>
  </si>
  <si>
    <t>Her Furnishings</t>
  </si>
  <si>
    <t>PA-2024-588135</t>
  </si>
  <si>
    <t>PW-97704</t>
  </si>
  <si>
    <t>Jennifer Holt</t>
  </si>
  <si>
    <t>FUR-CH-37955</t>
  </si>
  <si>
    <t>When Chairs</t>
  </si>
  <si>
    <t>PA-2024-372191</t>
  </si>
  <si>
    <t>NZ-60978</t>
  </si>
  <si>
    <t>Isaac Ellison</t>
  </si>
  <si>
    <t>TEC-CO-18689</t>
  </si>
  <si>
    <t>Space Copiers</t>
  </si>
  <si>
    <t>CA-2023-979471</t>
  </si>
  <si>
    <t>SO-19528</t>
  </si>
  <si>
    <t>Nicole Beasley</t>
  </si>
  <si>
    <t>OFF-LA-38519</t>
  </si>
  <si>
    <t>Between Labels</t>
  </si>
  <si>
    <t>FL-2023-402575</t>
  </si>
  <si>
    <t>ZH-13091</t>
  </si>
  <si>
    <t>Brian Garza</t>
  </si>
  <si>
    <t>OFF-LA-65716</t>
  </si>
  <si>
    <t>Campaign Labels</t>
  </si>
  <si>
    <t>OH-2024-523918</t>
  </si>
  <si>
    <t>NO-50613</t>
  </si>
  <si>
    <t>Ernest Estes</t>
  </si>
  <si>
    <t>FUR-BO-10411</t>
  </si>
  <si>
    <t>Project Bookcases</t>
  </si>
  <si>
    <t>TX-2024-595408</t>
  </si>
  <si>
    <t>HG-24570</t>
  </si>
  <si>
    <t>Kevin Robinson</t>
  </si>
  <si>
    <t>TEC-PH-68856</t>
  </si>
  <si>
    <t>Model Phones</t>
  </si>
  <si>
    <t>CA-2024-268586</t>
  </si>
  <si>
    <t>GV-30120</t>
  </si>
  <si>
    <t>Mark Myers</t>
  </si>
  <si>
    <t>OFF-PA-58471</t>
  </si>
  <si>
    <t>TX-2024-502940</t>
  </si>
  <si>
    <t>XO-73065</t>
  </si>
  <si>
    <t>Jeffery Garcia</t>
  </si>
  <si>
    <t>TEC-PH-38378</t>
  </si>
  <si>
    <t>Want Phones</t>
  </si>
  <si>
    <t>PA-2024-804348</t>
  </si>
  <si>
    <t>QM-83744</t>
  </si>
  <si>
    <t>Cathy Mckee</t>
  </si>
  <si>
    <t>OFF-ST-61698</t>
  </si>
  <si>
    <t>Today Storage</t>
  </si>
  <si>
    <t>CA-2024-784408</t>
  </si>
  <si>
    <t>MK-72683</t>
  </si>
  <si>
    <t>Dr. Paul Hutchinson</t>
  </si>
  <si>
    <t>TEC-AC-54336</t>
  </si>
  <si>
    <t>Fact Accessories</t>
  </si>
  <si>
    <t>MI-2023-526180</t>
  </si>
  <si>
    <t>KP-33116</t>
  </si>
  <si>
    <t>Justin Walker</t>
  </si>
  <si>
    <t>TEC-CO-58564</t>
  </si>
  <si>
    <t>Particular Copiers</t>
  </si>
  <si>
    <t>TX-2024-725141</t>
  </si>
  <si>
    <t>XM-51192</t>
  </si>
  <si>
    <t>Evelyn Miller</t>
  </si>
  <si>
    <t>TEC-CO-63935</t>
  </si>
  <si>
    <t>Create Copiers</t>
  </si>
  <si>
    <t>CA-2023-971548</t>
  </si>
  <si>
    <t>UD-37532</t>
  </si>
  <si>
    <t>Eric Dudley</t>
  </si>
  <si>
    <t>TEC-AC-69695</t>
  </si>
  <si>
    <t>Law Accessories</t>
  </si>
  <si>
    <t>PA-2024-546616</t>
  </si>
  <si>
    <t>IL-31545</t>
  </si>
  <si>
    <t>Darryl Smith</t>
  </si>
  <si>
    <t>OFF-BI-90843</t>
  </si>
  <si>
    <t>Mean Binders</t>
  </si>
  <si>
    <t>OH-2023-317401</t>
  </si>
  <si>
    <t>FO-64160</t>
  </si>
  <si>
    <t>Charles Gilbert</t>
  </si>
  <si>
    <t>TEC-PH-22537</t>
  </si>
  <si>
    <t>Member Phones</t>
  </si>
  <si>
    <t>CA-2023-945386</t>
  </si>
  <si>
    <t>XM-15156</t>
  </si>
  <si>
    <t>Marissa Russo</t>
  </si>
  <si>
    <t>TEC-PH-14312</t>
  </si>
  <si>
    <t>Design Phones</t>
  </si>
  <si>
    <t>MI-2023-690559</t>
  </si>
  <si>
    <t>LH-82772</t>
  </si>
  <si>
    <t>Daniel Johnson</t>
  </si>
  <si>
    <t>TEC-AC-83770</t>
  </si>
  <si>
    <t>Provide Accessories</t>
  </si>
  <si>
    <t>FL-2023-233400</t>
  </si>
  <si>
    <t>XN-33616</t>
  </si>
  <si>
    <t>Linda Fields</t>
  </si>
  <si>
    <t>FUR-CH-85050</t>
  </si>
  <si>
    <t>Market Chairs</t>
  </si>
  <si>
    <t>OH-2024-514326</t>
  </si>
  <si>
    <t>ON-82478</t>
  </si>
  <si>
    <t>Kevin Ortiz</t>
  </si>
  <si>
    <t>OFF-ST-36923</t>
  </si>
  <si>
    <t>Note Storage</t>
  </si>
  <si>
    <t>CA-2024-884527</t>
  </si>
  <si>
    <t>UA-32235</t>
  </si>
  <si>
    <t>Debra Payne</t>
  </si>
  <si>
    <t>TEC-PH-97176</t>
  </si>
  <si>
    <t>Maybe Phones</t>
  </si>
  <si>
    <t>IL-2023-749798</t>
  </si>
  <si>
    <t>RE-86648</t>
  </si>
  <si>
    <t>Spencer Flowers</t>
  </si>
  <si>
    <t>FUR-CH-55678</t>
  </si>
  <si>
    <t>Late Chairs</t>
  </si>
  <si>
    <t>PA-2024-994966</t>
  </si>
  <si>
    <t>CB-47182</t>
  </si>
  <si>
    <t>Erik Mcbride</t>
  </si>
  <si>
    <t>TEC-PH-39627</t>
  </si>
  <si>
    <t>Write Phones</t>
  </si>
  <si>
    <t>NY-2024-991081</t>
  </si>
  <si>
    <t>YW-27335</t>
  </si>
  <si>
    <t>Jennifer Walker</t>
  </si>
  <si>
    <t>TEC-PH-55458</t>
  </si>
  <si>
    <t>PA-2024-428263</t>
  </si>
  <si>
    <t>XC-41814</t>
  </si>
  <si>
    <t>Andrea Hill</t>
  </si>
  <si>
    <t>OFF-BI-19863</t>
  </si>
  <si>
    <t>Know Binders</t>
  </si>
  <si>
    <t>FL-2024-458505</t>
  </si>
  <si>
    <t>AL-61842</t>
  </si>
  <si>
    <t>Jeremy Mendoza</t>
  </si>
  <si>
    <t>FUR-CH-23090</t>
  </si>
  <si>
    <t>Already Chairs</t>
  </si>
  <si>
    <t>OH-2024-501704</t>
  </si>
  <si>
    <t>PX-25789</t>
  </si>
  <si>
    <t>Robert Jones</t>
  </si>
  <si>
    <t>FUR-BO-10591</t>
  </si>
  <si>
    <t>Specific Bookcases</t>
  </si>
  <si>
    <t>FL-2024-471852</t>
  </si>
  <si>
    <t>DO-37509</t>
  </si>
  <si>
    <t>Fernando Wong</t>
  </si>
  <si>
    <t>FUR-BO-86269</t>
  </si>
  <si>
    <t>Walk Bookcases</t>
  </si>
  <si>
    <t>NY-2024-826059</t>
  </si>
  <si>
    <t>OP-75761</t>
  </si>
  <si>
    <t>Cynthia Bryant</t>
  </si>
  <si>
    <t>FUR-TA-92350</t>
  </si>
  <si>
    <t>Prepare Tables</t>
  </si>
  <si>
    <t>OH-2024-764846</t>
  </si>
  <si>
    <t>QW-40733</t>
  </si>
  <si>
    <t>Deborah Reyes</t>
  </si>
  <si>
    <t>TEC-MA-56437</t>
  </si>
  <si>
    <t>Yes Machines</t>
  </si>
  <si>
    <t>PA-2023-969838</t>
  </si>
  <si>
    <t>NG-27691</t>
  </si>
  <si>
    <t>Stephen Glover</t>
  </si>
  <si>
    <t>FUR-BO-76573</t>
  </si>
  <si>
    <t>Find Bookcases</t>
  </si>
  <si>
    <t>PA-2023-923903</t>
  </si>
  <si>
    <t>CK-34060</t>
  </si>
  <si>
    <t>Matthew Meyers</t>
  </si>
  <si>
    <t>FUR-BO-79898</t>
  </si>
  <si>
    <t>Point Bookcases</t>
  </si>
  <si>
    <t>CA-2023-992423</t>
  </si>
  <si>
    <t>FW-21428</t>
  </si>
  <si>
    <t>Cynthia Caldwell</t>
  </si>
  <si>
    <t>TEC-AC-87859</t>
  </si>
  <si>
    <t>This Accessories</t>
  </si>
  <si>
    <t>PA-2023-708921</t>
  </si>
  <si>
    <t>FR-18749</t>
  </si>
  <si>
    <t>Mark Thompson</t>
  </si>
  <si>
    <t>OFF-LA-12459</t>
  </si>
  <si>
    <t>Why Labels</t>
  </si>
  <si>
    <t>NY-2024-976980</t>
  </si>
  <si>
    <t>CQ-60111</t>
  </si>
  <si>
    <t>Mr. Jason Riley</t>
  </si>
  <si>
    <t>TEC-PH-65033</t>
  </si>
  <si>
    <t>Meet Phones</t>
  </si>
  <si>
    <t>CA-2024-557102</t>
  </si>
  <si>
    <t>QK-78907</t>
  </si>
  <si>
    <t>Mary Cooper</t>
  </si>
  <si>
    <t>OFF-LA-11930</t>
  </si>
  <si>
    <t>All Labels</t>
  </si>
  <si>
    <t>FL-2023-924705</t>
  </si>
  <si>
    <t>BW-47108</t>
  </si>
  <si>
    <t>Amanda Perez</t>
  </si>
  <si>
    <t>FUR-FU-49278</t>
  </si>
  <si>
    <t>Then Furnishings</t>
  </si>
  <si>
    <t>OH-2024-599760</t>
  </si>
  <si>
    <t>EL-42900</t>
  </si>
  <si>
    <t>Erica Bryan</t>
  </si>
  <si>
    <t>OFF-BI-91746</t>
  </si>
  <si>
    <t>Tax Binders</t>
  </si>
  <si>
    <t>MI-2023-280811</t>
  </si>
  <si>
    <t>IV-32111</t>
  </si>
  <si>
    <t>Barry Johnson</t>
  </si>
  <si>
    <t>TEC-AC-68365</t>
  </si>
  <si>
    <t>Card Accessories</t>
  </si>
  <si>
    <t>IL-2024-697974</t>
  </si>
  <si>
    <t>MH-80263</t>
  </si>
  <si>
    <t>Kenneth Frazier</t>
  </si>
  <si>
    <t>TEC-AC-59610</t>
  </si>
  <si>
    <t>Prevent Accessories</t>
  </si>
  <si>
    <t>CA-2023-724552</t>
  </si>
  <si>
    <t>BX-73138</t>
  </si>
  <si>
    <t>Joshua Adams</t>
  </si>
  <si>
    <t>Poor Binders</t>
  </si>
  <si>
    <t>IL-2024-152335</t>
  </si>
  <si>
    <t>IW-48482</t>
  </si>
  <si>
    <t>Kyle Parker</t>
  </si>
  <si>
    <t>OFF-AR-78491</t>
  </si>
  <si>
    <t>Once Art</t>
  </si>
  <si>
    <t>OH-2024-534208</t>
  </si>
  <si>
    <t>CF-62970</t>
  </si>
  <si>
    <t>Angelica Thomas</t>
  </si>
  <si>
    <t>FUR-TA-96392</t>
  </si>
  <si>
    <t>Often Tables</t>
  </si>
  <si>
    <t>NY-2023-111631</t>
  </si>
  <si>
    <t>WI-95172</t>
  </si>
  <si>
    <t>Daniel Dunn</t>
  </si>
  <si>
    <t>OFF-LA-48018</t>
  </si>
  <si>
    <t>Provide Labels</t>
  </si>
  <si>
    <t>FL-2023-128363</t>
  </si>
  <si>
    <t>KM-12916</t>
  </si>
  <si>
    <t>Bailey Garcia</t>
  </si>
  <si>
    <t>OFF-LA-81826</t>
  </si>
  <si>
    <t>Unit Labels</t>
  </si>
  <si>
    <t>MI-2024-445083</t>
  </si>
  <si>
    <t>ZG-60752</t>
  </si>
  <si>
    <t>Kristy Ayers</t>
  </si>
  <si>
    <t>FUR-FU-36784</t>
  </si>
  <si>
    <t>Dinner Furnishings</t>
  </si>
  <si>
    <t>PA-2023-984832</t>
  </si>
  <si>
    <t>RY-25459</t>
  </si>
  <si>
    <t>Danielle Martinez</t>
  </si>
  <si>
    <t>OFF-LA-44388</t>
  </si>
  <si>
    <t>Participant Labels</t>
  </si>
  <si>
    <t>NY-2023-899577</t>
  </si>
  <si>
    <t>RD-72202</t>
  </si>
  <si>
    <t>Gabriella Gould</t>
  </si>
  <si>
    <t>TEC-AC-76711</t>
  </si>
  <si>
    <t>Past Accessories</t>
  </si>
  <si>
    <t>FL-2023-586172</t>
  </si>
  <si>
    <t>UN-50365</t>
  </si>
  <si>
    <t>Jonathan Park</t>
  </si>
  <si>
    <t>OFF-BI-63113</t>
  </si>
  <si>
    <t>Sort Binders</t>
  </si>
  <si>
    <t>FL-2024-417180</t>
  </si>
  <si>
    <t>HZ-84131</t>
  </si>
  <si>
    <t>Emily Nelson</t>
  </si>
  <si>
    <t>OFF-PA-13510</t>
  </si>
  <si>
    <t>Do Paper</t>
  </si>
  <si>
    <t>IL-2023-688682</t>
  </si>
  <si>
    <t>JA-29228</t>
  </si>
  <si>
    <t>Per Phones</t>
  </si>
  <si>
    <t>TX-2024-776541</t>
  </si>
  <si>
    <t>VI-86142</t>
  </si>
  <si>
    <t>Isabella Bernard</t>
  </si>
  <si>
    <t>TEC-AC-95727</t>
  </si>
  <si>
    <t>According Accessories</t>
  </si>
  <si>
    <t>IL-2023-567944</t>
  </si>
  <si>
    <t>ZC-77840</t>
  </si>
  <si>
    <t>Natasha Molina</t>
  </si>
  <si>
    <t>FUR-FU-30884</t>
  </si>
  <si>
    <t>Improve Furnishings</t>
  </si>
  <si>
    <t>CA-2023-579873</t>
  </si>
  <si>
    <t>GT-94093</t>
  </si>
  <si>
    <t>Matthew Hall</t>
  </si>
  <si>
    <t>OFF-ST-21641</t>
  </si>
  <si>
    <t>Operation Storage</t>
  </si>
  <si>
    <t>MI-2024-510950</t>
  </si>
  <si>
    <t>IH-12194</t>
  </si>
  <si>
    <t>James Lawrence</t>
  </si>
  <si>
    <t>TEC-PH-69806</t>
  </si>
  <si>
    <t>Kid Phones</t>
  </si>
  <si>
    <t>NY-2024-450232</t>
  </si>
  <si>
    <t>BA-11435</t>
  </si>
  <si>
    <t>Nicole Woods</t>
  </si>
  <si>
    <t>TEC-CO-96759</t>
  </si>
  <si>
    <t>Scene Copiers</t>
  </si>
  <si>
    <t>FL-2024-481924</t>
  </si>
  <si>
    <t>GM-84694</t>
  </si>
  <si>
    <t>Cheryl Beck</t>
  </si>
  <si>
    <t>OFF-LA-42758</t>
  </si>
  <si>
    <t>Member Labels</t>
  </si>
  <si>
    <t>PA-2024-333104</t>
  </si>
  <si>
    <t>SI-58131</t>
  </si>
  <si>
    <t>Jessica Underwood</t>
  </si>
  <si>
    <t>TEC-PH-41859</t>
  </si>
  <si>
    <t>Interview Phones</t>
  </si>
  <si>
    <t>OH-2024-259666</t>
  </si>
  <si>
    <t>MJ-15038</t>
  </si>
  <si>
    <t>Michael Brandt</t>
  </si>
  <si>
    <t>OFF-PA-89209</t>
  </si>
  <si>
    <t>Myself Paper</t>
  </si>
  <si>
    <t>NY-2023-884853</t>
  </si>
  <si>
    <t>EI-34185</t>
  </si>
  <si>
    <t>Jacob Baker</t>
  </si>
  <si>
    <t>OFF-AR-91249</t>
  </si>
  <si>
    <t>Travel Art</t>
  </si>
  <si>
    <t>NY-2023-325796</t>
  </si>
  <si>
    <t>DB-82873</t>
  </si>
  <si>
    <t>Stephen Torres</t>
  </si>
  <si>
    <t>OFF-PA-69105</t>
  </si>
  <si>
    <t>Think Paper</t>
  </si>
  <si>
    <t>FL-2023-443272</t>
  </si>
  <si>
    <t>UW-30284</t>
  </si>
  <si>
    <t>Abigail Johnson</t>
  </si>
  <si>
    <t>OFF-LA-13844</t>
  </si>
  <si>
    <t>End Labels</t>
  </si>
  <si>
    <t>TX-2024-877195</t>
  </si>
  <si>
    <t>VE-38537</t>
  </si>
  <si>
    <t>Alexa Martinez</t>
  </si>
  <si>
    <t>FUR-BO-36755</t>
  </si>
  <si>
    <t>Return Bookcases</t>
  </si>
  <si>
    <t>PA-2024-411555</t>
  </si>
  <si>
    <t>NJ-11488</t>
  </si>
  <si>
    <t>Jessica Pace</t>
  </si>
  <si>
    <t>TEC-AC-17289</t>
  </si>
  <si>
    <t>Speech Accessories</t>
  </si>
  <si>
    <t>IL-2024-231179</t>
  </si>
  <si>
    <t>BC-79985</t>
  </si>
  <si>
    <t>Stephanie Morgan</t>
  </si>
  <si>
    <t>FUR-BO-72109</t>
  </si>
  <si>
    <t>IL-2023-424660</t>
  </si>
  <si>
    <t>SO-25796</t>
  </si>
  <si>
    <t>Joel Hill</t>
  </si>
  <si>
    <t>FUR-TA-39561</t>
  </si>
  <si>
    <t>Fall Tables</t>
  </si>
  <si>
    <t>TX-2024-466594</t>
  </si>
  <si>
    <t>KO-85444</t>
  </si>
  <si>
    <t>Erin Kemp</t>
  </si>
  <si>
    <t>FUR-BO-29216</t>
  </si>
  <si>
    <t>Yourself Bookcases</t>
  </si>
  <si>
    <t>NY-2024-993160</t>
  </si>
  <si>
    <t>QH-82083</t>
  </si>
  <si>
    <t>Jacob Sampson</t>
  </si>
  <si>
    <t>FUR-TA-74668</t>
  </si>
  <si>
    <t>Project Tables</t>
  </si>
  <si>
    <t>MI-2024-436962</t>
  </si>
  <si>
    <t>RF-92558</t>
  </si>
  <si>
    <t>Jennifer Garcia</t>
  </si>
  <si>
    <t>TEC-CO-21773</t>
  </si>
  <si>
    <t>At Copiers</t>
  </si>
  <si>
    <t>TX-2024-633603</t>
  </si>
  <si>
    <t>PV-22509</t>
  </si>
  <si>
    <t>Tiffany Obrien</t>
  </si>
  <si>
    <t>OFF-ST-45553</t>
  </si>
  <si>
    <t>Support Storage</t>
  </si>
  <si>
    <t>CA-2024-111857</t>
  </si>
  <si>
    <t>VX-50862</t>
  </si>
  <si>
    <t>Michael Morgan</t>
  </si>
  <si>
    <t>TEC-CO-12408</t>
  </si>
  <si>
    <t>Assume Copiers</t>
  </si>
  <si>
    <t>OH-2023-904446</t>
  </si>
  <si>
    <t>MH-99717</t>
  </si>
  <si>
    <t>Kelly Haney</t>
  </si>
  <si>
    <t>TEC-PH-96516</t>
  </si>
  <si>
    <t>Face Phones</t>
  </si>
  <si>
    <t>FL-2023-857464</t>
  </si>
  <si>
    <t>IS-36225</t>
  </si>
  <si>
    <t>Rebecca Rodriguez</t>
  </si>
  <si>
    <t>FUR-FU-49319</t>
  </si>
  <si>
    <t>Sometimes Furnishings</t>
  </si>
  <si>
    <t>MI-2023-725560</t>
  </si>
  <si>
    <t>XH-80890</t>
  </si>
  <si>
    <t>Jennifer Cox</t>
  </si>
  <si>
    <t>TEC-CO-39144</t>
  </si>
  <si>
    <t>Green Copiers</t>
  </si>
  <si>
    <t>OH-2023-295528</t>
  </si>
  <si>
    <t>TX-48701</t>
  </si>
  <si>
    <t>Craig Fisher</t>
  </si>
  <si>
    <t>TEC-AC-29233</t>
  </si>
  <si>
    <t>Side Accessories</t>
  </si>
  <si>
    <t>CA-2023-771688</t>
  </si>
  <si>
    <t>EG-47915</t>
  </si>
  <si>
    <t>Albert Hamilton DDS</t>
  </si>
  <si>
    <t>TEC-PH-90948</t>
  </si>
  <si>
    <t>Side Phones</t>
  </si>
  <si>
    <t>PA-2024-102910</t>
  </si>
  <si>
    <t>Faith Williams</t>
  </si>
  <si>
    <t>TEC-CO-12155</t>
  </si>
  <si>
    <t>Bar Copiers</t>
  </si>
  <si>
    <t>FL-2023-515473</t>
  </si>
  <si>
    <t>BF-58623</t>
  </si>
  <si>
    <t>Sharon Jennings</t>
  </si>
  <si>
    <t>Effort Bookcases</t>
  </si>
  <si>
    <t>FL-2023-250116</t>
  </si>
  <si>
    <t>EO-54429</t>
  </si>
  <si>
    <t>David Jones</t>
  </si>
  <si>
    <t>TEC-AC-70302</t>
  </si>
  <si>
    <t>Understand Accessories</t>
  </si>
  <si>
    <t>OH-2023-239510</t>
  </si>
  <si>
    <t>RH-96715</t>
  </si>
  <si>
    <t>David Whitney</t>
  </si>
  <si>
    <t>OFF-ST-92596</t>
  </si>
  <si>
    <t>Sport Storage</t>
  </si>
  <si>
    <t>TX-2023-761254</t>
  </si>
  <si>
    <t>AH-92477</t>
  </si>
  <si>
    <t>Lisa Hancock</t>
  </si>
  <si>
    <t>TEC-AC-47144</t>
  </si>
  <si>
    <t>Accept Accessories</t>
  </si>
  <si>
    <t>MI-2023-430193</t>
  </si>
  <si>
    <t>WS-63528</t>
  </si>
  <si>
    <t>Ronald Moore</t>
  </si>
  <si>
    <t>OFF-BI-50579</t>
  </si>
  <si>
    <t>Lead Binders</t>
  </si>
  <si>
    <t>PA-2023-483749</t>
  </si>
  <si>
    <t>SG-36089</t>
  </si>
  <si>
    <t>Brittany Riley</t>
  </si>
  <si>
    <t>FUR-BO-67831</t>
  </si>
  <si>
    <t>Life Bookcases</t>
  </si>
  <si>
    <t>IL-2024-178699</t>
  </si>
  <si>
    <t>DU-67978</t>
  </si>
  <si>
    <t>Eric Brown</t>
  </si>
  <si>
    <t>OFF-LA-59201</t>
  </si>
  <si>
    <t>Board Labels</t>
  </si>
  <si>
    <t>TX-2023-895314</t>
  </si>
  <si>
    <t>AN-86118</t>
  </si>
  <si>
    <t>Annette Cardenas</t>
  </si>
  <si>
    <t>OFF-ST-60900</t>
  </si>
  <si>
    <t>Window Storage</t>
  </si>
  <si>
    <t>CA-2024-820020</t>
  </si>
  <si>
    <t>FX-72687</t>
  </si>
  <si>
    <t>Melissa Scott</t>
  </si>
  <si>
    <t>TEC-PH-81049</t>
  </si>
  <si>
    <t>Loss Phones</t>
  </si>
  <si>
    <t>MI-2023-924321</t>
  </si>
  <si>
    <t>HI-43957</t>
  </si>
  <si>
    <t>Tammy Fitzpatrick</t>
  </si>
  <si>
    <t>FUR-CH-52226</t>
  </si>
  <si>
    <t>High Chairs</t>
  </si>
  <si>
    <t>MI-2023-752161</t>
  </si>
  <si>
    <t>NT-16125</t>
  </si>
  <si>
    <t>Sandra Pierce</t>
  </si>
  <si>
    <t>FUR-CH-12843</t>
  </si>
  <si>
    <t>Image Chairs</t>
  </si>
  <si>
    <t>IL-2024-791895</t>
  </si>
  <si>
    <t>OM-98167</t>
  </si>
  <si>
    <t>Mrs. Jennifer Scott</t>
  </si>
  <si>
    <t>OFF-ST-21023</t>
  </si>
  <si>
    <t>Office Storage</t>
  </si>
  <si>
    <t>FL-2023-230355</t>
  </si>
  <si>
    <t>AY-42224</t>
  </si>
  <si>
    <t>Amanda Williams</t>
  </si>
  <si>
    <t>TEC-AC-34157</t>
  </si>
  <si>
    <t>Result Accessories</t>
  </si>
  <si>
    <t>CA-2024-521327</t>
  </si>
  <si>
    <t>WH-68058</t>
  </si>
  <si>
    <t>Kathy Berg</t>
  </si>
  <si>
    <t>FUR-TA-16862</t>
  </si>
  <si>
    <t>Attorney Tables</t>
  </si>
  <si>
    <t>MI-2024-863284</t>
  </si>
  <si>
    <t>OR-12425</t>
  </si>
  <si>
    <t>Jessica Harmon</t>
  </si>
  <si>
    <t>TEC-MA-72028</t>
  </si>
  <si>
    <t>Food Machines</t>
  </si>
  <si>
    <t>CA-2023-357016</t>
  </si>
  <si>
    <t>EO-44389</t>
  </si>
  <si>
    <t>Craig Thompson</t>
  </si>
  <si>
    <t>TEC-PH-47057</t>
  </si>
  <si>
    <t>Mr Phones</t>
  </si>
  <si>
    <t>MI-2024-983020</t>
  </si>
  <si>
    <t>WP-87237</t>
  </si>
  <si>
    <t>Theodore Schmitt</t>
  </si>
  <si>
    <t>TEC-CO-51101</t>
  </si>
  <si>
    <t>Quality Copiers</t>
  </si>
  <si>
    <t>FL-2024-499513</t>
  </si>
  <si>
    <t>KQ-81834</t>
  </si>
  <si>
    <t>Ruth Vasquez</t>
  </si>
  <si>
    <t>TEC-PH-96577</t>
  </si>
  <si>
    <t>Teacher Phones</t>
  </si>
  <si>
    <t>OH-2023-244148</t>
  </si>
  <si>
    <t>AW-49344</t>
  </si>
  <si>
    <t>Martin Russo</t>
  </si>
  <si>
    <t>TEC-AC-54696</t>
  </si>
  <si>
    <t>Scene Accessories</t>
  </si>
  <si>
    <t>MI-2023-445849</t>
  </si>
  <si>
    <t>BM-60386</t>
  </si>
  <si>
    <t>Tina Newman</t>
  </si>
  <si>
    <t>FUR-CH-43478</t>
  </si>
  <si>
    <t>Word Chairs</t>
  </si>
  <si>
    <t>PA-2024-820055</t>
  </si>
  <si>
    <t>VB-35270</t>
  </si>
  <si>
    <t>Sean Chambers</t>
  </si>
  <si>
    <t>TEC-AC-10485</t>
  </si>
  <si>
    <t>Move Accessories</t>
  </si>
  <si>
    <t>OH-2023-107768</t>
  </si>
  <si>
    <t>IO-51766</t>
  </si>
  <si>
    <t>Michael King</t>
  </si>
  <si>
    <t>OFF-AR-63261</t>
  </si>
  <si>
    <t>Institution Art</t>
  </si>
  <si>
    <t>NY-2024-593103</t>
  </si>
  <si>
    <t>EY-16855</t>
  </si>
  <si>
    <t>Brandon Bowers</t>
  </si>
  <si>
    <t>TEC-MA-54247</t>
  </si>
  <si>
    <t>Impact Machines</t>
  </si>
  <si>
    <t>NY-2024-417232</t>
  </si>
  <si>
    <t>PW-10647</t>
  </si>
  <si>
    <t>Vicki Kim</t>
  </si>
  <si>
    <t>FUR-CH-79374</t>
  </si>
  <si>
    <t>Actually Chairs</t>
  </si>
  <si>
    <t>FL-2024-303408</t>
  </si>
  <si>
    <t>LU-30169</t>
  </si>
  <si>
    <t>Stephen Gibson</t>
  </si>
  <si>
    <t>TEC-MA-17964</t>
  </si>
  <si>
    <t>Tonight Machines</t>
  </si>
  <si>
    <t>IL-2023-712244</t>
  </si>
  <si>
    <t>RG-88168</t>
  </si>
  <si>
    <t>Amanda Rivera</t>
  </si>
  <si>
    <t>TEC-MA-27685</t>
  </si>
  <si>
    <t>Type Machines</t>
  </si>
  <si>
    <t>MI-2023-471130</t>
  </si>
  <si>
    <t>Sarah Bishop</t>
  </si>
  <si>
    <t>TEC-CO-75308</t>
  </si>
  <si>
    <t>Color Copiers</t>
  </si>
  <si>
    <t>OH-2023-276775</t>
  </si>
  <si>
    <t>SU-40574</t>
  </si>
  <si>
    <t>Andrew Wolfe</t>
  </si>
  <si>
    <t>OFF-AR-88704</t>
  </si>
  <si>
    <t>Study Art</t>
  </si>
  <si>
    <t>MI-2024-594052</t>
  </si>
  <si>
    <t>PX-57523</t>
  </si>
  <si>
    <t>Kevin Santiago</t>
  </si>
  <si>
    <t>OFF-LA-96023</t>
  </si>
  <si>
    <t>Sometimes Labels</t>
  </si>
  <si>
    <t>NY-2024-924922</t>
  </si>
  <si>
    <t>VF-84783</t>
  </si>
  <si>
    <t>James Carroll</t>
  </si>
  <si>
    <t>FUR-CH-94764</t>
  </si>
  <si>
    <t>Well Chairs</t>
  </si>
  <si>
    <t>MI-2024-641436</t>
  </si>
  <si>
    <t>AQ-10326</t>
  </si>
  <si>
    <t>Michael Reid</t>
  </si>
  <si>
    <t>OFF-BI-87379</t>
  </si>
  <si>
    <t>Ask Binders</t>
  </si>
  <si>
    <t>NY-2024-963322</t>
  </si>
  <si>
    <t>GF-91639</t>
  </si>
  <si>
    <t>Javier Jordan</t>
  </si>
  <si>
    <t>TEC-PH-65103</t>
  </si>
  <si>
    <t>NY-2023-339074</t>
  </si>
  <si>
    <t>PN-66152</t>
  </si>
  <si>
    <t>Erica James</t>
  </si>
  <si>
    <t>OFF-AR-92272</t>
  </si>
  <si>
    <t>Knowledge Art</t>
  </si>
  <si>
    <t>MI-2024-429121</t>
  </si>
  <si>
    <t>QL-69301</t>
  </si>
  <si>
    <t>Kelly Adams</t>
  </si>
  <si>
    <t>FUR-FU-77395</t>
  </si>
  <si>
    <t>Attack Furnishings</t>
  </si>
  <si>
    <t>OH-2023-524659</t>
  </si>
  <si>
    <t>DS-63873</t>
  </si>
  <si>
    <t>Ashley White</t>
  </si>
  <si>
    <t>TEC-PH-30388</t>
  </si>
  <si>
    <t>World Phones</t>
  </si>
  <si>
    <t>CA-2024-874087</t>
  </si>
  <si>
    <t>ZD-84327</t>
  </si>
  <si>
    <t>Laura Manning</t>
  </si>
  <si>
    <t>TEC-MA-95939</t>
  </si>
  <si>
    <t>Hit Machines</t>
  </si>
  <si>
    <t>CA-2023-149362</t>
  </si>
  <si>
    <t>UX-73051</t>
  </si>
  <si>
    <t>Amanda Palmer</t>
  </si>
  <si>
    <t>TEC-AC-60806</t>
  </si>
  <si>
    <t>Learn Accessories</t>
  </si>
  <si>
    <t>CA-2023-848524</t>
  </si>
  <si>
    <t>HU-52978</t>
  </si>
  <si>
    <t>Leah Carlson</t>
  </si>
  <si>
    <t>Level Machines</t>
  </si>
  <si>
    <t>FL-2023-438590</t>
  </si>
  <si>
    <t>LN-67668</t>
  </si>
  <si>
    <t>Amber Mclaughlin</t>
  </si>
  <si>
    <t>FUR-TA-26643</t>
  </si>
  <si>
    <t>Challenge Tables</t>
  </si>
  <si>
    <t>PA-2023-209755</t>
  </si>
  <si>
    <t>RN-73359</t>
  </si>
  <si>
    <t>TEC-PH-29973</t>
  </si>
  <si>
    <t>Statement Phones</t>
  </si>
  <si>
    <t>TX-2023-711088</t>
  </si>
  <si>
    <t>WN-28628</t>
  </si>
  <si>
    <t>Corey Page</t>
  </si>
  <si>
    <t>TEC-CO-92255</t>
  </si>
  <si>
    <t>Next Copiers</t>
  </si>
  <si>
    <t>OH-2024-412646</t>
  </si>
  <si>
    <t>WG-27657</t>
  </si>
  <si>
    <t>Tiffany Cunningham</t>
  </si>
  <si>
    <t>OFF-PA-38656</t>
  </si>
  <si>
    <t>Some Paper</t>
  </si>
  <si>
    <t>NY-2024-344864</t>
  </si>
  <si>
    <t>AV-14947</t>
  </si>
  <si>
    <t>Elizabeth Gonzalez</t>
  </si>
  <si>
    <t>TEC-PH-53440</t>
  </si>
  <si>
    <t>Evening Phones</t>
  </si>
  <si>
    <t>PA-2024-663655</t>
  </si>
  <si>
    <t>CE-13141</t>
  </si>
  <si>
    <t>Kenneth Delgado</t>
  </si>
  <si>
    <t>FUR-TA-48225</t>
  </si>
  <si>
    <t>Thought Tables</t>
  </si>
  <si>
    <t>MI-2024-876705</t>
  </si>
  <si>
    <t>AA-10385</t>
  </si>
  <si>
    <t>Daniel Watson</t>
  </si>
  <si>
    <t>FUR-CH-31703</t>
  </si>
  <si>
    <t>Yourself Chairs</t>
  </si>
  <si>
    <t>IL-2024-505383</t>
  </si>
  <si>
    <t>SQ-73812</t>
  </si>
  <si>
    <t>Roy Mann</t>
  </si>
  <si>
    <t>OFF-LA-26837</t>
  </si>
  <si>
    <t>Popular Labels</t>
  </si>
  <si>
    <t>PA-2023-703075</t>
  </si>
  <si>
    <t>OI-83115</t>
  </si>
  <si>
    <t>Peter Williams</t>
  </si>
  <si>
    <t>OFF-PA-69299</t>
  </si>
  <si>
    <t>Else Paper</t>
  </si>
  <si>
    <t>IL-2023-950717</t>
  </si>
  <si>
    <t>KW-99135</t>
  </si>
  <si>
    <t>Amanda Kane</t>
  </si>
  <si>
    <t>FUR-TA-90441</t>
  </si>
  <si>
    <t>State Tables</t>
  </si>
  <si>
    <t>CA-2023-597395</t>
  </si>
  <si>
    <t>EB-29624</t>
  </si>
  <si>
    <t>Stephanie Williams</t>
  </si>
  <si>
    <t>OFF-ST-62901</t>
  </si>
  <si>
    <t>Study Storage</t>
  </si>
  <si>
    <t>OH-2024-246918</t>
  </si>
  <si>
    <t>GS-42287</t>
  </si>
  <si>
    <t>Steven Porter</t>
  </si>
  <si>
    <t>FUR-FU-38597</t>
  </si>
  <si>
    <t>Call Furnishings</t>
  </si>
  <si>
    <t>MI-2024-493875</t>
  </si>
  <si>
    <t>LW-13450</t>
  </si>
  <si>
    <t>Brandon Valencia</t>
  </si>
  <si>
    <t>TEC-CO-10325</t>
  </si>
  <si>
    <t>Page Copiers</t>
  </si>
  <si>
    <t>IL-2024-604481</t>
  </si>
  <si>
    <t>HH-49412</t>
  </si>
  <si>
    <t>Janet Obrien</t>
  </si>
  <si>
    <t>FUR-CH-18664</t>
  </si>
  <si>
    <t>Inside Chairs</t>
  </si>
  <si>
    <t>TX-2023-373378</t>
  </si>
  <si>
    <t>OY-38004</t>
  </si>
  <si>
    <t>Victoria Guerra</t>
  </si>
  <si>
    <t>FUR-BO-47947</t>
  </si>
  <si>
    <t>Energy Bookcases</t>
  </si>
  <si>
    <t>CA-2023-204758</t>
  </si>
  <si>
    <t>NE-37017</t>
  </si>
  <si>
    <t>John Hart IV</t>
  </si>
  <si>
    <t>FUR-TA-22071</t>
  </si>
  <si>
    <t>Involve Tables</t>
  </si>
  <si>
    <t>MI-2023-147539</t>
  </si>
  <si>
    <t>FE-49477</t>
  </si>
  <si>
    <t>Jeanette Casey</t>
  </si>
  <si>
    <t>OFF-PA-16930</t>
  </si>
  <si>
    <t>City Paper</t>
  </si>
  <si>
    <t>IL-2023-841058</t>
  </si>
  <si>
    <t>YZ-16919</t>
  </si>
  <si>
    <t>Melissa Lee</t>
  </si>
  <si>
    <t>FUR-BO-34250</t>
  </si>
  <si>
    <t>Kind Bookcases</t>
  </si>
  <si>
    <t>IL-2023-200493</t>
  </si>
  <si>
    <t>Stephanie Huffman</t>
  </si>
  <si>
    <t>FUR-BO-51292</t>
  </si>
  <si>
    <t>Thousand Bookcases</t>
  </si>
  <si>
    <t>NY-2023-242274</t>
  </si>
  <si>
    <t>SW-51879</t>
  </si>
  <si>
    <t>TEC-AC-34142</t>
  </si>
  <si>
    <t>North Accessories</t>
  </si>
  <si>
    <t>FL-2024-660133</t>
  </si>
  <si>
    <t>PG-35223</t>
  </si>
  <si>
    <t>Stuart Cortez</t>
  </si>
  <si>
    <t>TEC-AC-57660</t>
  </si>
  <si>
    <t>Plant Accessories</t>
  </si>
  <si>
    <t>NY-2023-419059</t>
  </si>
  <si>
    <t>UQ-49052</t>
  </si>
  <si>
    <t>Nicholas Perez</t>
  </si>
  <si>
    <t>OFF-PA-10652</t>
  </si>
  <si>
    <t>Near Paper</t>
  </si>
  <si>
    <t>MI-2024-755467</t>
  </si>
  <si>
    <t>QK-91504</t>
  </si>
  <si>
    <t>Tracy Campbell</t>
  </si>
  <si>
    <t>FUR-TA-63053</t>
  </si>
  <si>
    <t>Defense Tables</t>
  </si>
  <si>
    <t>MI-2024-265366</t>
  </si>
  <si>
    <t>WM-64590</t>
  </si>
  <si>
    <t>Seth Allison</t>
  </si>
  <si>
    <t>FUR-TA-71961</t>
  </si>
  <si>
    <t>Four Tables</t>
  </si>
  <si>
    <t>OH-2024-854638</t>
  </si>
  <si>
    <t>OO-37312</t>
  </si>
  <si>
    <t>Richard Rios</t>
  </si>
  <si>
    <t>TEC-MA-26683</t>
  </si>
  <si>
    <t>Together Machines</t>
  </si>
  <si>
    <t>NY-2024-208273</t>
  </si>
  <si>
    <t>PZ-94011</t>
  </si>
  <si>
    <t>Joseph Robles</t>
  </si>
  <si>
    <t>TEC-MA-35757</t>
  </si>
  <si>
    <t>Sing Machines</t>
  </si>
  <si>
    <t>CA-2024-922914</t>
  </si>
  <si>
    <t>DT-84122</t>
  </si>
  <si>
    <t>Patrick Gillespie</t>
  </si>
  <si>
    <t>TEC-AC-90728</t>
  </si>
  <si>
    <t>Establish Accessories</t>
  </si>
  <si>
    <t>FL-2024-192677</t>
  </si>
  <si>
    <t>XI-37291</t>
  </si>
  <si>
    <t>Joshua Brown</t>
  </si>
  <si>
    <t>FUR-FU-17724</t>
  </si>
  <si>
    <t>Push Furnishings</t>
  </si>
  <si>
    <t>NY-2024-867469</t>
  </si>
  <si>
    <t>PX-27277</t>
  </si>
  <si>
    <t>James Lawson</t>
  </si>
  <si>
    <t>OFF-PA-35750</t>
  </si>
  <si>
    <t>Poor Paper</t>
  </si>
  <si>
    <t>IL-2024-887116</t>
  </si>
  <si>
    <t>NV-70294</t>
  </si>
  <si>
    <t>Richard Hernandez</t>
  </si>
  <si>
    <t>TEC-CO-11487</t>
  </si>
  <si>
    <t>Voice Copiers</t>
  </si>
  <si>
    <t>IL-2024-192726</t>
  </si>
  <si>
    <t>HN-99381</t>
  </si>
  <si>
    <t>Michael Hale Jr.</t>
  </si>
  <si>
    <t>FUR-CH-53075</t>
  </si>
  <si>
    <t>What Chairs</t>
  </si>
  <si>
    <t>FL-2024-866909</t>
  </si>
  <si>
    <t>RF-40359</t>
  </si>
  <si>
    <t>OFF-BI-72421</t>
  </si>
  <si>
    <t>She Binders</t>
  </si>
  <si>
    <t>IL-2023-863751</t>
  </si>
  <si>
    <t>IH-88708</t>
  </si>
  <si>
    <t>Ms. Jennifer Maldonado</t>
  </si>
  <si>
    <t>FUR-BO-42905</t>
  </si>
  <si>
    <t>Agent Bookcases</t>
  </si>
  <si>
    <t>IL-2023-140530</t>
  </si>
  <si>
    <t>ZG-25606</t>
  </si>
  <si>
    <t>Scott Nunez</t>
  </si>
  <si>
    <t>TEC-PH-19483</t>
  </si>
  <si>
    <t>Star Phones</t>
  </si>
  <si>
    <t>IL-2024-263511</t>
  </si>
  <si>
    <t>UY-19789</t>
  </si>
  <si>
    <t>James Lewis</t>
  </si>
  <si>
    <t>FUR-FU-84117</t>
  </si>
  <si>
    <t>Must Furnishings</t>
  </si>
  <si>
    <t>TX-2023-929125</t>
  </si>
  <si>
    <t>Tara Smith</t>
  </si>
  <si>
    <t>TEC-CO-12126</t>
  </si>
  <si>
    <t>NY-2024-992426</t>
  </si>
  <si>
    <t>NY-19841</t>
  </si>
  <si>
    <t>Jessica Davis</t>
  </si>
  <si>
    <t>FUR-FU-72447</t>
  </si>
  <si>
    <t>Choose Furnishings</t>
  </si>
  <si>
    <t>MI-2024-744524</t>
  </si>
  <si>
    <t>YA-85706</t>
  </si>
  <si>
    <t>Ann Powell</t>
  </si>
  <si>
    <t>FUR-CH-94071</t>
  </si>
  <si>
    <t>Month Chairs</t>
  </si>
  <si>
    <t>OH-2023-507409</t>
  </si>
  <si>
    <t>QD-54188</t>
  </si>
  <si>
    <t>Sherry Page</t>
  </si>
  <si>
    <t>OFF-BI-95981</t>
  </si>
  <si>
    <t>Later Binders</t>
  </si>
  <si>
    <t>IL-2024-546608</t>
  </si>
  <si>
    <t>WN-17648</t>
  </si>
  <si>
    <t>Ronald Compton</t>
  </si>
  <si>
    <t>OFF-LA-87443</t>
  </si>
  <si>
    <t>NY-2024-769150</t>
  </si>
  <si>
    <t>QO-62980</t>
  </si>
  <si>
    <t>Steve Cherry</t>
  </si>
  <si>
    <t>TEC-CO-63096</t>
  </si>
  <si>
    <t>Newspaper Copiers</t>
  </si>
  <si>
    <t>FL-2023-958166</t>
  </si>
  <si>
    <t>QN-44167</t>
  </si>
  <si>
    <t>Joyce Newman</t>
  </si>
  <si>
    <t>TEC-MA-23448</t>
  </si>
  <si>
    <t>Much Machines</t>
  </si>
  <si>
    <t>NY-2023-594626</t>
  </si>
  <si>
    <t>FC-25953</t>
  </si>
  <si>
    <t>Michael Ramos</t>
  </si>
  <si>
    <t>TEC-AC-28350</t>
  </si>
  <si>
    <t>Show Accessories</t>
  </si>
  <si>
    <t>PA-2024-133501</t>
  </si>
  <si>
    <t>RJ-82645</t>
  </si>
  <si>
    <t>Joseph Carney</t>
  </si>
  <si>
    <t>OFF-AR-25181</t>
  </si>
  <si>
    <t>Dinner Art</t>
  </si>
  <si>
    <t>MI-2023-272734</t>
  </si>
  <si>
    <t>GH-25421</t>
  </si>
  <si>
    <t>Mrs. Elizabeth Costa</t>
  </si>
  <si>
    <t>TEC-CO-74143</t>
  </si>
  <si>
    <t>TX-2024-846895</t>
  </si>
  <si>
    <t>PX-90381</t>
  </si>
  <si>
    <t>David Wade</t>
  </si>
  <si>
    <t>FUR-BO-95955</t>
  </si>
  <si>
    <t>Newspaper Bookcases</t>
  </si>
  <si>
    <t>FL-2023-504253</t>
  </si>
  <si>
    <t>DQ-98301</t>
  </si>
  <si>
    <t>Joseph Johnson</t>
  </si>
  <si>
    <t>OFF-AR-86701</t>
  </si>
  <si>
    <t>Name Art</t>
  </si>
  <si>
    <t>OH-2023-434429</t>
  </si>
  <si>
    <t>MX-74616</t>
  </si>
  <si>
    <t>Karen Brewer</t>
  </si>
  <si>
    <t>TEC-CO-12733</t>
  </si>
  <si>
    <t>Knowledge Copiers</t>
  </si>
  <si>
    <t>PA-2023-645072</t>
  </si>
  <si>
    <t>QL-16353</t>
  </si>
  <si>
    <t>Michele Nelson</t>
  </si>
  <si>
    <t>OFF-PA-70253</t>
  </si>
  <si>
    <t>Finish Paper</t>
  </si>
  <si>
    <t>TX-2024-716296</t>
  </si>
  <si>
    <t>BA-93233</t>
  </si>
  <si>
    <t>Joshua Page</t>
  </si>
  <si>
    <t>TEC-CO-35487</t>
  </si>
  <si>
    <t>Other Copiers</t>
  </si>
  <si>
    <t>NY-2024-941699</t>
  </si>
  <si>
    <t>KG-41508</t>
  </si>
  <si>
    <t>Justin Phillips</t>
  </si>
  <si>
    <t>FUR-TA-32820</t>
  </si>
  <si>
    <t>Performance Tables</t>
  </si>
  <si>
    <t>OH-2023-443543</t>
  </si>
  <si>
    <t>FK-86671</t>
  </si>
  <si>
    <t>Mark Taylor</t>
  </si>
  <si>
    <t>OFF-BI-75403</t>
  </si>
  <si>
    <t>Gas Binders</t>
  </si>
  <si>
    <t>PA-2024-476267</t>
  </si>
  <si>
    <t>RJ-93890</t>
  </si>
  <si>
    <t>Beth Mccoy</t>
  </si>
  <si>
    <t>FUR-FU-39669</t>
  </si>
  <si>
    <t>Environment Furnishings</t>
  </si>
  <si>
    <t>IL-2023-729395</t>
  </si>
  <si>
    <t>SR-21404</t>
  </si>
  <si>
    <t>Michelle Aguilar</t>
  </si>
  <si>
    <t>OFF-AR-33177</t>
  </si>
  <si>
    <t>Capital Art</t>
  </si>
  <si>
    <t>NY-2024-888030</t>
  </si>
  <si>
    <t>CP-86856</t>
  </si>
  <si>
    <t>Jennifer Campbell</t>
  </si>
  <si>
    <t>TEC-PH-49592</t>
  </si>
  <si>
    <t>Half Phones</t>
  </si>
  <si>
    <t>PA-2023-613182</t>
  </si>
  <si>
    <t>UQ-17619</t>
  </si>
  <si>
    <t>Todd Thomas</t>
  </si>
  <si>
    <t>FUR-CH-86253</t>
  </si>
  <si>
    <t>Beat Chairs</t>
  </si>
  <si>
    <t>PA-2024-728833</t>
  </si>
  <si>
    <t>GJ-39740</t>
  </si>
  <si>
    <t>Craig Perez</t>
  </si>
  <si>
    <t>OFF-ST-38468</t>
  </si>
  <si>
    <t>Especially Storage</t>
  </si>
  <si>
    <t>IL-2024-869567</t>
  </si>
  <si>
    <t>YS-25501</t>
  </si>
  <si>
    <t>Timothy Griffin</t>
  </si>
  <si>
    <t>OFF-ST-35665</t>
  </si>
  <si>
    <t>Test Storage</t>
  </si>
  <si>
    <t>MI-2024-170146</t>
  </si>
  <si>
    <t>TL-94935</t>
  </si>
  <si>
    <t>Angela Turner</t>
  </si>
  <si>
    <t>OFF-AR-17201</t>
  </si>
  <si>
    <t>CA-2024-759763</t>
  </si>
  <si>
    <t>XG-53948</t>
  </si>
  <si>
    <t>Tina Fowler</t>
  </si>
  <si>
    <t>FUR-CH-36007</t>
  </si>
  <si>
    <t>Floor Chairs</t>
  </si>
  <si>
    <t>PA-2024-331389</t>
  </si>
  <si>
    <t>DT-29952</t>
  </si>
  <si>
    <t>Deborah Rodgers</t>
  </si>
  <si>
    <t>OFF-BI-12827</t>
  </si>
  <si>
    <t>Sense Binders</t>
  </si>
  <si>
    <t>TX-2023-250157</t>
  </si>
  <si>
    <t>EJ-59805</t>
  </si>
  <si>
    <t>Angela King</t>
  </si>
  <si>
    <t>FUR-CH-72750</t>
  </si>
  <si>
    <t>Moment Chairs</t>
  </si>
  <si>
    <t>PA-2023-649236</t>
  </si>
  <si>
    <t>DY-46017</t>
  </si>
  <si>
    <t>Matthew Guerra</t>
  </si>
  <si>
    <t>FUR-FU-56281</t>
  </si>
  <si>
    <t>Key Furnishings</t>
  </si>
  <si>
    <t>MI-2023-393234</t>
  </si>
  <si>
    <t>UH-74095</t>
  </si>
  <si>
    <t>Maria Bennett</t>
  </si>
  <si>
    <t>TEC-MA-51158</t>
  </si>
  <si>
    <t>IL-2024-970801</t>
  </si>
  <si>
    <t>PW-91982</t>
  </si>
  <si>
    <t>Patricia Brown</t>
  </si>
  <si>
    <t>OFF-LA-64168</t>
  </si>
  <si>
    <t>Too Labels</t>
  </si>
  <si>
    <t>NY-2024-538190</t>
  </si>
  <si>
    <t>WD-12855</t>
  </si>
  <si>
    <t>Melissa Crawford</t>
  </si>
  <si>
    <t>OFF-AR-38247</t>
  </si>
  <si>
    <t>FL-2024-617396</t>
  </si>
  <si>
    <t>VP-55205</t>
  </si>
  <si>
    <t>Chad Evans</t>
  </si>
  <si>
    <t>TEC-MA-27949</t>
  </si>
  <si>
    <t>NY-2023-302446</t>
  </si>
  <si>
    <t>CK-84368</t>
  </si>
  <si>
    <t>Nancy Wiggins</t>
  </si>
  <si>
    <t>Respond Copiers</t>
  </si>
  <si>
    <t>OH-2023-104555</t>
  </si>
  <si>
    <t>FF-13547</t>
  </si>
  <si>
    <t>Christopher Burton</t>
  </si>
  <si>
    <t>TEC-CO-75978</t>
  </si>
  <si>
    <t>Cultural Copiers</t>
  </si>
  <si>
    <t>OH-2023-928357</t>
  </si>
  <si>
    <t>MJ-93641</t>
  </si>
  <si>
    <t>Amy Nelson</t>
  </si>
  <si>
    <t>TEC-AC-59963</t>
  </si>
  <si>
    <t>His Accessories</t>
  </si>
  <si>
    <t>OH-2024-695863</t>
  </si>
  <si>
    <t>QB-44282</t>
  </si>
  <si>
    <t>Joseph Anthony</t>
  </si>
  <si>
    <t>OFF-LA-83914</t>
  </si>
  <si>
    <t>Rate Labels</t>
  </si>
  <si>
    <t>PA-2023-667167</t>
  </si>
  <si>
    <t>MM-43460</t>
  </si>
  <si>
    <t>Julie King</t>
  </si>
  <si>
    <t>FUR-BO-46942</t>
  </si>
  <si>
    <t>Rock Bookcases</t>
  </si>
  <si>
    <t>TX-2024-640070</t>
  </si>
  <si>
    <t>OO-51906</t>
  </si>
  <si>
    <t>Deborah Payne</t>
  </si>
  <si>
    <t>TEC-PH-35832</t>
  </si>
  <si>
    <t>Hair Phones</t>
  </si>
  <si>
    <t>IL-2023-195641</t>
  </si>
  <si>
    <t>XW-63057</t>
  </si>
  <si>
    <t>Anne Thompson</t>
  </si>
  <si>
    <t>TEC-AC-73403</t>
  </si>
  <si>
    <t>Dog Accessories</t>
  </si>
  <si>
    <t>MI-2024-559843</t>
  </si>
  <si>
    <t>KL-30949</t>
  </si>
  <si>
    <t>Carly Powers</t>
  </si>
  <si>
    <t>FUR-FU-15463</t>
  </si>
  <si>
    <t>Receive Furnishings</t>
  </si>
  <si>
    <t>PA-2024-839863</t>
  </si>
  <si>
    <t>IE-57807</t>
  </si>
  <si>
    <t>Michael Howard</t>
  </si>
  <si>
    <t>FUR-CH-47000</t>
  </si>
  <si>
    <t>Admit Chairs</t>
  </si>
  <si>
    <t>IL-2024-548535</t>
  </si>
  <si>
    <t>SW-36528</t>
  </si>
  <si>
    <t>Brandon Kelley</t>
  </si>
  <si>
    <t>FUR-TA-36805</t>
  </si>
  <si>
    <t>Usually Tables</t>
  </si>
  <si>
    <t>CA-2023-435476</t>
  </si>
  <si>
    <t>CK-65898</t>
  </si>
  <si>
    <t>Amanda Crane</t>
  </si>
  <si>
    <t>FUR-BO-81351</t>
  </si>
  <si>
    <t>Rich Bookcases</t>
  </si>
  <si>
    <t>FL-2023-607280</t>
  </si>
  <si>
    <t>VG-25842</t>
  </si>
  <si>
    <t>Lauren Moss</t>
  </si>
  <si>
    <t>OFF-BI-51817</t>
  </si>
  <si>
    <t>Home Binders</t>
  </si>
  <si>
    <t>NY-2024-247652</t>
  </si>
  <si>
    <t>ZG-38391</t>
  </si>
  <si>
    <t>FUR-TA-96330</t>
  </si>
  <si>
    <t>Believe Tables</t>
  </si>
  <si>
    <t>MI-2023-494472</t>
  </si>
  <si>
    <t>EP-62266</t>
  </si>
  <si>
    <t>Jeffrey Rowe</t>
  </si>
  <si>
    <t>OFF-PA-48796</t>
  </si>
  <si>
    <t>Hotel Paper</t>
  </si>
  <si>
    <t>IL-2023-807226</t>
  </si>
  <si>
    <t>TI-70148</t>
  </si>
  <si>
    <t>Calvin Chapman</t>
  </si>
  <si>
    <t>FUR-CH-26670</t>
  </si>
  <si>
    <t>Culture Chairs</t>
  </si>
  <si>
    <t>FL-2024-152500</t>
  </si>
  <si>
    <t>VI-20828</t>
  </si>
  <si>
    <t>Christopher Berry</t>
  </si>
  <si>
    <t>FUR-BO-15748</t>
  </si>
  <si>
    <t>Value Bookcases</t>
  </si>
  <si>
    <t>MI-2024-726915</t>
  </si>
  <si>
    <t>EL-51765</t>
  </si>
  <si>
    <t>Linda Henry</t>
  </si>
  <si>
    <t>TEC-AC-56944</t>
  </si>
  <si>
    <t>Scientist Accessories</t>
  </si>
  <si>
    <t>OH-2024-994502</t>
  </si>
  <si>
    <t>QO-13007</t>
  </si>
  <si>
    <t>Sandra Church</t>
  </si>
  <si>
    <t>FUR-FU-28180</t>
  </si>
  <si>
    <t>Month Furnishings</t>
  </si>
  <si>
    <t>NY-2024-802347</t>
  </si>
  <si>
    <t>VB-14506</t>
  </si>
  <si>
    <t>Michael Joyce</t>
  </si>
  <si>
    <t>TEC-AC-12725</t>
  </si>
  <si>
    <t>Federal Accessories</t>
  </si>
  <si>
    <t>FL-2023-619577</t>
  </si>
  <si>
    <t>CQ-94536</t>
  </si>
  <si>
    <t>Alexandria Villanueva</t>
  </si>
  <si>
    <t>TEC-AC-40732</t>
  </si>
  <si>
    <t>Of Accessories</t>
  </si>
  <si>
    <t>CA-2023-651890</t>
  </si>
  <si>
    <t>JT-10465</t>
  </si>
  <si>
    <t>Michelle White</t>
  </si>
  <si>
    <t>TEC-PH-32739</t>
  </si>
  <si>
    <t>Continue Phones</t>
  </si>
  <si>
    <t>FL-2023-375263</t>
  </si>
  <si>
    <t>VN-65665</t>
  </si>
  <si>
    <t>Joshua Brennan</t>
  </si>
  <si>
    <t>FUR-FU-61630</t>
  </si>
  <si>
    <t>Trip Furnishings</t>
  </si>
  <si>
    <t>IL-2024-831284</t>
  </si>
  <si>
    <t>TX-38873</t>
  </si>
  <si>
    <t>Luis Crosby</t>
  </si>
  <si>
    <t>FUR-BO-55724</t>
  </si>
  <si>
    <t>Politics Bookcases</t>
  </si>
  <si>
    <t>TX-2023-883282</t>
  </si>
  <si>
    <t>OA-72176</t>
  </si>
  <si>
    <t>Tiffany Shea</t>
  </si>
  <si>
    <t>TEC-CO-94887</t>
  </si>
  <si>
    <t>Member Copiers</t>
  </si>
  <si>
    <t>FL-2024-347660</t>
  </si>
  <si>
    <t>BM-21505</t>
  </si>
  <si>
    <t>April Simpson</t>
  </si>
  <si>
    <t>TEC-MA-93870</t>
  </si>
  <si>
    <t>Story Machines</t>
  </si>
  <si>
    <t>FL-2024-774843</t>
  </si>
  <si>
    <t>KK-32152</t>
  </si>
  <si>
    <t>Ralph Love MD</t>
  </si>
  <si>
    <t>TEC-PH-70791</t>
  </si>
  <si>
    <t>Theory Phones</t>
  </si>
  <si>
    <t>PA-2024-498649</t>
  </si>
  <si>
    <t>RF-79756</t>
  </si>
  <si>
    <t>Brittany Frazier</t>
  </si>
  <si>
    <t>OFF-LA-19494</t>
  </si>
  <si>
    <t>Prepare Labels</t>
  </si>
  <si>
    <t>NY-2024-515741</t>
  </si>
  <si>
    <t>ZL-94972</t>
  </si>
  <si>
    <t>Susan Friedman</t>
  </si>
  <si>
    <t>OFF-AR-66168</t>
  </si>
  <si>
    <t>Song Art</t>
  </si>
  <si>
    <t>MI-2024-770514</t>
  </si>
  <si>
    <t>SA-28519</t>
  </si>
  <si>
    <t>Joshua Ford</t>
  </si>
  <si>
    <t>FUR-BO-26186</t>
  </si>
  <si>
    <t>Table Bookcases</t>
  </si>
  <si>
    <t>CA-2024-793703</t>
  </si>
  <si>
    <t>RR-39761</t>
  </si>
  <si>
    <t>Wendy Joyce</t>
  </si>
  <si>
    <t>IL-2023-503591</t>
  </si>
  <si>
    <t>XX-57642</t>
  </si>
  <si>
    <t>Andre Velasquez</t>
  </si>
  <si>
    <t>OFF-ST-13261</t>
  </si>
  <si>
    <t>PA-2024-811237</t>
  </si>
  <si>
    <t>ED-81139</t>
  </si>
  <si>
    <t>John Williams</t>
  </si>
  <si>
    <t>FUR-TA-94664</t>
  </si>
  <si>
    <t>Most Tables</t>
  </si>
  <si>
    <t>OH-2024-639086</t>
  </si>
  <si>
    <t>BY-48885</t>
  </si>
  <si>
    <t>Kayla Parker</t>
  </si>
  <si>
    <t>TEC-AC-96684</t>
  </si>
  <si>
    <t>Magazine Accessories</t>
  </si>
  <si>
    <t>PA-2023-261750</t>
  </si>
  <si>
    <t>CT-57830</t>
  </si>
  <si>
    <t>Emily Jordan</t>
  </si>
  <si>
    <t>OFF-LA-76570</t>
  </si>
  <si>
    <t>Since Labels</t>
  </si>
  <si>
    <t>IL-2023-864202</t>
  </si>
  <si>
    <t>OF-56665</t>
  </si>
  <si>
    <t>Robert Coffey</t>
  </si>
  <si>
    <t>TEC-CO-51828</t>
  </si>
  <si>
    <t>Visit Copiers</t>
  </si>
  <si>
    <t>NY-2023-694694</t>
  </si>
  <si>
    <t>PT-39789</t>
  </si>
  <si>
    <t>Linda Gonzalez</t>
  </si>
  <si>
    <t>OFF-BI-87370</t>
  </si>
  <si>
    <t>Part Binders</t>
  </si>
  <si>
    <t>NY-2023-414465</t>
  </si>
  <si>
    <t>WQ-50848</t>
  </si>
  <si>
    <t>Kristin Perez</t>
  </si>
  <si>
    <t>OFF-BI-18484</t>
  </si>
  <si>
    <t>Crime Binders</t>
  </si>
  <si>
    <t>PA-2023-182490</t>
  </si>
  <si>
    <t>ZC-96090</t>
  </si>
  <si>
    <t>Harry Herrera</t>
  </si>
  <si>
    <t>TEC-PH-46014</t>
  </si>
  <si>
    <t>Treat Phones</t>
  </si>
  <si>
    <t>PA-2023-825510</t>
  </si>
  <si>
    <t>IW-39287</t>
  </si>
  <si>
    <t>Phyllis Duffy</t>
  </si>
  <si>
    <t>FUR-TA-55686</t>
  </si>
  <si>
    <t>Grow Tables</t>
  </si>
  <si>
    <t>TX-2023-599789</t>
  </si>
  <si>
    <t>LX-99687</t>
  </si>
  <si>
    <t>Renee Collins</t>
  </si>
  <si>
    <t>TEC-MA-14096</t>
  </si>
  <si>
    <t>Trade Machines</t>
  </si>
  <si>
    <t>NY-2023-800239</t>
  </si>
  <si>
    <t>BP-31860</t>
  </si>
  <si>
    <t>Brandi Rivas</t>
  </si>
  <si>
    <t>OFF-LA-32780</t>
  </si>
  <si>
    <t>Million Labels</t>
  </si>
  <si>
    <t>CA-2024-698757</t>
  </si>
  <si>
    <t>RY-12644</t>
  </si>
  <si>
    <t>John Garcia</t>
  </si>
  <si>
    <t>TEC-CO-19667</t>
  </si>
  <si>
    <t>Wonder Copiers</t>
  </si>
  <si>
    <t>OH-2024-338618</t>
  </si>
  <si>
    <t>NG-40035</t>
  </si>
  <si>
    <t>Krystal Jacobs</t>
  </si>
  <si>
    <t>TEC-PH-50445</t>
  </si>
  <si>
    <t>Field Phones</t>
  </si>
  <si>
    <t>NY-2023-923586</t>
  </si>
  <si>
    <t>NN-27368</t>
  </si>
  <si>
    <t>Monica Walsh</t>
  </si>
  <si>
    <t>OFF-ST-67876</t>
  </si>
  <si>
    <t>Mission Storage</t>
  </si>
  <si>
    <t>TX-2023-778320</t>
  </si>
  <si>
    <t>CB-39494</t>
  </si>
  <si>
    <t>Zachary Hatfield</t>
  </si>
  <si>
    <t>FUR-CH-97093</t>
  </si>
  <si>
    <t>Suffer Chairs</t>
  </si>
  <si>
    <t>MI-2023-508763</t>
  </si>
  <si>
    <t>HP-31197</t>
  </si>
  <si>
    <t>Melanie Flores</t>
  </si>
  <si>
    <t>FUR-FU-28514</t>
  </si>
  <si>
    <t>Resource Furnishings</t>
  </si>
  <si>
    <t>TX-2024-564155</t>
  </si>
  <si>
    <t>YR-73444</t>
  </si>
  <si>
    <t>Kelly Maxwell</t>
  </si>
  <si>
    <t>FUR-TA-27944</t>
  </si>
  <si>
    <t>Deal Tables</t>
  </si>
  <si>
    <t>FL-2023-366648</t>
  </si>
  <si>
    <t>DP-33275</t>
  </si>
  <si>
    <t>Philip Wood</t>
  </si>
  <si>
    <t>FUR-FU-78254</t>
  </si>
  <si>
    <t>Fight Furnishings</t>
  </si>
  <si>
    <t>OH-2024-898210</t>
  </si>
  <si>
    <t>GR-45677</t>
  </si>
  <si>
    <t>Steven Smith</t>
  </si>
  <si>
    <t>TEC-AC-45801</t>
  </si>
  <si>
    <t>Any Accessories</t>
  </si>
  <si>
    <t>TX-2023-970427</t>
  </si>
  <si>
    <t>OB-16352</t>
  </si>
  <si>
    <t>Scott Foster</t>
  </si>
  <si>
    <t>Play Chairs</t>
  </si>
  <si>
    <t>NY-2023-908397</t>
  </si>
  <si>
    <t>YF-78546</t>
  </si>
  <si>
    <t>Mrs. Anne Barnett MD</t>
  </si>
  <si>
    <t>TEC-MA-39132</t>
  </si>
  <si>
    <t>Forward Machines</t>
  </si>
  <si>
    <t>CA-2024-885473</t>
  </si>
  <si>
    <t>QX-73195</t>
  </si>
  <si>
    <t>Laurie Miller</t>
  </si>
  <si>
    <t>FUR-BO-13032</t>
  </si>
  <si>
    <t>Experience Bookcases</t>
  </si>
  <si>
    <t>PA-2023-933047</t>
  </si>
  <si>
    <t>SD-70132</t>
  </si>
  <si>
    <t>Robert Gay</t>
  </si>
  <si>
    <t>TEC-CO-20607</t>
  </si>
  <si>
    <t>Box Copiers</t>
  </si>
  <si>
    <t>OH-2024-454871</t>
  </si>
  <si>
    <t>FK-66070</t>
  </si>
  <si>
    <t>Kimberly Salazar</t>
  </si>
  <si>
    <t>FUR-CH-67565</t>
  </si>
  <si>
    <t>Song Chairs</t>
  </si>
  <si>
    <t>OH-2024-670323</t>
  </si>
  <si>
    <t>BJ-74804</t>
  </si>
  <si>
    <t>Amy Gonzales</t>
  </si>
  <si>
    <t>OFF-LA-35637</t>
  </si>
  <si>
    <t>Adult Labels</t>
  </si>
  <si>
    <t>IL-2024-172191</t>
  </si>
  <si>
    <t>CH-33056</t>
  </si>
  <si>
    <t>OFF-BI-38627</t>
  </si>
  <si>
    <t>Others Binders</t>
  </si>
  <si>
    <t>FL-2023-730157</t>
  </si>
  <si>
    <t>OW-64481</t>
  </si>
  <si>
    <t>Adam Ayala</t>
  </si>
  <si>
    <t>OFF-LA-42801</t>
  </si>
  <si>
    <t>Finish Labels</t>
  </si>
  <si>
    <t>FL-2023-129681</t>
  </si>
  <si>
    <t>TT-99510</t>
  </si>
  <si>
    <t>Kristin Rodriguez</t>
  </si>
  <si>
    <t>TEC-AC-62633</t>
  </si>
  <si>
    <t>Gas Accessories</t>
  </si>
  <si>
    <t>NY-2024-160451</t>
  </si>
  <si>
    <t>UE-18442</t>
  </si>
  <si>
    <t>Chris Allen</t>
  </si>
  <si>
    <t>OFF-LA-59429</t>
  </si>
  <si>
    <t>TX-2023-568031</t>
  </si>
  <si>
    <t>KF-53865</t>
  </si>
  <si>
    <t>Willie Porter</t>
  </si>
  <si>
    <t>OFF-AR-90323</t>
  </si>
  <si>
    <t>Themselves Art</t>
  </si>
  <si>
    <t>NY-2023-614150</t>
  </si>
  <si>
    <t>LK-54007</t>
  </si>
  <si>
    <t>Beverly Deleon</t>
  </si>
  <si>
    <t>Artist Art</t>
  </si>
  <si>
    <t>PA-2024-355070</t>
  </si>
  <si>
    <t>AD-32041</t>
  </si>
  <si>
    <t>Paul Williams DVM</t>
  </si>
  <si>
    <t>OFF-ST-56189</t>
  </si>
  <si>
    <t>Would Storage</t>
  </si>
  <si>
    <t>FL-2023-511003</t>
  </si>
  <si>
    <t>WE-37155</t>
  </si>
  <si>
    <t>Steven Garrett</t>
  </si>
  <si>
    <t>FUR-FU-20074</t>
  </si>
  <si>
    <t>Provide Furnishings</t>
  </si>
  <si>
    <t>TX-2023-180616</t>
  </si>
  <si>
    <t>UV-85811</t>
  </si>
  <si>
    <t>Richard White</t>
  </si>
  <si>
    <t>FUR-TA-88912</t>
  </si>
  <si>
    <t>Security Tables</t>
  </si>
  <si>
    <t>OH-2023-813118</t>
  </si>
  <si>
    <t>KG-38551</t>
  </si>
  <si>
    <t>Heather Ferguson</t>
  </si>
  <si>
    <t>TEC-AC-29070</t>
  </si>
  <si>
    <t>IL-2024-541420</t>
  </si>
  <si>
    <t>XQ-63191</t>
  </si>
  <si>
    <t>James Johnson</t>
  </si>
  <si>
    <t>FUR-FU-40575</t>
  </si>
  <si>
    <t>National Furnishings</t>
  </si>
  <si>
    <t>CA-2023-109098</t>
  </si>
  <si>
    <t>BH-91495</t>
  </si>
  <si>
    <t>Jose Small</t>
  </si>
  <si>
    <t>TEC-MA-96717</t>
  </si>
  <si>
    <t>Buy Machines</t>
  </si>
  <si>
    <t>TX-2024-606939</t>
  </si>
  <si>
    <t>PJ-62489</t>
  </si>
  <si>
    <t>Adam Miller</t>
  </si>
  <si>
    <t>FUR-BO-37026</t>
  </si>
  <si>
    <t>Pay Bookcases</t>
  </si>
  <si>
    <t>CA-2023-420476</t>
  </si>
  <si>
    <t>NM-45438</t>
  </si>
  <si>
    <t>Timothy Wilson</t>
  </si>
  <si>
    <t>TEC-AC-18038</t>
  </si>
  <si>
    <t>And Accessories</t>
  </si>
  <si>
    <t>IL-2024-276366</t>
  </si>
  <si>
    <t>ZS-97739</t>
  </si>
  <si>
    <t>Michael Anderson</t>
  </si>
  <si>
    <t>FUR-CH-46636</t>
  </si>
  <si>
    <t>After Chairs</t>
  </si>
  <si>
    <t>OH-2023-452702</t>
  </si>
  <si>
    <t>IK-23506</t>
  </si>
  <si>
    <t>Jessica Jones</t>
  </si>
  <si>
    <t>OFF-ST-35218</t>
  </si>
  <si>
    <t>Threat Storage</t>
  </si>
  <si>
    <t>CA-2023-504271</t>
  </si>
  <si>
    <t>DA-94279</t>
  </si>
  <si>
    <t>Sabrina Mcbride</t>
  </si>
  <si>
    <t>OFF-PA-51880</t>
  </si>
  <si>
    <t>Hair Paper</t>
  </si>
  <si>
    <t>OH-2023-913031</t>
  </si>
  <si>
    <t>XQ-40371</t>
  </si>
  <si>
    <t>Mr. Michael Johnson</t>
  </si>
  <si>
    <t>OFF-LA-84538</t>
  </si>
  <si>
    <t>IL-2023-408340</t>
  </si>
  <si>
    <t>VW-77159</t>
  </si>
  <si>
    <t>Ian Fisher</t>
  </si>
  <si>
    <t>FUR-TA-63754</t>
  </si>
  <si>
    <t>Save Tables</t>
  </si>
  <si>
    <t>OH-2024-742036</t>
  </si>
  <si>
    <t>OV-57444</t>
  </si>
  <si>
    <t>Miss Christine Arnold</t>
  </si>
  <si>
    <t>FUR-TA-42648</t>
  </si>
  <si>
    <t>Account Tables</t>
  </si>
  <si>
    <t>CA-2024-271011</t>
  </si>
  <si>
    <t>ZX-92779</t>
  </si>
  <si>
    <t>Mrs. Jennifer Whitaker</t>
  </si>
  <si>
    <t>FUR-FU-89305</t>
  </si>
  <si>
    <t>Young Furnishings</t>
  </si>
  <si>
    <t>FL-2023-139463</t>
  </si>
  <si>
    <t>MG-37822</t>
  </si>
  <si>
    <t>Eileen Thomas</t>
  </si>
  <si>
    <t>OFF-AR-94548</t>
  </si>
  <si>
    <t>Ok Art</t>
  </si>
  <si>
    <t>MI-2023-996653</t>
  </si>
  <si>
    <t>JS-44191</t>
  </si>
  <si>
    <t>Timothy Thompson</t>
  </si>
  <si>
    <t>OFF-LA-20589</t>
  </si>
  <si>
    <t>Security Labels</t>
  </si>
  <si>
    <t>OH-2024-863253</t>
  </si>
  <si>
    <t>PP-81148</t>
  </si>
  <si>
    <t>Vanessa Barnes</t>
  </si>
  <si>
    <t>TEC-MA-12621</t>
  </si>
  <si>
    <t>Every Machines</t>
  </si>
  <si>
    <t>PA-2024-703438</t>
  </si>
  <si>
    <t>VJ-12180</t>
  </si>
  <si>
    <t>Gregory Schultz</t>
  </si>
  <si>
    <t>OFF-PA-63546</t>
  </si>
  <si>
    <t>List Paper</t>
  </si>
  <si>
    <t>OH-2023-594538</t>
  </si>
  <si>
    <t>YS-49408</t>
  </si>
  <si>
    <t>Debra Wilson</t>
  </si>
  <si>
    <t>FUR-TA-17300</t>
  </si>
  <si>
    <t>Speech Tables</t>
  </si>
  <si>
    <t>TX-2024-897537</t>
  </si>
  <si>
    <t>AB-63373</t>
  </si>
  <si>
    <t>Sherry Miller</t>
  </si>
  <si>
    <t>FUR-FU-35672</t>
  </si>
  <si>
    <t>PA-2023-945689</t>
  </si>
  <si>
    <t>DI-29323</t>
  </si>
  <si>
    <t>Amy Snow</t>
  </si>
  <si>
    <t>OFF-PA-55911</t>
  </si>
  <si>
    <t>Clear Paper</t>
  </si>
  <si>
    <t>IL-2023-759415</t>
  </si>
  <si>
    <t>PM-40491</t>
  </si>
  <si>
    <t>Lisa Hughes</t>
  </si>
  <si>
    <t>TEC-PH-98377</t>
  </si>
  <si>
    <t>Throughout Phones</t>
  </si>
  <si>
    <t>TX-2024-416096</t>
  </si>
  <si>
    <t>LQ-66099</t>
  </si>
  <si>
    <t>Andrea Kim</t>
  </si>
  <si>
    <t>TEC-MA-27813</t>
  </si>
  <si>
    <t>Then Machines</t>
  </si>
  <si>
    <t>MI-2024-921618</t>
  </si>
  <si>
    <t>SI-95205</t>
  </si>
  <si>
    <t>Michael Peters</t>
  </si>
  <si>
    <t>OFF-AR-53815</t>
  </si>
  <si>
    <t>Action Art</t>
  </si>
  <si>
    <t>OH-2024-540288</t>
  </si>
  <si>
    <t>EN-29699</t>
  </si>
  <si>
    <t>Richard Long</t>
  </si>
  <si>
    <t>OFF-PA-71242</t>
  </si>
  <si>
    <t>Kitchen Paper</t>
  </si>
  <si>
    <t>CA-2023-927081</t>
  </si>
  <si>
    <t>KQ-14390</t>
  </si>
  <si>
    <t>Robert Finley</t>
  </si>
  <si>
    <t>OFF-PA-56801</t>
  </si>
  <si>
    <t>Support Paper</t>
  </si>
  <si>
    <t>PA-2023-458567</t>
  </si>
  <si>
    <t>AX-66339</t>
  </si>
  <si>
    <t>Amy Vaughn</t>
  </si>
  <si>
    <t>TEC-PH-14825</t>
  </si>
  <si>
    <t>It Phones</t>
  </si>
  <si>
    <t>OH-2023-182485</t>
  </si>
  <si>
    <t>FW-81777</t>
  </si>
  <si>
    <t>Joe Morris</t>
  </si>
  <si>
    <t>TEC-CO-75848</t>
  </si>
  <si>
    <t>World Copiers</t>
  </si>
  <si>
    <t>OH-2024-801423</t>
  </si>
  <si>
    <t>AS-62415</t>
  </si>
  <si>
    <t>Monica Kelley</t>
  </si>
  <si>
    <t>TEC-MA-81769</t>
  </si>
  <si>
    <t>House Machines</t>
  </si>
  <si>
    <t>TX-2024-853222</t>
  </si>
  <si>
    <t>KS-10473</t>
  </si>
  <si>
    <t>Michael Huber</t>
  </si>
  <si>
    <t>FUR-CH-75061</t>
  </si>
  <si>
    <t>Something Chairs</t>
  </si>
  <si>
    <t>CA-2024-170498</t>
  </si>
  <si>
    <t>SH-14224</t>
  </si>
  <si>
    <t>Cory Cooper</t>
  </si>
  <si>
    <t>OFF-ST-69122</t>
  </si>
  <si>
    <t>Miss Storage</t>
  </si>
  <si>
    <t>IL-2023-102792</t>
  </si>
  <si>
    <t>DM-23515</t>
  </si>
  <si>
    <t>Stacie Moody</t>
  </si>
  <si>
    <t>TEC-AC-39613</t>
  </si>
  <si>
    <t>Energy Accessories</t>
  </si>
  <si>
    <t>MI-2024-417137</t>
  </si>
  <si>
    <t>ZK-58033</t>
  </si>
  <si>
    <t>Drew Robinson</t>
  </si>
  <si>
    <t>TEC-AC-11135</t>
  </si>
  <si>
    <t>History Accessories</t>
  </si>
  <si>
    <t>PA-2023-827466</t>
  </si>
  <si>
    <t>JO-91607</t>
  </si>
  <si>
    <t>Glenda Cobb</t>
  </si>
  <si>
    <t>FUR-TA-98790</t>
  </si>
  <si>
    <t>Style Tables</t>
  </si>
  <si>
    <t>OH-2024-461928</t>
  </si>
  <si>
    <t>SQ-87017</t>
  </si>
  <si>
    <t>Mary Williams</t>
  </si>
  <si>
    <t>OFF-AR-84965</t>
  </si>
  <si>
    <t>Yourself Art</t>
  </si>
  <si>
    <t>NY-2024-264611</t>
  </si>
  <si>
    <t>VB-41740</t>
  </si>
  <si>
    <t>Billy Barrera</t>
  </si>
  <si>
    <t>TEC-PH-32726</t>
  </si>
  <si>
    <t>PA-2024-480049</t>
  </si>
  <si>
    <t>PI-39288</t>
  </si>
  <si>
    <t>Susan Lopez</t>
  </si>
  <si>
    <t>FUR-BO-50279</t>
  </si>
  <si>
    <t>So Bookcases</t>
  </si>
  <si>
    <t>IL-2024-435299</t>
  </si>
  <si>
    <t>LB-50032</t>
  </si>
  <si>
    <t>Ronald Davis</t>
  </si>
  <si>
    <t>OFF-LA-83185</t>
  </si>
  <si>
    <t>Number Labels</t>
  </si>
  <si>
    <t>IL-2023-748149</t>
  </si>
  <si>
    <t>ED-60127</t>
  </si>
  <si>
    <t>Linda Bridges</t>
  </si>
  <si>
    <t>OFF-AR-22226</t>
  </si>
  <si>
    <t>Especially Art</t>
  </si>
  <si>
    <t>NY-2023-820386</t>
  </si>
  <si>
    <t>JV-93628</t>
  </si>
  <si>
    <t>Omar Evans</t>
  </si>
  <si>
    <t>FUR-FU-91039</t>
  </si>
  <si>
    <t>Finish Furnishings</t>
  </si>
  <si>
    <t>PA-2023-245911</t>
  </si>
  <si>
    <t>JK-82255</t>
  </si>
  <si>
    <t>Joan Compton</t>
  </si>
  <si>
    <t>OFF-LA-36376</t>
  </si>
  <si>
    <t>Worry Labels</t>
  </si>
  <si>
    <t>FL-2024-228027</t>
  </si>
  <si>
    <t>EC-48697</t>
  </si>
  <si>
    <t>Wendy Fox</t>
  </si>
  <si>
    <t>FUR-BO-53408</t>
  </si>
  <si>
    <t>Term Bookcases</t>
  </si>
  <si>
    <t>CA-2023-929732</t>
  </si>
  <si>
    <t>IJ-57004</t>
  </si>
  <si>
    <t>Andrew Miller</t>
  </si>
  <si>
    <t>OFF-ST-69133</t>
  </si>
  <si>
    <t>Ok Storage</t>
  </si>
  <si>
    <t>PA-2024-511191</t>
  </si>
  <si>
    <t>XM-60977</t>
  </si>
  <si>
    <t>Zachary Schultz</t>
  </si>
  <si>
    <t>TEC-CO-66546</t>
  </si>
  <si>
    <t>FL-2023-316010</t>
  </si>
  <si>
    <t>DE-94823</t>
  </si>
  <si>
    <t>Kevin Wang</t>
  </si>
  <si>
    <t>FUR-BO-21558</t>
  </si>
  <si>
    <t>Hair Bookcases</t>
  </si>
  <si>
    <t>CA-2023-633661</t>
  </si>
  <si>
    <t>RW-43600</t>
  </si>
  <si>
    <t>Michelle Delacruz</t>
  </si>
  <si>
    <t>TEC-CO-42229</t>
  </si>
  <si>
    <t>FL-2024-561897</t>
  </si>
  <si>
    <t>IK-22186</t>
  </si>
  <si>
    <t>OFF-PA-38187</t>
  </si>
  <si>
    <t>Ever Paper</t>
  </si>
  <si>
    <t>OH-2024-975260</t>
  </si>
  <si>
    <t>AW-58176</t>
  </si>
  <si>
    <t>Rodney Young</t>
  </si>
  <si>
    <t>TEC-AC-30820</t>
  </si>
  <si>
    <t>Score Accessories</t>
  </si>
  <si>
    <t>PA-2024-661174</t>
  </si>
  <si>
    <t>HK-63674</t>
  </si>
  <si>
    <t>Meredith Bennett</t>
  </si>
  <si>
    <t>OFF-AR-12421</t>
  </si>
  <si>
    <t>Shake Art</t>
  </si>
  <si>
    <t>PA-2023-183203</t>
  </si>
  <si>
    <t>XU-72596</t>
  </si>
  <si>
    <t>Dr. Stephanie Harris</t>
  </si>
  <si>
    <t>OFF-ST-88603</t>
  </si>
  <si>
    <t>Happen Storage</t>
  </si>
  <si>
    <t>OH-2023-549359</t>
  </si>
  <si>
    <t>DJ-90884</t>
  </si>
  <si>
    <t>Dr. Jesse Jenkins MD</t>
  </si>
  <si>
    <t>OFF-PA-43708</t>
  </si>
  <si>
    <t>OH-2024-655103</t>
  </si>
  <si>
    <t>BN-84150</t>
  </si>
  <si>
    <t>Julie Drake</t>
  </si>
  <si>
    <t>OFF-AR-34076</t>
  </si>
  <si>
    <t>Same Art</t>
  </si>
  <si>
    <t>IL-2023-232385</t>
  </si>
  <si>
    <t>ID-96876</t>
  </si>
  <si>
    <t>Angela Ward</t>
  </si>
  <si>
    <t>FUR-FU-60013</t>
  </si>
  <si>
    <t>Manager Furnishings</t>
  </si>
  <si>
    <t>CA-2024-108500</t>
  </si>
  <si>
    <t>WO-19435</t>
  </si>
  <si>
    <t>Deborah Hampton</t>
  </si>
  <si>
    <t>FUR-FU-41720</t>
  </si>
  <si>
    <t>Nor Furnishings</t>
  </si>
  <si>
    <t>FL-2023-512038</t>
  </si>
  <si>
    <t>DU-45038</t>
  </si>
  <si>
    <t>Janet Garcia</t>
  </si>
  <si>
    <t>OFF-BI-74981</t>
  </si>
  <si>
    <t>Challenge Binders</t>
  </si>
  <si>
    <t>PA-2024-566036</t>
  </si>
  <si>
    <t>Justin Harris</t>
  </si>
  <si>
    <t>OFF-ST-95066</t>
  </si>
  <si>
    <t>Simply Storage</t>
  </si>
  <si>
    <t>OH-2023-537030</t>
  </si>
  <si>
    <t>MZ-72612</t>
  </si>
  <si>
    <t>Kimberly Hunter</t>
  </si>
  <si>
    <t>TEC-CO-47823</t>
  </si>
  <si>
    <t>By Copiers</t>
  </si>
  <si>
    <t>TX-2023-578239</t>
  </si>
  <si>
    <t>CV-30077</t>
  </si>
  <si>
    <t>Angelica Smith</t>
  </si>
  <si>
    <t>TEC-CO-49182</t>
  </si>
  <si>
    <t>Drive Copiers</t>
  </si>
  <si>
    <t>FL-2024-795167</t>
  </si>
  <si>
    <t>AV-66934</t>
  </si>
  <si>
    <t>Gregory Benitez</t>
  </si>
  <si>
    <t>OFF-ST-86329</t>
  </si>
  <si>
    <t>Suggest Storage</t>
  </si>
  <si>
    <t>OH-2024-789168</t>
  </si>
  <si>
    <t>UE-83882</t>
  </si>
  <si>
    <t>Christine Johnson</t>
  </si>
  <si>
    <t>FUR-BO-86318</t>
  </si>
  <si>
    <t>MI-2023-153428</t>
  </si>
  <si>
    <t>JL-94338</t>
  </si>
  <si>
    <t>Benjamin Long</t>
  </si>
  <si>
    <t>OFF-PA-39978</t>
  </si>
  <si>
    <t>Your Paper</t>
  </si>
  <si>
    <t>PA-2024-624792</t>
  </si>
  <si>
    <t>EK-39261</t>
  </si>
  <si>
    <t>Erica Ramos</t>
  </si>
  <si>
    <t>OFF-PA-50503</t>
  </si>
  <si>
    <t>History Paper</t>
  </si>
  <si>
    <t>PA-2024-679535</t>
  </si>
  <si>
    <t>CQ-88355</t>
  </si>
  <si>
    <t>Tamara Taylor</t>
  </si>
  <si>
    <t>OFF-ST-75743</t>
  </si>
  <si>
    <t>Three Storage</t>
  </si>
  <si>
    <t>OH-2023-349913</t>
  </si>
  <si>
    <t>QJ-10246</t>
  </si>
  <si>
    <t>Jennifer Chapman</t>
  </si>
  <si>
    <t>FUR-FU-23338</t>
  </si>
  <si>
    <t>There Furnishings</t>
  </si>
  <si>
    <t>FL-2024-230532</t>
  </si>
  <si>
    <t>XU-15470</t>
  </si>
  <si>
    <t>Christine Ross</t>
  </si>
  <si>
    <t>TEC-AC-75446</t>
  </si>
  <si>
    <t>Material Accessories</t>
  </si>
  <si>
    <t>CA-2023-894798</t>
  </si>
  <si>
    <t>HC-70294</t>
  </si>
  <si>
    <t>Anthony Smith</t>
  </si>
  <si>
    <t>TEC-CO-85317</t>
  </si>
  <si>
    <t>Today Copiers</t>
  </si>
  <si>
    <t>PA-2023-796865</t>
  </si>
  <si>
    <t>DY-56260</t>
  </si>
  <si>
    <t>Dennis Olson</t>
  </si>
  <si>
    <t>OFF-PA-41477</t>
  </si>
  <si>
    <t>Chair Paper</t>
  </si>
  <si>
    <t>FL-2023-939747</t>
  </si>
  <si>
    <t>IA-19753</t>
  </si>
  <si>
    <t>David Wilcox</t>
  </si>
  <si>
    <t>FUR-BO-89115</t>
  </si>
  <si>
    <t>Rise Bookcases</t>
  </si>
  <si>
    <t>OH-2024-905962</t>
  </si>
  <si>
    <t>PY-35692</t>
  </si>
  <si>
    <t>Lauren Montes</t>
  </si>
  <si>
    <t>TEC-PH-97057</t>
  </si>
  <si>
    <t>Guess Phones</t>
  </si>
  <si>
    <t>NY-2024-290290</t>
  </si>
  <si>
    <t>QA-18953</t>
  </si>
  <si>
    <t>Donna Olson</t>
  </si>
  <si>
    <t>TEC-MA-66251</t>
  </si>
  <si>
    <t>PA-2023-944212</t>
  </si>
  <si>
    <t>YZ-94136</t>
  </si>
  <si>
    <t>Jonathan Dudley</t>
  </si>
  <si>
    <t>TEC-AC-53666</t>
  </si>
  <si>
    <t>Ok Accessories</t>
  </si>
  <si>
    <t>FL-2023-492990</t>
  </si>
  <si>
    <t>Jennifer Sutton</t>
  </si>
  <si>
    <t>FUR-TA-21184</t>
  </si>
  <si>
    <t>Experience Tables</t>
  </si>
  <si>
    <t>FL-2024-978183</t>
  </si>
  <si>
    <t>IN-80393</t>
  </si>
  <si>
    <t>Gregory Dean</t>
  </si>
  <si>
    <t>OFF-LA-44101</t>
  </si>
  <si>
    <t>Hair Labels</t>
  </si>
  <si>
    <t>TX-2023-293550</t>
  </si>
  <si>
    <t>DG-11496</t>
  </si>
  <si>
    <t>Stephen Pacheco</t>
  </si>
  <si>
    <t>FUR-FU-61759</t>
  </si>
  <si>
    <t>Test Furnishings</t>
  </si>
  <si>
    <t>MI-2024-251394</t>
  </si>
  <si>
    <t>ER-95748</t>
  </si>
  <si>
    <t>Jennifer Kelley</t>
  </si>
  <si>
    <t>TEC-PH-93428</t>
  </si>
  <si>
    <t>Term Phones</t>
  </si>
  <si>
    <t>OH-2023-146888</t>
  </si>
  <si>
    <t>TC-48977</t>
  </si>
  <si>
    <t>Denise Pena</t>
  </si>
  <si>
    <t>OFF-PA-43646</t>
  </si>
  <si>
    <t>Take Paper</t>
  </si>
  <si>
    <t>CA-2024-922741</t>
  </si>
  <si>
    <t>IN-94564</t>
  </si>
  <si>
    <t>Jamie Hale</t>
  </si>
  <si>
    <t>FUR-TA-27129</t>
  </si>
  <si>
    <t>Do Tables</t>
  </si>
  <si>
    <t>NY-2024-587112</t>
  </si>
  <si>
    <t>DE-25448</t>
  </si>
  <si>
    <t>Thomas Velazquez</t>
  </si>
  <si>
    <t>FUR-BO-88428</t>
  </si>
  <si>
    <t>CA-2024-484657</t>
  </si>
  <si>
    <t>RS-89099</t>
  </si>
  <si>
    <t>Sarah Graves</t>
  </si>
  <si>
    <t>FUR-TA-81465</t>
  </si>
  <si>
    <t>Father Tables</t>
  </si>
  <si>
    <t>TX-2024-426629</t>
  </si>
  <si>
    <t>GM-55240</t>
  </si>
  <si>
    <t>Jessica Rodriguez</t>
  </si>
  <si>
    <t>FUR-CH-20680</t>
  </si>
  <si>
    <t>Fish Chairs</t>
  </si>
  <si>
    <t>CA-2023-455335</t>
  </si>
  <si>
    <t>UD-20675</t>
  </si>
  <si>
    <t>Mr. Larry Flores</t>
  </si>
  <si>
    <t>TEC-PH-35198</t>
  </si>
  <si>
    <t>Significant Phones</t>
  </si>
  <si>
    <t>PA-2023-511209</t>
  </si>
  <si>
    <t>AM-37372</t>
  </si>
  <si>
    <t>Aaron Jordan</t>
  </si>
  <si>
    <t>OFF-PA-83218</t>
  </si>
  <si>
    <t>Next Paper</t>
  </si>
  <si>
    <t>IL-2024-787923</t>
  </si>
  <si>
    <t>VI-93761</t>
  </si>
  <si>
    <t>Robert Bruce</t>
  </si>
  <si>
    <t>FUR-BO-39838</t>
  </si>
  <si>
    <t>Show Bookcases</t>
  </si>
  <si>
    <t>IL-2024-221960</t>
  </si>
  <si>
    <t>SN-86893</t>
  </si>
  <si>
    <t>Cindy Hill</t>
  </si>
  <si>
    <t>TEC-MA-38471</t>
  </si>
  <si>
    <t>Reach Machines</t>
  </si>
  <si>
    <t>PA-2024-941740</t>
  </si>
  <si>
    <t>SL-24090</t>
  </si>
  <si>
    <t>OFF-AR-71952</t>
  </si>
  <si>
    <t>Per Art</t>
  </si>
  <si>
    <t>OH-2023-410423</t>
  </si>
  <si>
    <t>ZP-86017</t>
  </si>
  <si>
    <t>Ashley Oneill</t>
  </si>
  <si>
    <t>TEC-CO-99821</t>
  </si>
  <si>
    <t>Section Copiers</t>
  </si>
  <si>
    <t>OH-2023-329096</t>
  </si>
  <si>
    <t>FG-91893</t>
  </si>
  <si>
    <t>Christopher Tran</t>
  </si>
  <si>
    <t>OFF-PA-67544</t>
  </si>
  <si>
    <t>NY-2024-173147</t>
  </si>
  <si>
    <t>ZD-56870</t>
  </si>
  <si>
    <t>Alexis Davenport</t>
  </si>
  <si>
    <t>FUR-FU-32595</t>
  </si>
  <si>
    <t>Those Furnishings</t>
  </si>
  <si>
    <t>FL-2023-926061</t>
  </si>
  <si>
    <t>OY-46690</t>
  </si>
  <si>
    <t>Sylvia Parker</t>
  </si>
  <si>
    <t>FUR-FU-13608</t>
  </si>
  <si>
    <t>Administration Furnishings</t>
  </si>
  <si>
    <t>PA-2024-663804</t>
  </si>
  <si>
    <t>IW-21841</t>
  </si>
  <si>
    <t>Kevin Cole</t>
  </si>
  <si>
    <t>TEC-CO-41777</t>
  </si>
  <si>
    <t>PA-2023-211813</t>
  </si>
  <si>
    <t>XX-31852</t>
  </si>
  <si>
    <t>Javier Cuevas</t>
  </si>
  <si>
    <t>OFF-ST-28765</t>
  </si>
  <si>
    <t>Nearly Storage</t>
  </si>
  <si>
    <t>OH-2024-670799</t>
  </si>
  <si>
    <t>BC-39974</t>
  </si>
  <si>
    <t>Sarah Dawson</t>
  </si>
  <si>
    <t>TEC-AC-32122</t>
  </si>
  <si>
    <t>Father Accessories</t>
  </si>
  <si>
    <t>FL-2023-666173</t>
  </si>
  <si>
    <t>SR-78078</t>
  </si>
  <si>
    <t>Sara Jones</t>
  </si>
  <si>
    <t>FUR-BO-42977</t>
  </si>
  <si>
    <t>Debate Bookcases</t>
  </si>
  <si>
    <t>TX-2024-108747</t>
  </si>
  <si>
    <t>ME-71735</t>
  </si>
  <si>
    <t>Erin Todd</t>
  </si>
  <si>
    <t>FUR-TA-20299</t>
  </si>
  <si>
    <t>Third Tables</t>
  </si>
  <si>
    <t>CA-2023-858286</t>
  </si>
  <si>
    <t>UX-45597</t>
  </si>
  <si>
    <t>Heather Hicks</t>
  </si>
  <si>
    <t>OFF-ST-79445</t>
  </si>
  <si>
    <t>Professional Storage</t>
  </si>
  <si>
    <t>TX-2024-279429</t>
  </si>
  <si>
    <t>QS-46146</t>
  </si>
  <si>
    <t>Michael Fisher</t>
  </si>
  <si>
    <t>FUR-CH-62198</t>
  </si>
  <si>
    <t>Board Chairs</t>
  </si>
  <si>
    <t>MI-2023-349464</t>
  </si>
  <si>
    <t>KP-16419</t>
  </si>
  <si>
    <t>Michelle Weiss</t>
  </si>
  <si>
    <t>OFF-ST-68383</t>
  </si>
  <si>
    <t>MI-2023-200300</t>
  </si>
  <si>
    <t>VI-75057</t>
  </si>
  <si>
    <t>William Norris</t>
  </si>
  <si>
    <t>OFF-BI-13631</t>
  </si>
  <si>
    <t>Property Binders</t>
  </si>
  <si>
    <t>NY-2024-982667</t>
  </si>
  <si>
    <t>XD-86741</t>
  </si>
  <si>
    <t>Elizabeth Rivers</t>
  </si>
  <si>
    <t>TEC-AC-87776</t>
  </si>
  <si>
    <t>MI-2023-396141</t>
  </si>
  <si>
    <t>RK-70226</t>
  </si>
  <si>
    <t>Jason Mata</t>
  </si>
  <si>
    <t>TEC-PH-50602</t>
  </si>
  <si>
    <t>Network Phones</t>
  </si>
  <si>
    <t>FL-2023-286454</t>
  </si>
  <si>
    <t>YA-40885</t>
  </si>
  <si>
    <t>Curtis Rivas</t>
  </si>
  <si>
    <t>OFF-PA-72916</t>
  </si>
  <si>
    <t>Consumer Paper</t>
  </si>
  <si>
    <t>NY-2024-479482</t>
  </si>
  <si>
    <t>NA-50289</t>
  </si>
  <si>
    <t>James Long</t>
  </si>
  <si>
    <t>TEC-PH-30537</t>
  </si>
  <si>
    <t>Future Phones</t>
  </si>
  <si>
    <t>OH-2023-756916</t>
  </si>
  <si>
    <t>FX-11243</t>
  </si>
  <si>
    <t>Richard Rogers MD</t>
  </si>
  <si>
    <t>FUR-FU-56443</t>
  </si>
  <si>
    <t>Tv Furnishings</t>
  </si>
  <si>
    <t>IL-2023-134658</t>
  </si>
  <si>
    <t>KJ-88044</t>
  </si>
  <si>
    <t>Kathleen Anderson</t>
  </si>
  <si>
    <t>TEC-CO-92513</t>
  </si>
  <si>
    <t>Movie Copiers</t>
  </si>
  <si>
    <t>TX-2024-615209</t>
  </si>
  <si>
    <t>OP-93117</t>
  </si>
  <si>
    <t>Cynthia Hancock</t>
  </si>
  <si>
    <t>TEC-CO-26498</t>
  </si>
  <si>
    <t>Environment Copiers</t>
  </si>
  <si>
    <t>FL-2024-746401</t>
  </si>
  <si>
    <t>SH-72477</t>
  </si>
  <si>
    <t>Erin Wilson</t>
  </si>
  <si>
    <t>OFF-BI-88004</t>
  </si>
  <si>
    <t>Simply Binders</t>
  </si>
  <si>
    <t>FL-2023-734507</t>
  </si>
  <si>
    <t>YL-66665</t>
  </si>
  <si>
    <t>Holly Leach</t>
  </si>
  <si>
    <t>OFF-PA-18854</t>
  </si>
  <si>
    <t>Couple Paper</t>
  </si>
  <si>
    <t>IL-2023-772449</t>
  </si>
  <si>
    <t>VP-88471</t>
  </si>
  <si>
    <t>Lisa Nguyen</t>
  </si>
  <si>
    <t>TEC-PH-66736</t>
  </si>
  <si>
    <t>What Phones</t>
  </si>
  <si>
    <t>PA-2023-875255</t>
  </si>
  <si>
    <t>VN-77290</t>
  </si>
  <si>
    <t>Cynthia Henderson</t>
  </si>
  <si>
    <t>Home Accessories</t>
  </si>
  <si>
    <t>FL-2023-289570</t>
  </si>
  <si>
    <t>ZC-33424</t>
  </si>
  <si>
    <t>Lonnie Meyer</t>
  </si>
  <si>
    <t>OFF-PA-43226</t>
  </si>
  <si>
    <t>Receive Paper</t>
  </si>
  <si>
    <t>OH-2023-231610</t>
  </si>
  <si>
    <t>RN-13714</t>
  </si>
  <si>
    <t>Kim Mccoy</t>
  </si>
  <si>
    <t>TEC-PH-57924</t>
  </si>
  <si>
    <t>Mention Phones</t>
  </si>
  <si>
    <t>NY-2024-457447</t>
  </si>
  <si>
    <t>VS-87821</t>
  </si>
  <si>
    <t>Caleb Jimenez</t>
  </si>
  <si>
    <t>FUR-TA-58793</t>
  </si>
  <si>
    <t>Claim Tables</t>
  </si>
  <si>
    <t>PA-2023-466263</t>
  </si>
  <si>
    <t>DI-18962</t>
  </si>
  <si>
    <t>Karen Miller</t>
  </si>
  <si>
    <t>TEC-MA-24427</t>
  </si>
  <si>
    <t>Far Machines</t>
  </si>
  <si>
    <t>NY-2024-529475</t>
  </si>
  <si>
    <t>Tara Wilson</t>
  </si>
  <si>
    <t>FUR-TA-66698</t>
  </si>
  <si>
    <t>Century Tables</t>
  </si>
  <si>
    <t>OH-2024-800076</t>
  </si>
  <si>
    <t>OT-20137</t>
  </si>
  <si>
    <t>Courtney Doyle</t>
  </si>
  <si>
    <t>FUR-CH-65372</t>
  </si>
  <si>
    <t>Party Chairs</t>
  </si>
  <si>
    <t>CA-2023-729036</t>
  </si>
  <si>
    <t>GZ-15015</t>
  </si>
  <si>
    <t>Deborah Johnson</t>
  </si>
  <si>
    <t>OFF-LA-60577</t>
  </si>
  <si>
    <t>Half Labels</t>
  </si>
  <si>
    <t>OH-2023-467544</t>
  </si>
  <si>
    <t>PJ-62462</t>
  </si>
  <si>
    <t>Brooke Patton</t>
  </si>
  <si>
    <t>TEC-AC-59832</t>
  </si>
  <si>
    <t>Piece Accessories</t>
  </si>
  <si>
    <t>IL-2024-261834</t>
  </si>
  <si>
    <t>EC-65046</t>
  </si>
  <si>
    <t>Chris Contreras</t>
  </si>
  <si>
    <t>FUR-FU-77602</t>
  </si>
  <si>
    <t>Out Furnishings</t>
  </si>
  <si>
    <t>PA-2023-772706</t>
  </si>
  <si>
    <t>ZG-63956</t>
  </si>
  <si>
    <t>Allison Walls</t>
  </si>
  <si>
    <t>FUR-TA-60794</t>
  </si>
  <si>
    <t>Increase Tables</t>
  </si>
  <si>
    <t>MI-2023-188081</t>
  </si>
  <si>
    <t>CN-15955</t>
  </si>
  <si>
    <t>Michele Sosa</t>
  </si>
  <si>
    <t>TEC-CO-62713</t>
  </si>
  <si>
    <t>Maintain Copiers</t>
  </si>
  <si>
    <t>CA-2023-466466</t>
  </si>
  <si>
    <t>LD-41486</t>
  </si>
  <si>
    <t>TEC-MA-73191</t>
  </si>
  <si>
    <t>Vote Machines</t>
  </si>
  <si>
    <t>IL-2024-806003</t>
  </si>
  <si>
    <t>KM-44422</t>
  </si>
  <si>
    <t>Teresa Brady</t>
  </si>
  <si>
    <t>FUR-CH-59145</t>
  </si>
  <si>
    <t>Nor Chairs</t>
  </si>
  <si>
    <t>CA-2023-695621</t>
  </si>
  <si>
    <t>BZ-78213</t>
  </si>
  <si>
    <t>Brandy Cunningham</t>
  </si>
  <si>
    <t>OFF-BI-50613</t>
  </si>
  <si>
    <t>Direction Binders</t>
  </si>
  <si>
    <t>TX-2024-334253</t>
  </si>
  <si>
    <t>YS-12327</t>
  </si>
  <si>
    <t>Deborah Vaughn</t>
  </si>
  <si>
    <t>TEC-CO-23940</t>
  </si>
  <si>
    <t>Man Copiers</t>
  </si>
  <si>
    <t>FL-2024-204622</t>
  </si>
  <si>
    <t>BX-30342</t>
  </si>
  <si>
    <t>Timothy Wheeler</t>
  </si>
  <si>
    <t>OFF-PA-17298</t>
  </si>
  <si>
    <t>Share Paper</t>
  </si>
  <si>
    <t>TX-2023-476885</t>
  </si>
  <si>
    <t>CF-44392</t>
  </si>
  <si>
    <t>Annette Franco DDS</t>
  </si>
  <si>
    <t>TEC-AC-76432</t>
  </si>
  <si>
    <t>Identify Accessories</t>
  </si>
  <si>
    <t>MI-2024-908791</t>
  </si>
  <si>
    <t>QS-35388</t>
  </si>
  <si>
    <t>Frank Willis</t>
  </si>
  <si>
    <t>FUR-TA-28420</t>
  </si>
  <si>
    <t>Teacher Tables</t>
  </si>
  <si>
    <t>IL-2023-363257</t>
  </si>
  <si>
    <t>VW-70488</t>
  </si>
  <si>
    <t>Guy Holt</t>
  </si>
  <si>
    <t>OFF-LA-49348</t>
  </si>
  <si>
    <t>TX-2024-926263</t>
  </si>
  <si>
    <t>NU-10839</t>
  </si>
  <si>
    <t>Antonio Anderson</t>
  </si>
  <si>
    <t>FUR-BO-44562</t>
  </si>
  <si>
    <t>Must Bookcases</t>
  </si>
  <si>
    <t>OH-2023-418529</t>
  </si>
  <si>
    <t>DT-18308</t>
  </si>
  <si>
    <t>Jessica White</t>
  </si>
  <si>
    <t>FUR-TA-20288</t>
  </si>
  <si>
    <t>Southern Tables</t>
  </si>
  <si>
    <t>PA-2023-831284</t>
  </si>
  <si>
    <t>TEC-PH-50595</t>
  </si>
  <si>
    <t>Night Phones</t>
  </si>
  <si>
    <t>IL-2024-652145</t>
  </si>
  <si>
    <t>YY-23705</t>
  </si>
  <si>
    <t>Kelly Kennedy</t>
  </si>
  <si>
    <t>OFF-PA-45620</t>
  </si>
  <si>
    <t>Difference Paper</t>
  </si>
  <si>
    <t>FL-2024-378422</t>
  </si>
  <si>
    <t>OR-89202</t>
  </si>
  <si>
    <t>Austin Bowen</t>
  </si>
  <si>
    <t>FUR-BO-39983</t>
  </si>
  <si>
    <t>OH-2024-467623</t>
  </si>
  <si>
    <t>BY-74082</t>
  </si>
  <si>
    <t>Herbert Smith</t>
  </si>
  <si>
    <t>FUR-BO-99842</t>
  </si>
  <si>
    <t>Yeah Bookcases</t>
  </si>
  <si>
    <t>CA-2024-402640</t>
  </si>
  <si>
    <t>UE-48088</t>
  </si>
  <si>
    <t>Cynthia Martinez</t>
  </si>
  <si>
    <t>OFF-PA-88570</t>
  </si>
  <si>
    <t>Avoid Paper</t>
  </si>
  <si>
    <t>FL-2024-947379</t>
  </si>
  <si>
    <t>SW-71411</t>
  </si>
  <si>
    <t>Joshua Atkins</t>
  </si>
  <si>
    <t>FUR-FU-73738</t>
  </si>
  <si>
    <t>Development Furnishings</t>
  </si>
  <si>
    <t>TX-2023-177473</t>
  </si>
  <si>
    <t>VA-14785</t>
  </si>
  <si>
    <t>Pamela Lewis</t>
  </si>
  <si>
    <t>TEC-PH-32311</t>
  </si>
  <si>
    <t>Discussion Phones</t>
  </si>
  <si>
    <t>FL-2024-795826</t>
  </si>
  <si>
    <t>VM-31202</t>
  </si>
  <si>
    <t>Michael Baker</t>
  </si>
  <si>
    <t>TEC-PH-72920</t>
  </si>
  <si>
    <t>Quickly Phones</t>
  </si>
  <si>
    <t>NY-2024-756940</t>
  </si>
  <si>
    <t>ZZ-24636</t>
  </si>
  <si>
    <t>Marie Patton</t>
  </si>
  <si>
    <t>TEC-MA-94881</t>
  </si>
  <si>
    <t>Imagine Machines</t>
  </si>
  <si>
    <t>MI-2023-305600</t>
  </si>
  <si>
    <t>TF-96671</t>
  </si>
  <si>
    <t>Christopher Hanson</t>
  </si>
  <si>
    <t>TEC-AC-72804</t>
  </si>
  <si>
    <t>List Accessories</t>
  </si>
  <si>
    <t>TX-2024-738538</t>
  </si>
  <si>
    <t>QT-10768</t>
  </si>
  <si>
    <t>David Briggs</t>
  </si>
  <si>
    <t>OFF-AR-94028</t>
  </si>
  <si>
    <t>Yes Art</t>
  </si>
  <si>
    <t>FL-2024-886552</t>
  </si>
  <si>
    <t>Jennifer Cohen</t>
  </si>
  <si>
    <t>TEC-MA-12041</t>
  </si>
  <si>
    <t>Statement Machines</t>
  </si>
  <si>
    <t>TX-2024-516843</t>
  </si>
  <si>
    <t>Emily Morton</t>
  </si>
  <si>
    <t>FUR-TA-13126</t>
  </si>
  <si>
    <t>Suffer Tables</t>
  </si>
  <si>
    <t>CA-2023-957710</t>
  </si>
  <si>
    <t>JA-19229</t>
  </si>
  <si>
    <t>Gregory Mcmillan</t>
  </si>
  <si>
    <t>OFF-BI-83642</t>
  </si>
  <si>
    <t>Simple Binders</t>
  </si>
  <si>
    <t>NY-2023-656642</t>
  </si>
  <si>
    <t>PB-99181</t>
  </si>
  <si>
    <t>Daniel James</t>
  </si>
  <si>
    <t>TEC-MA-72661</t>
  </si>
  <si>
    <t>Place Machines</t>
  </si>
  <si>
    <t>FL-2024-997663</t>
  </si>
  <si>
    <t>JK-89417</t>
  </si>
  <si>
    <t>Dana Wright</t>
  </si>
  <si>
    <t>FUR-BO-79508</t>
  </si>
  <si>
    <t>Focus Bookcases</t>
  </si>
  <si>
    <t>FL-2023-263096</t>
  </si>
  <si>
    <t>UY-92285</t>
  </si>
  <si>
    <t>Autumn Chang</t>
  </si>
  <si>
    <t>TEC-AC-65516</t>
  </si>
  <si>
    <t>Even Accessories</t>
  </si>
  <si>
    <t>TX-2023-790580</t>
  </si>
  <si>
    <t>DY-93239</t>
  </si>
  <si>
    <t>Christopher Anderson</t>
  </si>
  <si>
    <t>OFF-LA-32912</t>
  </si>
  <si>
    <t>Yet Labels</t>
  </si>
  <si>
    <t>NY-2024-898606</t>
  </si>
  <si>
    <t>GT-42546</t>
  </si>
  <si>
    <t>Victor Juarez</t>
  </si>
  <si>
    <t>TEC-MA-81057</t>
  </si>
  <si>
    <t>Establish Machines</t>
  </si>
  <si>
    <t>PA-2024-602165</t>
  </si>
  <si>
    <t>HY-87834</t>
  </si>
  <si>
    <t>Ashley Mathis</t>
  </si>
  <si>
    <t>TEC-PH-93926</t>
  </si>
  <si>
    <t>Some Phones</t>
  </si>
  <si>
    <t>IL-2024-346814</t>
  </si>
  <si>
    <t>ZL-33406</t>
  </si>
  <si>
    <t>Craig Curtis</t>
  </si>
  <si>
    <t>OFF-PA-12947</t>
  </si>
  <si>
    <t>Brother Paper</t>
  </si>
  <si>
    <t>MI-2024-906944</t>
  </si>
  <si>
    <t>PR-88858</t>
  </si>
  <si>
    <t>Lori Tran</t>
  </si>
  <si>
    <t>OFF-AR-51398</t>
  </si>
  <si>
    <t>Performance Art</t>
  </si>
  <si>
    <t>FL-2024-578202</t>
  </si>
  <si>
    <t>MZ-56549</t>
  </si>
  <si>
    <t>Jacqueline Brown</t>
  </si>
  <si>
    <t>TEC-MA-66503</t>
  </si>
  <si>
    <t>Own Machines</t>
  </si>
  <si>
    <t>OH-2023-133631</t>
  </si>
  <si>
    <t>ZI-93557</t>
  </si>
  <si>
    <t>Adrian Edwards</t>
  </si>
  <si>
    <t>FUR-FU-39251</t>
  </si>
  <si>
    <t>Particularly Furnishings</t>
  </si>
  <si>
    <t>OH-2024-899535</t>
  </si>
  <si>
    <t>LQ-34103</t>
  </si>
  <si>
    <t>Hannah Hall</t>
  </si>
  <si>
    <t>OFF-BI-10862</t>
  </si>
  <si>
    <t>Turn Binders</t>
  </si>
  <si>
    <t>OH-2023-759796</t>
  </si>
  <si>
    <t>WH-91881</t>
  </si>
  <si>
    <t>Ashley Rodgers</t>
  </si>
  <si>
    <t>TEC-CO-56331</t>
  </si>
  <si>
    <t>With Copiers</t>
  </si>
  <si>
    <t>NY-2023-550126</t>
  </si>
  <si>
    <t>WN-37499</t>
  </si>
  <si>
    <t>Chelsea Dillon</t>
  </si>
  <si>
    <t>FUR-FU-27647</t>
  </si>
  <si>
    <t>IL-2023-579090</t>
  </si>
  <si>
    <t>HF-85120</t>
  </si>
  <si>
    <t>Gregory Perry</t>
  </si>
  <si>
    <t>TEC-PH-89448</t>
  </si>
  <si>
    <t>Bill Phones</t>
  </si>
  <si>
    <t>IL-2023-360811</t>
  </si>
  <si>
    <t>Maureen Castro</t>
  </si>
  <si>
    <t>FUR-BO-61057</t>
  </si>
  <si>
    <t>PA-2023-613594</t>
  </si>
  <si>
    <t>Brian Wise</t>
  </si>
  <si>
    <t>FUR-CH-48760</t>
  </si>
  <si>
    <t>Left Chairs</t>
  </si>
  <si>
    <t>FL-2023-445921</t>
  </si>
  <si>
    <t>CF-30944</t>
  </si>
  <si>
    <t>Joshua Gutierrez</t>
  </si>
  <si>
    <t>FUR-CH-27453</t>
  </si>
  <si>
    <t>World Chairs</t>
  </si>
  <si>
    <t>IL-2023-833412</t>
  </si>
  <si>
    <t>ZJ-54546</t>
  </si>
  <si>
    <t>Jonathan Sullivan</t>
  </si>
  <si>
    <t>TEC-AC-88094</t>
  </si>
  <si>
    <t>Use Accessories</t>
  </si>
  <si>
    <t>MI-2023-521386</t>
  </si>
  <si>
    <t>DX-46223</t>
  </si>
  <si>
    <t>Lisa Clark</t>
  </si>
  <si>
    <t>TEC-PH-41189</t>
  </si>
  <si>
    <t>Artist Phones</t>
  </si>
  <si>
    <t>IL-2023-286741</t>
  </si>
  <si>
    <t>PK-96605</t>
  </si>
  <si>
    <t>Jake Nguyen</t>
  </si>
  <si>
    <t>OFF-AR-33730</t>
  </si>
  <si>
    <t>Near Art</t>
  </si>
  <si>
    <t>MI-2023-119211</t>
  </si>
  <si>
    <t>DI-28716</t>
  </si>
  <si>
    <t>Kyle White</t>
  </si>
  <si>
    <t>OFF-ST-99499</t>
  </si>
  <si>
    <t>Into Storage</t>
  </si>
  <si>
    <t>TX-2024-791323</t>
  </si>
  <si>
    <t>AH-36400</t>
  </si>
  <si>
    <t>Wanda Henderson</t>
  </si>
  <si>
    <t>TEC-MA-17967</t>
  </si>
  <si>
    <t>Responsibility Machines</t>
  </si>
  <si>
    <t>FL-2023-820223</t>
  </si>
  <si>
    <t>FP-25313</t>
  </si>
  <si>
    <t>Derrick Villanueva</t>
  </si>
  <si>
    <t>FUR-FU-85669</t>
  </si>
  <si>
    <t>FL-2023-646172</t>
  </si>
  <si>
    <t>EY-77287</t>
  </si>
  <si>
    <t>Michelle Mcclure</t>
  </si>
  <si>
    <t>TEC-MA-77178</t>
  </si>
  <si>
    <t>Million Machines</t>
  </si>
  <si>
    <t>CA-2024-348734</t>
  </si>
  <si>
    <t>HJ-46266</t>
  </si>
  <si>
    <t>James Church</t>
  </si>
  <si>
    <t>OFF-ST-50593</t>
  </si>
  <si>
    <t>Hot Storage</t>
  </si>
  <si>
    <t>FL-2024-905927</t>
  </si>
  <si>
    <t>TZ-14062</t>
  </si>
  <si>
    <t>Christopher Torres</t>
  </si>
  <si>
    <t>OFF-BI-54680</t>
  </si>
  <si>
    <t>Prepare Binders</t>
  </si>
  <si>
    <t>OH-2024-630874</t>
  </si>
  <si>
    <t>MP-53236</t>
  </si>
  <si>
    <t>Adam Clarke</t>
  </si>
  <si>
    <t>TEC-PH-59599</t>
  </si>
  <si>
    <t>Push Phones</t>
  </si>
  <si>
    <t>TX-2024-588313</t>
  </si>
  <si>
    <t>AU-96191</t>
  </si>
  <si>
    <t>Cindy Gonzalez</t>
  </si>
  <si>
    <t>TEC-PH-74478</t>
  </si>
  <si>
    <t>OH-2024-236205</t>
  </si>
  <si>
    <t>UI-39387</t>
  </si>
  <si>
    <t>Nathan Webb</t>
  </si>
  <si>
    <t>FUR-FU-51295</t>
  </si>
  <si>
    <t>Hundred Furnishings</t>
  </si>
  <si>
    <t>CA-2023-246437</t>
  </si>
  <si>
    <t>GV-73871</t>
  </si>
  <si>
    <t>Michael Griffin</t>
  </si>
  <si>
    <t>OFF-PA-90265</t>
  </si>
  <si>
    <t>Mind Paper</t>
  </si>
  <si>
    <t>CA-2023-531041</t>
  </si>
  <si>
    <t>HZ-35501</t>
  </si>
  <si>
    <t>Megan Graham</t>
  </si>
  <si>
    <t>OFF-ST-57245</t>
  </si>
  <si>
    <t>Board Storage</t>
  </si>
  <si>
    <t>MI-2023-983675</t>
  </si>
  <si>
    <t>TP-63113</t>
  </si>
  <si>
    <t>Terri Terry</t>
  </si>
  <si>
    <t>FUR-CH-29585</t>
  </si>
  <si>
    <t>Here Chairs</t>
  </si>
  <si>
    <t>CA-2024-488999</t>
  </si>
  <si>
    <t>BS-16691</t>
  </si>
  <si>
    <t>Megan Tucker</t>
  </si>
  <si>
    <t>OFF-BI-53624</t>
  </si>
  <si>
    <t>Teach Binders</t>
  </si>
  <si>
    <t>OH-2023-704565</t>
  </si>
  <si>
    <t>MU-13831</t>
  </si>
  <si>
    <t>Jon Duran DDS</t>
  </si>
  <si>
    <t>FUR-CH-62469</t>
  </si>
  <si>
    <t>Treatment Chairs</t>
  </si>
  <si>
    <t>PA-2023-519861</t>
  </si>
  <si>
    <t>OY-94320</t>
  </si>
  <si>
    <t>Shannon Taylor</t>
  </si>
  <si>
    <t>FUR-BO-54664</t>
  </si>
  <si>
    <t>Issue Bookcases</t>
  </si>
  <si>
    <t>NY-2023-500967</t>
  </si>
  <si>
    <t>LB-99897</t>
  </si>
  <si>
    <t>Ashley Sellers</t>
  </si>
  <si>
    <t>TEC-AC-87092</t>
  </si>
  <si>
    <t>Seven Accessories</t>
  </si>
  <si>
    <t>MI-2023-267368</t>
  </si>
  <si>
    <t>ZH-83298</t>
  </si>
  <si>
    <t>Traci Washington</t>
  </si>
  <si>
    <t>FUR-CH-95507</t>
  </si>
  <si>
    <t>Hour Chairs</t>
  </si>
  <si>
    <t>NY-2023-165157</t>
  </si>
  <si>
    <t>ES-96538</t>
  </si>
  <si>
    <t>Allison Knight</t>
  </si>
  <si>
    <t>TEC-PH-20374</t>
  </si>
  <si>
    <t>Reflect Phones</t>
  </si>
  <si>
    <t>NY-2024-614923</t>
  </si>
  <si>
    <t>KT-94768</t>
  </si>
  <si>
    <t>OFF-PA-30398</t>
  </si>
  <si>
    <t>Behind Paper</t>
  </si>
  <si>
    <t>IL-2023-562966</t>
  </si>
  <si>
    <t>JD-51691</t>
  </si>
  <si>
    <t>James Allen</t>
  </si>
  <si>
    <t>OFF-PA-16928</t>
  </si>
  <si>
    <t>Meet Paper</t>
  </si>
  <si>
    <t>CA-2023-637551</t>
  </si>
  <si>
    <t>BB-43706</t>
  </si>
  <si>
    <t>Daniel Jones</t>
  </si>
  <si>
    <t>OFF-LA-10171</t>
  </si>
  <si>
    <t>Finally Labels</t>
  </si>
  <si>
    <t>FL-2023-823489</t>
  </si>
  <si>
    <t>OK-85658</t>
  </si>
  <si>
    <t>Kelsey Rangel</t>
  </si>
  <si>
    <t>TEC-PH-28919</t>
  </si>
  <si>
    <t>Trial Phones</t>
  </si>
  <si>
    <t>PA-2024-187247</t>
  </si>
  <si>
    <t>FP-90845</t>
  </si>
  <si>
    <t>Jeffrey Martin</t>
  </si>
  <si>
    <t>Wish Copiers</t>
  </si>
  <si>
    <t>TX-2024-278834</t>
  </si>
  <si>
    <t>GX-17184</t>
  </si>
  <si>
    <t>Mrs. Sarah Sanchez</t>
  </si>
  <si>
    <t>OFF-LA-47353</t>
  </si>
  <si>
    <t>Listen Labels</t>
  </si>
  <si>
    <t>CA-2024-170646</t>
  </si>
  <si>
    <t>Rebecca Wagner</t>
  </si>
  <si>
    <t>FUR-BO-75059</t>
  </si>
  <si>
    <t>Add Bookcases</t>
  </si>
  <si>
    <t>FL-2023-134364</t>
  </si>
  <si>
    <t>KI-57772</t>
  </si>
  <si>
    <t>Melissa Brown</t>
  </si>
  <si>
    <t>TEC-MA-45262</t>
  </si>
  <si>
    <t>Consumer Machines</t>
  </si>
  <si>
    <t>NY-2024-258699</t>
  </si>
  <si>
    <t>SX-17360</t>
  </si>
  <si>
    <t>Matthew Bailey</t>
  </si>
  <si>
    <t>FUR-FU-47252</t>
  </si>
  <si>
    <t>MI-2023-565713</t>
  </si>
  <si>
    <t>RT-79936</t>
  </si>
  <si>
    <t>Ivan Hardy</t>
  </si>
  <si>
    <t>TEC-MA-10628</t>
  </si>
  <si>
    <t>OH-2023-388392</t>
  </si>
  <si>
    <t>MM-37713</t>
  </si>
  <si>
    <t>Linda Jones</t>
  </si>
  <si>
    <t>TEC-MA-32402</t>
  </si>
  <si>
    <t>Direction Machines</t>
  </si>
  <si>
    <t>FL-2024-252417</t>
  </si>
  <si>
    <t>MI-25277</t>
  </si>
  <si>
    <t>Sarah Valdez</t>
  </si>
  <si>
    <t>TEC-PH-77905</t>
  </si>
  <si>
    <t>Specific Phones</t>
  </si>
  <si>
    <t>NY-2023-354555</t>
  </si>
  <si>
    <t>LA-75546</t>
  </si>
  <si>
    <t>Lindsay Douglas</t>
  </si>
  <si>
    <t>IL-2023-462980</t>
  </si>
  <si>
    <t>DP-53902</t>
  </si>
  <si>
    <t>Stephen Villarreal</t>
  </si>
  <si>
    <t>OFF-AR-31491</t>
  </si>
  <si>
    <t>Effort Art</t>
  </si>
  <si>
    <t>MI-2024-738425</t>
  </si>
  <si>
    <t>KA-10644</t>
  </si>
  <si>
    <t>Timothy Vargas</t>
  </si>
  <si>
    <t>FUR-CH-69725</t>
  </si>
  <si>
    <t>Public Chairs</t>
  </si>
  <si>
    <t>MI-2024-661339</t>
  </si>
  <si>
    <t>ED-91460</t>
  </si>
  <si>
    <t>Jesse Kerr</t>
  </si>
  <si>
    <t>OFF-PA-66080</t>
  </si>
  <si>
    <t>Natural Paper</t>
  </si>
  <si>
    <t>IL-2024-895336</t>
  </si>
  <si>
    <t>MM-10559</t>
  </si>
  <si>
    <t>Kevin Wilson</t>
  </si>
  <si>
    <t>TEC-AC-86184</t>
  </si>
  <si>
    <t>Contain Accessories</t>
  </si>
  <si>
    <t>TX-2023-363368</t>
  </si>
  <si>
    <t>GJ-30079</t>
  </si>
  <si>
    <t>Richard Kennedy</t>
  </si>
  <si>
    <t>TEC-CO-48614</t>
  </si>
  <si>
    <t>Worker Copiers</t>
  </si>
  <si>
    <t>OH-2023-839509</t>
  </si>
  <si>
    <t>VE-70992</t>
  </si>
  <si>
    <t>Jennifer Stevens</t>
  </si>
  <si>
    <t>TEC-MA-53946</t>
  </si>
  <si>
    <t>Radio Machines</t>
  </si>
  <si>
    <t>FL-2023-155425</t>
  </si>
  <si>
    <t>IO-18835</t>
  </si>
  <si>
    <t>Christopher Schroeder</t>
  </si>
  <si>
    <t>OFF-BI-47259</t>
  </si>
  <si>
    <t>Production Binders</t>
  </si>
  <si>
    <t>NY-2024-665797</t>
  </si>
  <si>
    <t>DG-51805</t>
  </si>
  <si>
    <t>Troy Houston</t>
  </si>
  <si>
    <t>OFF-ST-91603</t>
  </si>
  <si>
    <t>Thousand Storage</t>
  </si>
  <si>
    <t>NY-2024-246286</t>
  </si>
  <si>
    <t>AP-86546</t>
  </si>
  <si>
    <t>Shawn Gilbert</t>
  </si>
  <si>
    <t>OFF-AR-45718</t>
  </si>
  <si>
    <t>Indeed Art</t>
  </si>
  <si>
    <t>CA-2024-261601</t>
  </si>
  <si>
    <t>NF-98409</t>
  </si>
  <si>
    <t>Joan Chavez</t>
  </si>
  <si>
    <t>TEC-MA-21949</t>
  </si>
  <si>
    <t>Program Machines</t>
  </si>
  <si>
    <t>MI-2024-671620</t>
  </si>
  <si>
    <t>PK-34399</t>
  </si>
  <si>
    <t>Michael Jones</t>
  </si>
  <si>
    <t>FUR-FU-59639</t>
  </si>
  <si>
    <t>Early Furnishings</t>
  </si>
  <si>
    <t>CA-2024-290837</t>
  </si>
  <si>
    <t>WS-93441</t>
  </si>
  <si>
    <t>OFF-PA-41813</t>
  </si>
  <si>
    <t>CA-2024-446650</t>
  </si>
  <si>
    <t>HX-38616</t>
  </si>
  <si>
    <t>Elizabeth Williams</t>
  </si>
  <si>
    <t>FUR-FU-38917</t>
  </si>
  <si>
    <t>Eye Furnishings</t>
  </si>
  <si>
    <t>CA-2023-447149</t>
  </si>
  <si>
    <t>NV-78315</t>
  </si>
  <si>
    <t>Alexis Miranda</t>
  </si>
  <si>
    <t>TEC-AC-85870</t>
  </si>
  <si>
    <t>OH-2024-519148</t>
  </si>
  <si>
    <t>UR-59822</t>
  </si>
  <si>
    <t>Donna Smith</t>
  </si>
  <si>
    <t>FUR-TA-46508</t>
  </si>
  <si>
    <t>Direction Tables</t>
  </si>
  <si>
    <t>PA-2024-660630</t>
  </si>
  <si>
    <t>JN-11385</t>
  </si>
  <si>
    <t>Paige Evans</t>
  </si>
  <si>
    <t>OFF-BI-41346</t>
  </si>
  <si>
    <t>Visit Binders</t>
  </si>
  <si>
    <t>PA-2023-162030</t>
  </si>
  <si>
    <t>RN-42104</t>
  </si>
  <si>
    <t>John Dougherty</t>
  </si>
  <si>
    <t>TEC-PH-25378</t>
  </si>
  <si>
    <t>Decade Phones</t>
  </si>
  <si>
    <t>TX-2023-667109</t>
  </si>
  <si>
    <t>CA-37093</t>
  </si>
  <si>
    <t>Jessica Mitchell</t>
  </si>
  <si>
    <t>OFF-BI-52739</t>
  </si>
  <si>
    <t>Let Binders</t>
  </si>
  <si>
    <t>OH-2024-585155</t>
  </si>
  <si>
    <t>BX-84494</t>
  </si>
  <si>
    <t>Jeremiah Cox</t>
  </si>
  <si>
    <t>TEC-CO-58214</t>
  </si>
  <si>
    <t>Later Copiers</t>
  </si>
  <si>
    <t>PA-2024-177916</t>
  </si>
  <si>
    <t>TG-51018</t>
  </si>
  <si>
    <t>Samuel Smith</t>
  </si>
  <si>
    <t>TEC-CO-28797</t>
  </si>
  <si>
    <t>Born Copiers</t>
  </si>
  <si>
    <t>TX-2023-739902</t>
  </si>
  <si>
    <t>QJ-74412</t>
  </si>
  <si>
    <t>Stephanie Mills</t>
  </si>
  <si>
    <t>TEC-CO-51899</t>
  </si>
  <si>
    <t>Baby Copiers</t>
  </si>
  <si>
    <t>NY-2024-159436</t>
  </si>
  <si>
    <t>BX-32584</t>
  </si>
  <si>
    <t>Rachel Duran MD</t>
  </si>
  <si>
    <t>FUR-CH-47291</t>
  </si>
  <si>
    <t>Concern Chairs</t>
  </si>
  <si>
    <t>CA-2024-194638</t>
  </si>
  <si>
    <t>YL-57408</t>
  </si>
  <si>
    <t>Alexander Curtis</t>
  </si>
  <si>
    <t>TEC-AC-56344</t>
  </si>
  <si>
    <t>FL-2023-440700</t>
  </si>
  <si>
    <t>JN-82573</t>
  </si>
  <si>
    <t>Rhonda Jones</t>
  </si>
  <si>
    <t>FUR-BO-36731</t>
  </si>
  <si>
    <t>Itself Bookcases</t>
  </si>
  <si>
    <t>NY-2024-548286</t>
  </si>
  <si>
    <t>UY-41354</t>
  </si>
  <si>
    <t>Brian Pierce</t>
  </si>
  <si>
    <t>FUR-BO-25269</t>
  </si>
  <si>
    <t>Sell Bookcases</t>
  </si>
  <si>
    <t>IL-2023-270667</t>
  </si>
  <si>
    <t>IS-98791</t>
  </si>
  <si>
    <t>Timothy Kramer</t>
  </si>
  <si>
    <t>OFF-ST-30680</t>
  </si>
  <si>
    <t>Without Storage</t>
  </si>
  <si>
    <t>FL-2023-563752</t>
  </si>
  <si>
    <t>OL-74101</t>
  </si>
  <si>
    <t>Chelsea Bird</t>
  </si>
  <si>
    <t>OFF-LA-73472</t>
  </si>
  <si>
    <t>Consumer Labels</t>
  </si>
  <si>
    <t>CA-2023-350796</t>
  </si>
  <si>
    <t>NY-45708</t>
  </si>
  <si>
    <t>Kristy Rivas</t>
  </si>
  <si>
    <t>TEC-CO-66342</t>
  </si>
  <si>
    <t>Couple Copiers</t>
  </si>
  <si>
    <t>NY-2024-841853</t>
  </si>
  <si>
    <t>YX-59456</t>
  </si>
  <si>
    <t>Raymond Garcia</t>
  </si>
  <si>
    <t>FUR-BO-61691</t>
  </si>
  <si>
    <t>Price Bookcases</t>
  </si>
  <si>
    <t>PA-2024-988023</t>
  </si>
  <si>
    <t>SF-17920</t>
  </si>
  <si>
    <t>Donald Bowen</t>
  </si>
  <si>
    <t>OFF-PA-12976</t>
  </si>
  <si>
    <t>Than Paper</t>
  </si>
  <si>
    <t>NY-2023-328799</t>
  </si>
  <si>
    <t>AF-24168</t>
  </si>
  <si>
    <t>Jasmine Rodriguez</t>
  </si>
  <si>
    <t>TEC-CO-78539</t>
  </si>
  <si>
    <t>Throughout Copiers</t>
  </si>
  <si>
    <t>FL-2023-937897</t>
  </si>
  <si>
    <t>NX-47396</t>
  </si>
  <si>
    <t>Shari Brooks</t>
  </si>
  <si>
    <t>Attention Accessories</t>
  </si>
  <si>
    <t>NY-2024-677146</t>
  </si>
  <si>
    <t>IE-51466</t>
  </si>
  <si>
    <t>Christine Martinez</t>
  </si>
  <si>
    <t>FUR-BO-85511</t>
  </si>
  <si>
    <t>In Bookcases</t>
  </si>
  <si>
    <t>MI-2023-515633</t>
  </si>
  <si>
    <t>QS-14265</t>
  </si>
  <si>
    <t>Ronald Gonzalez</t>
  </si>
  <si>
    <t>TEC-AC-63896</t>
  </si>
  <si>
    <t>Yes Accessories</t>
  </si>
  <si>
    <t>OH-2023-614949</t>
  </si>
  <si>
    <t>OX-39882</t>
  </si>
  <si>
    <t>Tamara Maddox</t>
  </si>
  <si>
    <t>OFF-ST-55246</t>
  </si>
  <si>
    <t>Pick Storage</t>
  </si>
  <si>
    <t>IL-2024-938077</t>
  </si>
  <si>
    <t>AN-81309</t>
  </si>
  <si>
    <t>Benjamin King</t>
  </si>
  <si>
    <t>TEC-CO-38072</t>
  </si>
  <si>
    <t>TX-2023-519082</t>
  </si>
  <si>
    <t>XZ-92653</t>
  </si>
  <si>
    <t>Linda Maxwell</t>
  </si>
  <si>
    <t>OFF-ST-43843</t>
  </si>
  <si>
    <t>Career Storage</t>
  </si>
  <si>
    <t>MI-2024-193852</t>
  </si>
  <si>
    <t>ON-98690</t>
  </si>
  <si>
    <t>Keith Thompson</t>
  </si>
  <si>
    <t>TEC-CO-46806</t>
  </si>
  <si>
    <t>Professor Copiers</t>
  </si>
  <si>
    <t>OH-2023-259580</t>
  </si>
  <si>
    <t>ET-86945</t>
  </si>
  <si>
    <t>Thomas Powell</t>
  </si>
  <si>
    <t>OFF-BI-22974</t>
  </si>
  <si>
    <t>Front Binders</t>
  </si>
  <si>
    <t>MI-2023-928368</t>
  </si>
  <si>
    <t>JO-63266</t>
  </si>
  <si>
    <t>Brian Gray</t>
  </si>
  <si>
    <t>OFF-LA-81250</t>
  </si>
  <si>
    <t>Health Labels</t>
  </si>
  <si>
    <t>IL-2024-297991</t>
  </si>
  <si>
    <t>MY-65046</t>
  </si>
  <si>
    <t>Cynthia Lynn</t>
  </si>
  <si>
    <t>OFF-AR-53348</t>
  </si>
  <si>
    <t>Of Art</t>
  </si>
  <si>
    <t>OH-2024-407949</t>
  </si>
  <si>
    <t>MX-67032</t>
  </si>
  <si>
    <t>Douglas Jones</t>
  </si>
  <si>
    <t>OFF-ST-32092</t>
  </si>
  <si>
    <t>FL-2024-420898</t>
  </si>
  <si>
    <t>HB-86687</t>
  </si>
  <si>
    <t>Erin Peters</t>
  </si>
  <si>
    <t>FUR-TA-98363</t>
  </si>
  <si>
    <t>Include Tables</t>
  </si>
  <si>
    <t>CA-2023-194893</t>
  </si>
  <si>
    <t>VI-26442</t>
  </si>
  <si>
    <t>Nichole Rojas</t>
  </si>
  <si>
    <t>TEC-CO-93395</t>
  </si>
  <si>
    <t>Expert Copiers</t>
  </si>
  <si>
    <t>IL-2024-194227</t>
  </si>
  <si>
    <t>JZ-55954</t>
  </si>
  <si>
    <t>Daniel Charles</t>
  </si>
  <si>
    <t>TEC-AC-93873</t>
  </si>
  <si>
    <t>Condition Accessories</t>
  </si>
  <si>
    <t>CA-2023-534693</t>
  </si>
  <si>
    <t>TU-71912</t>
  </si>
  <si>
    <t>Diane Martinez</t>
  </si>
  <si>
    <t>FUR-TA-77849</t>
  </si>
  <si>
    <t>War Tables</t>
  </si>
  <si>
    <t>CA-2024-863071</t>
  </si>
  <si>
    <t>SX-19970</t>
  </si>
  <si>
    <t>Christian Baker</t>
  </si>
  <si>
    <t>OFF-ST-43368</t>
  </si>
  <si>
    <t>Tv Storage</t>
  </si>
  <si>
    <t>IL-2024-323226</t>
  </si>
  <si>
    <t>AA-75148</t>
  </si>
  <si>
    <t>Kara Thompson</t>
  </si>
  <si>
    <t>TEC-MA-48324</t>
  </si>
  <si>
    <t>Only Machines</t>
  </si>
  <si>
    <t>TX-2023-190750</t>
  </si>
  <si>
    <t>HS-63238</t>
  </si>
  <si>
    <t>Dennis Jacobs</t>
  </si>
  <si>
    <t>TEC-PH-90544</t>
  </si>
  <si>
    <t>Professional Phones</t>
  </si>
  <si>
    <t>PA-2024-166246</t>
  </si>
  <si>
    <t>DB-24210</t>
  </si>
  <si>
    <t>Howard Bryant</t>
  </si>
  <si>
    <t>FUR-BO-34761</t>
  </si>
  <si>
    <t>Sense Bookcases</t>
  </si>
  <si>
    <t>CA-2024-848257</t>
  </si>
  <si>
    <t>XJ-14795</t>
  </si>
  <si>
    <t>Derrick George</t>
  </si>
  <si>
    <t>TEC-PH-84794</t>
  </si>
  <si>
    <t>Quite Phones</t>
  </si>
  <si>
    <t>OH-2023-745598</t>
  </si>
  <si>
    <t>YZ-47538</t>
  </si>
  <si>
    <t>Ricky Campbell</t>
  </si>
  <si>
    <t>OFF-ST-61769</t>
  </si>
  <si>
    <t>Opportunity Storage</t>
  </si>
  <si>
    <t>IL-2024-599781</t>
  </si>
  <si>
    <t>FR-50282</t>
  </si>
  <si>
    <t>Stacy Aguirre</t>
  </si>
  <si>
    <t>FUR-CH-17996</t>
  </si>
  <si>
    <t>Product Chairs</t>
  </si>
  <si>
    <t>PA-2023-489249</t>
  </si>
  <si>
    <t>RI-90188</t>
  </si>
  <si>
    <t>Matthew Adams</t>
  </si>
  <si>
    <t>FUR-FU-43804</t>
  </si>
  <si>
    <t>Know Furnishings</t>
  </si>
  <si>
    <t>PA-2023-231223</t>
  </si>
  <si>
    <t>JT-92952</t>
  </si>
  <si>
    <t>Kathleen Long</t>
  </si>
  <si>
    <t>TEC-PH-18106</t>
  </si>
  <si>
    <t>Than Phones</t>
  </si>
  <si>
    <t>IL-2023-256708</t>
  </si>
  <si>
    <t>SA-78109</t>
  </si>
  <si>
    <t>Timothy Stevens</t>
  </si>
  <si>
    <t>OFF-BI-38719</t>
  </si>
  <si>
    <t>Easy Binders</t>
  </si>
  <si>
    <t>CA-2023-669605</t>
  </si>
  <si>
    <t>GE-14460</t>
  </si>
  <si>
    <t>Angela Cervantes</t>
  </si>
  <si>
    <t>TEC-MA-11460</t>
  </si>
  <si>
    <t>Throw Machines</t>
  </si>
  <si>
    <t>PA-2024-765444</t>
  </si>
  <si>
    <t>BD-81752</t>
  </si>
  <si>
    <t>Andrew Taylor</t>
  </si>
  <si>
    <t>FUR-TA-70914</t>
  </si>
  <si>
    <t>One Tables</t>
  </si>
  <si>
    <t>OH-2023-784246</t>
  </si>
  <si>
    <t>QL-50260</t>
  </si>
  <si>
    <t>Emma Walls</t>
  </si>
  <si>
    <t>TEC-AC-22564</t>
  </si>
  <si>
    <t>Affect Accessories</t>
  </si>
  <si>
    <t>FL-2024-647770</t>
  </si>
  <si>
    <t>HC-27404</t>
  </si>
  <si>
    <t>Kelly Smith</t>
  </si>
  <si>
    <t>TEC-AC-93317</t>
  </si>
  <si>
    <t>Debate Accessories</t>
  </si>
  <si>
    <t>FL-2023-827067</t>
  </si>
  <si>
    <t>RF-22399</t>
  </si>
  <si>
    <t>Marie Moore</t>
  </si>
  <si>
    <t>TEC-CO-86238</t>
  </si>
  <si>
    <t>OH-2023-522861</t>
  </si>
  <si>
    <t>IM-64729</t>
  </si>
  <si>
    <t>Rebecca Barnett</t>
  </si>
  <si>
    <t>FUR-TA-84480</t>
  </si>
  <si>
    <t>Throw Tables</t>
  </si>
  <si>
    <t>NY-2024-253759</t>
  </si>
  <si>
    <t>UK-23521</t>
  </si>
  <si>
    <t>Parker Holland</t>
  </si>
  <si>
    <t>OFF-AR-62486</t>
  </si>
  <si>
    <t>Kitchen Art</t>
  </si>
  <si>
    <t>CA-2023-683355</t>
  </si>
  <si>
    <t>HQ-57486</t>
  </si>
  <si>
    <t>Cathy Mclaughlin</t>
  </si>
  <si>
    <t>TEC-CO-36002</t>
  </si>
  <si>
    <t>Speak Copiers</t>
  </si>
  <si>
    <t>MI-2023-498636</t>
  </si>
  <si>
    <t>QG-61186</t>
  </si>
  <si>
    <t>Rodney Bridges</t>
  </si>
  <si>
    <t>OFF-BI-34364</t>
  </si>
  <si>
    <t>Prevent Binders</t>
  </si>
  <si>
    <t>TX-2023-135006</t>
  </si>
  <si>
    <t>SE-13002</t>
  </si>
  <si>
    <t>Matthew Brown</t>
  </si>
  <si>
    <t>OFF-BI-30218</t>
  </si>
  <si>
    <t>Behind Binders</t>
  </si>
  <si>
    <t>IL-2023-607871</t>
  </si>
  <si>
    <t>TV-74965</t>
  </si>
  <si>
    <t>Anna Adams</t>
  </si>
  <si>
    <t>OFF-ST-96105</t>
  </si>
  <si>
    <t>Strong Storage</t>
  </si>
  <si>
    <t>IL-2024-617742</t>
  </si>
  <si>
    <t>IU-81971</t>
  </si>
  <si>
    <t>Tracy Leonard</t>
  </si>
  <si>
    <t>TEC-CO-27140</t>
  </si>
  <si>
    <t>Process Copiers</t>
  </si>
  <si>
    <t>IL-2024-564039</t>
  </si>
  <si>
    <t>IC-45840</t>
  </si>
  <si>
    <t>Lisa Stanley</t>
  </si>
  <si>
    <t>OFF-ST-15688</t>
  </si>
  <si>
    <t>Improve Storage</t>
  </si>
  <si>
    <t>OH-2024-512385</t>
  </si>
  <si>
    <t>MX-40434</t>
  </si>
  <si>
    <t>Rachel Robertson</t>
  </si>
  <si>
    <t>OFF-AR-63175</t>
  </si>
  <si>
    <t>Some Art</t>
  </si>
  <si>
    <t>CA-2023-446153</t>
  </si>
  <si>
    <t>JG-65989</t>
  </si>
  <si>
    <t>Matthew Larson</t>
  </si>
  <si>
    <t>OFF-AR-17680</t>
  </si>
  <si>
    <t>Tax Art</t>
  </si>
  <si>
    <t>NY-2023-221417</t>
  </si>
  <si>
    <t>MR-51026</t>
  </si>
  <si>
    <t>Patricia Holmes</t>
  </si>
  <si>
    <t>TEC-MA-75891</t>
  </si>
  <si>
    <t>Speech Machines</t>
  </si>
  <si>
    <t>PA-2023-986143</t>
  </si>
  <si>
    <t>SA-23161</t>
  </si>
  <si>
    <t>David Murray</t>
  </si>
  <si>
    <t>TEC-CO-51373</t>
  </si>
  <si>
    <t>Mouth Copiers</t>
  </si>
  <si>
    <t>TX-2023-997127</t>
  </si>
  <si>
    <t>CB-81038</t>
  </si>
  <si>
    <t>Christopher Mercer</t>
  </si>
  <si>
    <t>OFF-AR-17182</t>
  </si>
  <si>
    <t>Practice Art</t>
  </si>
  <si>
    <t>PA-2024-226682</t>
  </si>
  <si>
    <t>LP-79763</t>
  </si>
  <si>
    <t>Martin Simpson</t>
  </si>
  <si>
    <t>FUR-FU-96542</t>
  </si>
  <si>
    <t>PA-2023-614217</t>
  </si>
  <si>
    <t>NT-30145</t>
  </si>
  <si>
    <t>Brittany Edwards</t>
  </si>
  <si>
    <t>FUR-CH-28415</t>
  </si>
  <si>
    <t>Able Chairs</t>
  </si>
  <si>
    <t>CA-2023-601219</t>
  </si>
  <si>
    <t>YW-78439</t>
  </si>
  <si>
    <t>Miranda Anderson</t>
  </si>
  <si>
    <t>OFF-PA-30250</t>
  </si>
  <si>
    <t>Though Paper</t>
  </si>
  <si>
    <t>NY-2023-781224</t>
  </si>
  <si>
    <t>WR-19624</t>
  </si>
  <si>
    <t>Denise Anderson</t>
  </si>
  <si>
    <t>OFF-PA-98312</t>
  </si>
  <si>
    <t>Goal Paper</t>
  </si>
  <si>
    <t>FL-2023-305171</t>
  </si>
  <si>
    <t>UU-86508</t>
  </si>
  <si>
    <t>Anthony Brown</t>
  </si>
  <si>
    <t>TEC-MA-86127</t>
  </si>
  <si>
    <t>Themselves Machines</t>
  </si>
  <si>
    <t>TX-2023-710980</t>
  </si>
  <si>
    <t>SY-81771</t>
  </si>
  <si>
    <t>Bobby Mendoza</t>
  </si>
  <si>
    <t>OFF-ST-14042</t>
  </si>
  <si>
    <t>Employee Storage</t>
  </si>
  <si>
    <t>TX-2023-365470</t>
  </si>
  <si>
    <t>RX-80925</t>
  </si>
  <si>
    <t>Alejandro Murphy</t>
  </si>
  <si>
    <t>FUR-FU-23396</t>
  </si>
  <si>
    <t>Ability Furnishings</t>
  </si>
  <si>
    <t>PA-2023-534079</t>
  </si>
  <si>
    <t>MP-54627</t>
  </si>
  <si>
    <t>Sarah West</t>
  </si>
  <si>
    <t>OFF-AR-83072</t>
  </si>
  <si>
    <t>Economy Art</t>
  </si>
  <si>
    <t>NY-2023-404460</t>
  </si>
  <si>
    <t>FE-33480</t>
  </si>
  <si>
    <t>Carol Hardy</t>
  </si>
  <si>
    <t>FUR-TA-69524</t>
  </si>
  <si>
    <t>Political Tables</t>
  </si>
  <si>
    <t>NY-2024-229460</t>
  </si>
  <si>
    <t>DC-86342</t>
  </si>
  <si>
    <t>Brittney Hatfield</t>
  </si>
  <si>
    <t>FUR-FU-26970</t>
  </si>
  <si>
    <t>Treatment Furnishings</t>
  </si>
  <si>
    <t>IL-2023-383187</t>
  </si>
  <si>
    <t>IU-95257</t>
  </si>
  <si>
    <t>Nancy Esparza PhD</t>
  </si>
  <si>
    <t>FUR-FU-58441</t>
  </si>
  <si>
    <t>Tend Furnishings</t>
  </si>
  <si>
    <t>TX-2023-437944</t>
  </si>
  <si>
    <t>LA-54591</t>
  </si>
  <si>
    <t>Sandra Jones</t>
  </si>
  <si>
    <t>OFF-PA-14436</t>
  </si>
  <si>
    <t>Scientist Paper</t>
  </si>
  <si>
    <t>PA-2023-108655</t>
  </si>
  <si>
    <t>ZQ-36111</t>
  </si>
  <si>
    <t>Lauren Mullen</t>
  </si>
  <si>
    <t>FUR-BO-77506</t>
  </si>
  <si>
    <t>Put Bookcases</t>
  </si>
  <si>
    <t>TX-2023-733897</t>
  </si>
  <si>
    <t>CO-39651</t>
  </si>
  <si>
    <t>Mrs. Tara Washington</t>
  </si>
  <si>
    <t>FUR-TA-93974</t>
  </si>
  <si>
    <t>Through Tables</t>
  </si>
  <si>
    <t>MI-2024-720485</t>
  </si>
  <si>
    <t>DY-29475</t>
  </si>
  <si>
    <t>Patricia Aguilar</t>
  </si>
  <si>
    <t>FUR-FU-79586</t>
  </si>
  <si>
    <t>Different Furnishings</t>
  </si>
  <si>
    <t>CA-2024-257919</t>
  </si>
  <si>
    <t>FP-70707</t>
  </si>
  <si>
    <t>James Griffin</t>
  </si>
  <si>
    <t>TEC-MA-38448</t>
  </si>
  <si>
    <t>Enter Machines</t>
  </si>
  <si>
    <t>IL-2023-304914</t>
  </si>
  <si>
    <t>FA-50739</t>
  </si>
  <si>
    <t>Anthony Johnson</t>
  </si>
  <si>
    <t>TEC-AC-26811</t>
  </si>
  <si>
    <t>Appear Accessories</t>
  </si>
  <si>
    <t>FL-2024-452750</t>
  </si>
  <si>
    <t>BA-30819</t>
  </si>
  <si>
    <t>Robert Gibbs</t>
  </si>
  <si>
    <t>OFF-PA-61997</t>
  </si>
  <si>
    <t>One Paper</t>
  </si>
  <si>
    <t>MI-2023-858077</t>
  </si>
  <si>
    <t>FN-37211</t>
  </si>
  <si>
    <t>Danny Smith</t>
  </si>
  <si>
    <t>TEC-AC-61121</t>
  </si>
  <si>
    <t>Source Accessories</t>
  </si>
  <si>
    <t>IL-2023-369404</t>
  </si>
  <si>
    <t>KN-11995</t>
  </si>
  <si>
    <t>Todd Chase</t>
  </si>
  <si>
    <t>FUR-TA-47507</t>
  </si>
  <si>
    <t>World Tables</t>
  </si>
  <si>
    <t>MI-2023-950158</t>
  </si>
  <si>
    <t>VG-39764</t>
  </si>
  <si>
    <t>Stacy Tran</t>
  </si>
  <si>
    <t>OFF-AR-69103</t>
  </si>
  <si>
    <t>Ready Art</t>
  </si>
  <si>
    <t>MI-2024-874785</t>
  </si>
  <si>
    <t>TK-79557</t>
  </si>
  <si>
    <t>Tina Scott</t>
  </si>
  <si>
    <t>TEC-PH-72411</t>
  </si>
  <si>
    <t>National Phones</t>
  </si>
  <si>
    <t>NY-2024-402478</t>
  </si>
  <si>
    <t>EE-30994</t>
  </si>
  <si>
    <t>Jennifer Knight</t>
  </si>
  <si>
    <t>FUR-CH-88916</t>
  </si>
  <si>
    <t>Machine Chairs</t>
  </si>
  <si>
    <t>FL-2024-682563</t>
  </si>
  <si>
    <t>CV-75060</t>
  </si>
  <si>
    <t>Mary Porter</t>
  </si>
  <si>
    <t>FUR-FU-12359</t>
  </si>
  <si>
    <t>Low Furnishings</t>
  </si>
  <si>
    <t>NY-2023-996330</t>
  </si>
  <si>
    <t>VW-25849</t>
  </si>
  <si>
    <t>Kirsten Wilson</t>
  </si>
  <si>
    <t>FUR-FU-80409</t>
  </si>
  <si>
    <t>Card Furnishings</t>
  </si>
  <si>
    <t>IL-2024-775122</t>
  </si>
  <si>
    <t>QT-62729</t>
  </si>
  <si>
    <t>Evelyn Young</t>
  </si>
  <si>
    <t>TEC-MA-14254</t>
  </si>
  <si>
    <t>IL-2023-217928</t>
  </si>
  <si>
    <t>KH-30187</t>
  </si>
  <si>
    <t>James Williams</t>
  </si>
  <si>
    <t>FUR-BO-13812</t>
  </si>
  <si>
    <t>Relate Bookcases</t>
  </si>
  <si>
    <t>OH-2024-756323</t>
  </si>
  <si>
    <t>RB-85941</t>
  </si>
  <si>
    <t>Dale Wright</t>
  </si>
  <si>
    <t>OFF-AR-91975</t>
  </si>
  <si>
    <t>Doctor Art</t>
  </si>
  <si>
    <t>FL-2024-452797</t>
  </si>
  <si>
    <t>IR-70452</t>
  </si>
  <si>
    <t>Debra Gomez</t>
  </si>
  <si>
    <t>TEC-MA-72421</t>
  </si>
  <si>
    <t>Line Machines</t>
  </si>
  <si>
    <t>TX-2024-330748</t>
  </si>
  <si>
    <t>IV-66669</t>
  </si>
  <si>
    <t>Carla Gonzalez</t>
  </si>
  <si>
    <t>FUR-CH-36277</t>
  </si>
  <si>
    <t>Wear Chairs</t>
  </si>
  <si>
    <t>IL-2023-422770</t>
  </si>
  <si>
    <t>Sarah Nguyen</t>
  </si>
  <si>
    <t>TEC-AC-19776</t>
  </si>
  <si>
    <t>Few Accessories</t>
  </si>
  <si>
    <t>IL-2024-838234</t>
  </si>
  <si>
    <t>HM-73072</t>
  </si>
  <si>
    <t>Jason Cox</t>
  </si>
  <si>
    <t>TEC-PH-59993</t>
  </si>
  <si>
    <t>Positive Phones</t>
  </si>
  <si>
    <t>NY-2023-580320</t>
  </si>
  <si>
    <t>BJ-98424</t>
  </si>
  <si>
    <t>Mark Diaz</t>
  </si>
  <si>
    <t>FUR-TA-76704</t>
  </si>
  <si>
    <t>Wish Tables</t>
  </si>
  <si>
    <t>PA-2024-815154</t>
  </si>
  <si>
    <t>PO-74080</t>
  </si>
  <si>
    <t>Jordan Elliott</t>
  </si>
  <si>
    <t>FUR-BO-25156</t>
  </si>
  <si>
    <t>Safe Bookcases</t>
  </si>
  <si>
    <t>CA-2024-632651</t>
  </si>
  <si>
    <t>LC-14578</t>
  </si>
  <si>
    <t>Michael Hill</t>
  </si>
  <si>
    <t>OFF-AR-72165</t>
  </si>
  <si>
    <t>Actually Art</t>
  </si>
  <si>
    <t>FL-2024-387107</t>
  </si>
  <si>
    <t>IK-60158</t>
  </si>
  <si>
    <t>Shelby Rodriguez</t>
  </si>
  <si>
    <t>FUR-FU-61853</t>
  </si>
  <si>
    <t>She Furnishings</t>
  </si>
  <si>
    <t>IL-2024-564119</t>
  </si>
  <si>
    <t>ZZ-46054</t>
  </si>
  <si>
    <t>Christopher Mason Jr.</t>
  </si>
  <si>
    <t>OFF-ST-94905</t>
  </si>
  <si>
    <t>Foot Storage</t>
  </si>
  <si>
    <t>OH-2024-338016</t>
  </si>
  <si>
    <t>ST-67793</t>
  </si>
  <si>
    <t>Theresa Hayes</t>
  </si>
  <si>
    <t>OFF-AR-14264</t>
  </si>
  <si>
    <t>Alone Art</t>
  </si>
  <si>
    <t>TX-2023-526856</t>
  </si>
  <si>
    <t>WM-13824</t>
  </si>
  <si>
    <t>Megan Miranda</t>
  </si>
  <si>
    <t>FUR-FU-37398</t>
  </si>
  <si>
    <t>Their Furnishings</t>
  </si>
  <si>
    <t>TX-2023-941131</t>
  </si>
  <si>
    <t>VM-79856</t>
  </si>
  <si>
    <t>Alexander Collins</t>
  </si>
  <si>
    <t>TEC-MA-36997</t>
  </si>
  <si>
    <t>CA-2023-329020</t>
  </si>
  <si>
    <t>AI-44662</t>
  </si>
  <si>
    <t>Adam Gross</t>
  </si>
  <si>
    <t>OFF-AR-29219</t>
  </si>
  <si>
    <t>Set Art</t>
  </si>
  <si>
    <t>TX-2024-220570</t>
  </si>
  <si>
    <t>PO-72360</t>
  </si>
  <si>
    <t>Peter Ruiz</t>
  </si>
  <si>
    <t>TEC-MA-36500</t>
  </si>
  <si>
    <t>Leader Machines</t>
  </si>
  <si>
    <t>MI-2023-996546</t>
  </si>
  <si>
    <t>WU-63725</t>
  </si>
  <si>
    <t>Aaron Griffin</t>
  </si>
  <si>
    <t>FUR-FU-13800</t>
  </si>
  <si>
    <t>Today Furnishings</t>
  </si>
  <si>
    <t>TX-2023-728845</t>
  </si>
  <si>
    <t>GK-38628</t>
  </si>
  <si>
    <t>David Reid</t>
  </si>
  <si>
    <t>FUR-CH-34589</t>
  </si>
  <si>
    <t>Big Chairs</t>
  </si>
  <si>
    <t>FL-2024-531201</t>
  </si>
  <si>
    <t>OK-74130</t>
  </si>
  <si>
    <t>Steven Sandoval</t>
  </si>
  <si>
    <t>FUR-BO-92309</t>
  </si>
  <si>
    <t>IL-2024-656697</t>
  </si>
  <si>
    <t>Ashley Chen</t>
  </si>
  <si>
    <t>TEC-CO-70612</t>
  </si>
  <si>
    <t>Allow Copiers</t>
  </si>
  <si>
    <t>CA-2023-223400</t>
  </si>
  <si>
    <t>DV-43597</t>
  </si>
  <si>
    <t>Mr. William Castillo</t>
  </si>
  <si>
    <t>TEC-PH-66101</t>
  </si>
  <si>
    <t>West Phones</t>
  </si>
  <si>
    <t>PA-2023-125118</t>
  </si>
  <si>
    <t>AE-92094</t>
  </si>
  <si>
    <t>April Serrano</t>
  </si>
  <si>
    <t>OFF-LA-54863</t>
  </si>
  <si>
    <t>Until Labels</t>
  </si>
  <si>
    <t>OH-2024-305346</t>
  </si>
  <si>
    <t>ZO-56952</t>
  </si>
  <si>
    <t>Lisa Foley</t>
  </si>
  <si>
    <t>OFF-ST-10421</t>
  </si>
  <si>
    <t>MI-2023-271287</t>
  </si>
  <si>
    <t>TH-38180</t>
  </si>
  <si>
    <t>TEC-CO-10573</t>
  </si>
  <si>
    <t>NY-2023-415575</t>
  </si>
  <si>
    <t>RQ-17328</t>
  </si>
  <si>
    <t>Lindsey Garcia</t>
  </si>
  <si>
    <t>OFF-AR-47733</t>
  </si>
  <si>
    <t>Answer Art</t>
  </si>
  <si>
    <t>NY-2024-971395</t>
  </si>
  <si>
    <t>TO-78978</t>
  </si>
  <si>
    <t>Heather Jenkins</t>
  </si>
  <si>
    <t>OFF-LA-80226</t>
  </si>
  <si>
    <t>After Labels</t>
  </si>
  <si>
    <t>PA-2023-479937</t>
  </si>
  <si>
    <t>TI-79188</t>
  </si>
  <si>
    <t>Robert Hernandez</t>
  </si>
  <si>
    <t>TEC-PH-54111</t>
  </si>
  <si>
    <t>IL-2024-877772</t>
  </si>
  <si>
    <t>GK-11952</t>
  </si>
  <si>
    <t>Kimberly Burns</t>
  </si>
  <si>
    <t>OFF-AR-82667</t>
  </si>
  <si>
    <t>Dream Art</t>
  </si>
  <si>
    <t>PA-2023-565168</t>
  </si>
  <si>
    <t>IZ-56176</t>
  </si>
  <si>
    <t>Mr. David Tucker</t>
  </si>
  <si>
    <t>TEC-AC-58269</t>
  </si>
  <si>
    <t>Street Accessories</t>
  </si>
  <si>
    <t>MI-2024-758071</t>
  </si>
  <si>
    <t>EN-85290</t>
  </si>
  <si>
    <t>Paul Nelson</t>
  </si>
  <si>
    <t>OFF-ST-25397</t>
  </si>
  <si>
    <t>Account Storage</t>
  </si>
  <si>
    <t>MI-2023-845217</t>
  </si>
  <si>
    <t>UH-81751</t>
  </si>
  <si>
    <t>Dana Foster DVM</t>
  </si>
  <si>
    <t>TEC-MA-70534</t>
  </si>
  <si>
    <t>Will Machines</t>
  </si>
  <si>
    <t>PA-2023-460192</t>
  </si>
  <si>
    <t>XU-68556</t>
  </si>
  <si>
    <t>Veronica Perez</t>
  </si>
  <si>
    <t>TEC-PH-59231</t>
  </si>
  <si>
    <t>Fund Phones</t>
  </si>
  <si>
    <t>TX-2023-389726</t>
  </si>
  <si>
    <t>PU-54431</t>
  </si>
  <si>
    <t>Jessica Long</t>
  </si>
  <si>
    <t>OFF-ST-82834</t>
  </si>
  <si>
    <t>Must Storage</t>
  </si>
  <si>
    <t>FL-2023-491131</t>
  </si>
  <si>
    <t>GY-76712</t>
  </si>
  <si>
    <t>Monica Dominguez</t>
  </si>
  <si>
    <t>TEC-CO-11019</t>
  </si>
  <si>
    <t>Result Copiers</t>
  </si>
  <si>
    <t>MI-2024-903165</t>
  </si>
  <si>
    <t>BA-39237</t>
  </si>
  <si>
    <t>Rebecca Buck</t>
  </si>
  <si>
    <t>TEC-MA-16058</t>
  </si>
  <si>
    <t>PA-2023-192269</t>
  </si>
  <si>
    <t>DX-88278</t>
  </si>
  <si>
    <t>Danielle Flynn</t>
  </si>
  <si>
    <t>FUR-BO-58421</t>
  </si>
  <si>
    <t>Economy Bookcases</t>
  </si>
  <si>
    <t>OH-2023-624051</t>
  </si>
  <si>
    <t>RN-81217</t>
  </si>
  <si>
    <t>Brenda Hopkins</t>
  </si>
  <si>
    <t>TEC-MA-77994</t>
  </si>
  <si>
    <t>Plan Machines</t>
  </si>
  <si>
    <t>MI-2024-523814</t>
  </si>
  <si>
    <t>JR-11035</t>
  </si>
  <si>
    <t>Paul Mendez</t>
  </si>
  <si>
    <t>FUR-TA-77174</t>
  </si>
  <si>
    <t>Poor Tables</t>
  </si>
  <si>
    <t>CA-2024-585595</t>
  </si>
  <si>
    <t>XD-88547</t>
  </si>
  <si>
    <t>David Hall</t>
  </si>
  <si>
    <t>OFF-BI-67978</t>
  </si>
  <si>
    <t>Determine Binders</t>
  </si>
  <si>
    <t>OH-2024-795993</t>
  </si>
  <si>
    <t>LL-89935</t>
  </si>
  <si>
    <t>Aaron Rodriguez</t>
  </si>
  <si>
    <t>TEC-CO-42679</t>
  </si>
  <si>
    <t>Black Copiers</t>
  </si>
  <si>
    <t>CA-2024-381300</t>
  </si>
  <si>
    <t>DF-25956</t>
  </si>
  <si>
    <t>Tracy Hammond</t>
  </si>
  <si>
    <t>TEC-AC-28232</t>
  </si>
  <si>
    <t>Mention Accessories</t>
  </si>
  <si>
    <t>CA-2023-590429</t>
  </si>
  <si>
    <t>QA-16977</t>
  </si>
  <si>
    <t>Douglas Owen</t>
  </si>
  <si>
    <t>TEC-PH-36706</t>
  </si>
  <si>
    <t>Drug Phones</t>
  </si>
  <si>
    <t>PA-2024-819832</t>
  </si>
  <si>
    <t>AG-95423</t>
  </si>
  <si>
    <t>Vanessa Shepherd</t>
  </si>
  <si>
    <t>OFF-PA-75852</t>
  </si>
  <si>
    <t>Two Paper</t>
  </si>
  <si>
    <t>IL-2024-730880</t>
  </si>
  <si>
    <t>CD-31706</t>
  </si>
  <si>
    <t>Kimberly Burke</t>
  </si>
  <si>
    <t>FUR-TA-63881</t>
  </si>
  <si>
    <t>What Tables</t>
  </si>
  <si>
    <t>OH-2024-362206</t>
  </si>
  <si>
    <t>GU-27994</t>
  </si>
  <si>
    <t>Dustin Lewis</t>
  </si>
  <si>
    <t>FUR-TA-20855</t>
  </si>
  <si>
    <t>Forward Tables</t>
  </si>
  <si>
    <t>FL-2024-993614</t>
  </si>
  <si>
    <t>NO-34580</t>
  </si>
  <si>
    <t>Amanda Snyder</t>
  </si>
  <si>
    <t>FUR-FU-65484</t>
  </si>
  <si>
    <t>Without Furnishings</t>
  </si>
  <si>
    <t>CA-2024-142527</t>
  </si>
  <si>
    <t>UE-15001</t>
  </si>
  <si>
    <t>Johnny Burgess</t>
  </si>
  <si>
    <t>FUR-CH-89054</t>
  </si>
  <si>
    <t>Civil Chairs</t>
  </si>
  <si>
    <t>CA-2024-988400</t>
  </si>
  <si>
    <t>UZ-56051</t>
  </si>
  <si>
    <t>Rebecca Riley</t>
  </si>
  <si>
    <t>TEC-MA-22541</t>
  </si>
  <si>
    <t>PA-2023-331552</t>
  </si>
  <si>
    <t>ZC-88032</t>
  </si>
  <si>
    <t>Harry Bridges</t>
  </si>
  <si>
    <t>FUR-BO-62619</t>
  </si>
  <si>
    <t>CA-2024-357770</t>
  </si>
  <si>
    <t>HM-46962</t>
  </si>
  <si>
    <t>Nathan Hunt</t>
  </si>
  <si>
    <t>FUR-CH-64233</t>
  </si>
  <si>
    <t>Next Chairs</t>
  </si>
  <si>
    <t>OH-2023-362717</t>
  </si>
  <si>
    <t>KA-29633</t>
  </si>
  <si>
    <t>Clarence Washington</t>
  </si>
  <si>
    <t>OFF-BI-17096</t>
  </si>
  <si>
    <t>Short Binders</t>
  </si>
  <si>
    <t>OH-2024-143693</t>
  </si>
  <si>
    <t>VW-70602</t>
  </si>
  <si>
    <t>Kathleen Hicks</t>
  </si>
  <si>
    <t>FUR-CH-20909</t>
  </si>
  <si>
    <t>Although Chairs</t>
  </si>
  <si>
    <t>FL-2023-117509</t>
  </si>
  <si>
    <t>YZ-20734</t>
  </si>
  <si>
    <t>Randy Roberts</t>
  </si>
  <si>
    <t>OFF-PA-17348</t>
  </si>
  <si>
    <t>Sign Paper</t>
  </si>
  <si>
    <t>OH-2024-758589</t>
  </si>
  <si>
    <t>CC-28701</t>
  </si>
  <si>
    <t>Michael Moore</t>
  </si>
  <si>
    <t>FUR-TA-19020</t>
  </si>
  <si>
    <t>More Tables</t>
  </si>
  <si>
    <t>PA-2023-335164</t>
  </si>
  <si>
    <t>UA-51380</t>
  </si>
  <si>
    <t>Terri Perez</t>
  </si>
  <si>
    <t>TEC-CO-49669</t>
  </si>
  <si>
    <t>CA-2023-200550</t>
  </si>
  <si>
    <t>KS-18059</t>
  </si>
  <si>
    <t>Lydia Lara</t>
  </si>
  <si>
    <t>FUR-TA-91579</t>
  </si>
  <si>
    <t>Feel Tables</t>
  </si>
  <si>
    <t>OH-2023-576067</t>
  </si>
  <si>
    <t>IV-14824</t>
  </si>
  <si>
    <t>Michelle Orozco</t>
  </si>
  <si>
    <t>TEC-PH-74694</t>
  </si>
  <si>
    <t>TX-2024-736040</t>
  </si>
  <si>
    <t>OA-87182</t>
  </si>
  <si>
    <t>Meagan Henderson</t>
  </si>
  <si>
    <t>OFF-ST-94355</t>
  </si>
  <si>
    <t>Population Storage</t>
  </si>
  <si>
    <t>PA-2023-875999</t>
  </si>
  <si>
    <t>VI-71221</t>
  </si>
  <si>
    <t>Stephanie Atkinson</t>
  </si>
  <si>
    <t>Appear Machines</t>
  </si>
  <si>
    <t>NY-2024-216034</t>
  </si>
  <si>
    <t>KK-92782</t>
  </si>
  <si>
    <t>Adrian Baker</t>
  </si>
  <si>
    <t>OFF-LA-25896</t>
  </si>
  <si>
    <t>Not Labels</t>
  </si>
  <si>
    <t>TX-2024-985330</t>
  </si>
  <si>
    <t>HT-16417</t>
  </si>
  <si>
    <t>Robert Williams</t>
  </si>
  <si>
    <t>FUR-CH-75482</t>
  </si>
  <si>
    <t>Get Chairs</t>
  </si>
  <si>
    <t>MI-2023-188737</t>
  </si>
  <si>
    <t>RB-60554</t>
  </si>
  <si>
    <t>Charles Haney</t>
  </si>
  <si>
    <t>FUR-BO-23786</t>
  </si>
  <si>
    <t>Since Bookcases</t>
  </si>
  <si>
    <t>OH-2023-721640</t>
  </si>
  <si>
    <t>FI-25745</t>
  </si>
  <si>
    <t>Gregory Holt</t>
  </si>
  <si>
    <t>OFF-PA-41478</t>
  </si>
  <si>
    <t>OH-2024-883294</t>
  </si>
  <si>
    <t>CO-34790</t>
  </si>
  <si>
    <t>Mr. Tracy Gates</t>
  </si>
  <si>
    <t>TEC-PH-82220</t>
  </si>
  <si>
    <t>Then Phones</t>
  </si>
  <si>
    <t>PA-2024-326660</t>
  </si>
  <si>
    <t>YC-26278</t>
  </si>
  <si>
    <t>Dylan Mcmillan</t>
  </si>
  <si>
    <t>OFF-BI-14731</t>
  </si>
  <si>
    <t>First Binders</t>
  </si>
  <si>
    <t>TX-2024-713698</t>
  </si>
  <si>
    <t>EU-98898</t>
  </si>
  <si>
    <t>William Cabrera</t>
  </si>
  <si>
    <t>FUR-BO-42154</t>
  </si>
  <si>
    <t>Wife Bookcases</t>
  </si>
  <si>
    <t>FL-2023-445426</t>
  </si>
  <si>
    <t>QI-16981</t>
  </si>
  <si>
    <t>Mary Colon</t>
  </si>
  <si>
    <t>TEC-CO-81940</t>
  </si>
  <si>
    <t>Appear Copiers</t>
  </si>
  <si>
    <t>PA-2023-574016</t>
  </si>
  <si>
    <t>UZ-28015</t>
  </si>
  <si>
    <t>Taylor Barber</t>
  </si>
  <si>
    <t>FUR-BO-67736</t>
  </si>
  <si>
    <t>Raise Bookcases</t>
  </si>
  <si>
    <t>PA-2023-431628</t>
  </si>
  <si>
    <t>VJ-83733</t>
  </si>
  <si>
    <t>Daniel Mcdonald</t>
  </si>
  <si>
    <t>OFF-ST-36717</t>
  </si>
  <si>
    <t>Player Storage</t>
  </si>
  <si>
    <t>MI-2024-133195</t>
  </si>
  <si>
    <t>DB-91120</t>
  </si>
  <si>
    <t>William Porter</t>
  </si>
  <si>
    <t>TEC-PH-34654</t>
  </si>
  <si>
    <t>Family Phones</t>
  </si>
  <si>
    <t>OH-2024-104995</t>
  </si>
  <si>
    <t>FQ-85055</t>
  </si>
  <si>
    <t>Andrew Ramsey</t>
  </si>
  <si>
    <t>FUR-TA-44868</t>
  </si>
  <si>
    <t>Education Tables</t>
  </si>
  <si>
    <t>NY-2023-101464</t>
  </si>
  <si>
    <t>DC-90123</t>
  </si>
  <si>
    <t>Christopher Williams</t>
  </si>
  <si>
    <t>TEC-PH-38066</t>
  </si>
  <si>
    <t>Focus Phones</t>
  </si>
  <si>
    <t>TX-2024-851451</t>
  </si>
  <si>
    <t>BD-70038</t>
  </si>
  <si>
    <t>Melanie Sanchez</t>
  </si>
  <si>
    <t>OFF-LA-94282</t>
  </si>
  <si>
    <t>Office Labels</t>
  </si>
  <si>
    <t>OH-2023-103404</t>
  </si>
  <si>
    <t>IO-42854</t>
  </si>
  <si>
    <t>Frank Adams</t>
  </si>
  <si>
    <t>TEC-AC-28885</t>
  </si>
  <si>
    <t>Girl Accessories</t>
  </si>
  <si>
    <t>CA-2024-973673</t>
  </si>
  <si>
    <t>XV-64672</t>
  </si>
  <si>
    <t>Ryan White</t>
  </si>
  <si>
    <t>FUR-BO-16746</t>
  </si>
  <si>
    <t>NY-2023-405203</t>
  </si>
  <si>
    <t>EK-18830</t>
  </si>
  <si>
    <t>Donald Massey</t>
  </si>
  <si>
    <t>TEC-PH-89609</t>
  </si>
  <si>
    <t>Federal Phones</t>
  </si>
  <si>
    <t>CA-2023-643045</t>
  </si>
  <si>
    <t>FV-66504</t>
  </si>
  <si>
    <t>Matthew Wade</t>
  </si>
  <si>
    <t>OFF-AR-25279</t>
  </si>
  <si>
    <t>NY-2023-189804</t>
  </si>
  <si>
    <t>YY-30975</t>
  </si>
  <si>
    <t>Cassandra Walter</t>
  </si>
  <si>
    <t>TEC-CO-76031</t>
  </si>
  <si>
    <t>Within Copiers</t>
  </si>
  <si>
    <t>FL-2023-398330</t>
  </si>
  <si>
    <t>TI-10749</t>
  </si>
  <si>
    <t>Amanda White</t>
  </si>
  <si>
    <t>FUR-BO-24165</t>
  </si>
  <si>
    <t>Understand Bookcases</t>
  </si>
  <si>
    <t>OH-2024-481668</t>
  </si>
  <si>
    <t>RT-70732</t>
  </si>
  <si>
    <t>Jamie Ramirez</t>
  </si>
  <si>
    <t>TEC-PH-42413</t>
  </si>
  <si>
    <t>Number Phones</t>
  </si>
  <si>
    <t>PA-2023-934558</t>
  </si>
  <si>
    <t>TK-22465</t>
  </si>
  <si>
    <t>Christopher Knight</t>
  </si>
  <si>
    <t>FUR-BO-77814</t>
  </si>
  <si>
    <t>IL-2023-862593</t>
  </si>
  <si>
    <t>ZQ-32826</t>
  </si>
  <si>
    <t>Veronica Myers</t>
  </si>
  <si>
    <t>OFF-LA-92540</t>
  </si>
  <si>
    <t>Education Labels</t>
  </si>
  <si>
    <t>MI-2023-953061</t>
  </si>
  <si>
    <t>AS-50755</t>
  </si>
  <si>
    <t>Lynn Jackson</t>
  </si>
  <si>
    <t>TEC-AC-95434</t>
  </si>
  <si>
    <t>Also Accessories</t>
  </si>
  <si>
    <t>MI-2024-240607</t>
  </si>
  <si>
    <t>XC-33393</t>
  </si>
  <si>
    <t>Aaron Thompson</t>
  </si>
  <si>
    <t>TEC-PH-12682</t>
  </si>
  <si>
    <t>Go Phones</t>
  </si>
  <si>
    <t>MI-2023-397436</t>
  </si>
  <si>
    <t>HX-33966</t>
  </si>
  <si>
    <t>David Gonzales</t>
  </si>
  <si>
    <t>OFF-ST-18484</t>
  </si>
  <si>
    <t>Let Storage</t>
  </si>
  <si>
    <t>FL-2024-833286</t>
  </si>
  <si>
    <t>EQ-77015</t>
  </si>
  <si>
    <t>Roy Jackson</t>
  </si>
  <si>
    <t>FUR-FU-94948</t>
  </si>
  <si>
    <t>Detail Furnishings</t>
  </si>
  <si>
    <t>FL-2024-578788</t>
  </si>
  <si>
    <t>HC-19276</t>
  </si>
  <si>
    <t>Christopher Moore</t>
  </si>
  <si>
    <t>TEC-MA-99350</t>
  </si>
  <si>
    <t>Agency Machines</t>
  </si>
  <si>
    <t>CA-2024-602777</t>
  </si>
  <si>
    <t>LW-96326</t>
  </si>
  <si>
    <t>Kimberly Lyons DVM</t>
  </si>
  <si>
    <t>TEC-MA-35928</t>
  </si>
  <si>
    <t>Surface Machines</t>
  </si>
  <si>
    <t>PA-2023-740561</t>
  </si>
  <si>
    <t>ZR-46425</t>
  </si>
  <si>
    <t>Amber Nielsen</t>
  </si>
  <si>
    <t>FUR-CH-58599</t>
  </si>
  <si>
    <t>Question Chairs</t>
  </si>
  <si>
    <t>OH-2023-791480</t>
  </si>
  <si>
    <t>AG-88204</t>
  </si>
  <si>
    <t>Logan Ryan</t>
  </si>
  <si>
    <t>OFF-ST-54908</t>
  </si>
  <si>
    <t>Fire Storage</t>
  </si>
  <si>
    <t>MI-2023-620751</t>
  </si>
  <si>
    <t>VP-27604</t>
  </si>
  <si>
    <t>Julie Palmer</t>
  </si>
  <si>
    <t>TEC-MA-75841</t>
  </si>
  <si>
    <t>Dog Machines</t>
  </si>
  <si>
    <t>Total rows</t>
  </si>
  <si>
    <t>Blanks</t>
  </si>
  <si>
    <t>Min</t>
  </si>
  <si>
    <t>Max</t>
  </si>
  <si>
    <t>Column</t>
  </si>
  <si>
    <t>Unknown</t>
  </si>
  <si>
    <t>MissingProduct</t>
  </si>
  <si>
    <t>Median</t>
  </si>
  <si>
    <t xml:space="preserve">Mean </t>
  </si>
  <si>
    <t>Average ship days</t>
  </si>
  <si>
    <t>Profilr_Status</t>
  </si>
  <si>
    <t>Order_Month</t>
  </si>
  <si>
    <t>Order_Year</t>
  </si>
  <si>
    <t>Order_Month_Name</t>
  </si>
  <si>
    <t>Processing_Days</t>
  </si>
  <si>
    <t>Profit_Margin</t>
  </si>
  <si>
    <t>Sales_per_Quantity</t>
  </si>
  <si>
    <t>Profit_per_Quantity</t>
  </si>
  <si>
    <t>Discount_Level</t>
  </si>
  <si>
    <t>Year_Quarter</t>
  </si>
  <si>
    <t>High_Value_Orders</t>
  </si>
  <si>
    <t>Profit_Level</t>
  </si>
  <si>
    <t>Order_day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</si>
</sst>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164" fontId="0" fillId="0" borderId="0" xfId="0" applyNumberFormat="1"/>
    <xf numFmtId="1" fontId="0" fillId="0" borderId="0" xfId="0" applyNumberFormat="1"/>
  </cellXfs>
  <cellStyles count="2">
    <cellStyle name="Normal" xfId="0" builtinId="0"/>
    <cellStyle name="Percent" xfId="1" builtinId="5"/>
  </cellStyles>
  <dxfs count="11">
    <dxf>
      <numFmt numFmtId="1" formatCode="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" formatCode="0"/>
    </dxf>
    <dxf>
      <numFmt numFmtId="164" formatCode="&quot;$&quot;#,##0.0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F1501" totalsRowShown="0">
  <autoFilter ref="A1:AF1501"/>
  <tableColumns count="32">
    <tableColumn id="1" name="Order_ID"/>
    <tableColumn id="2" name="Order_Date" dataDxfId="10"/>
    <tableColumn id="3" name="Ship_Date" dataDxfId="9"/>
    <tableColumn id="4" name="Processing_Days" dataDxfId="8">
      <calculatedColumnFormula>C2-B2</calculatedColumnFormula>
    </tableColumn>
    <tableColumn id="33" name="Order_day" dataDxfId="0">
      <calculatedColumnFormula>TEXT(Table1[[#This Row],[Order_Date]],"dddd")</calculatedColumnFormula>
    </tableColumn>
    <tableColumn id="5" name="Order_Month" dataDxfId="7">
      <calculatedColumnFormula>MONTH(B2)</calculatedColumnFormula>
    </tableColumn>
    <tableColumn id="6" name="Order_Month_Name">
      <calculatedColumnFormula>TEXT(B2,"mmmm")</calculatedColumnFormula>
    </tableColumn>
    <tableColumn id="7" name="Order_Year">
      <calculatedColumnFormula>YEAR(B2)</calculatedColumnFormula>
    </tableColumn>
    <tableColumn id="8" name="Year_Quarter">
      <calculatedColumnFormula>H2 &amp; "-Q" &amp; INT((MONTH(B2)+2)/3)</calculatedColumnFormula>
    </tableColumn>
    <tableColumn id="9" name="Ship_Mode"/>
    <tableColumn id="10" name="Customer_ID"/>
    <tableColumn id="11" name="Customer_Name"/>
    <tableColumn id="12" name="Segment"/>
    <tableColumn id="13" name="Country"/>
    <tableColumn id="14" name="City"/>
    <tableColumn id="15" name="State"/>
    <tableColumn id="17" name="Region"/>
    <tableColumn id="18" name="Product_ID"/>
    <tableColumn id="19" name="Category"/>
    <tableColumn id="20" name="Sub_Category"/>
    <tableColumn id="21" name="Product_Name"/>
    <tableColumn id="22" name="Sales" dataDxfId="6"/>
    <tableColumn id="23" name="Quantity" dataDxfId="5"/>
    <tableColumn id="24" name="Discount" dataCellStyle="Percent"/>
    <tableColumn id="25" name="Profit" dataDxfId="4"/>
    <tableColumn id="26" name="Profilr_Status">
      <calculatedColumnFormula>IF(OR(Y2&lt;-800.884,Y2&gt;1030.126),"Outlier","Normal")</calculatedColumnFormula>
    </tableColumn>
    <tableColumn id="27" name="Discount_Level">
      <calculatedColumnFormula>IF(X2&lt;10%,"Low",IF(X2&lt;0.2,"Medium","High"))</calculatedColumnFormula>
    </tableColumn>
    <tableColumn id="28" name="Profit_Level">
      <calculatedColumnFormula>IF(Y2&lt;0, "Loss", IF(Y2&lt;500,"Low Profit", "High Profit"))</calculatedColumnFormula>
    </tableColumn>
    <tableColumn id="29" name="Profit_Margin" dataDxfId="3">
      <calculatedColumnFormula>Y2/V2</calculatedColumnFormula>
    </tableColumn>
    <tableColumn id="30" name="Sales_per_Quantity" dataDxfId="2">
      <calculatedColumnFormula>V2/W2</calculatedColumnFormula>
    </tableColumn>
    <tableColumn id="31" name="Profit_per_Quantity" dataDxfId="1">
      <calculatedColumnFormula>Y2/W2</calculatedColumnFormula>
    </tableColumn>
    <tableColumn id="32" name="High_Value_Orders">
      <calculatedColumnFormula>IF(V2&gt;5000,"High value", "Regular")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01"/>
  <sheetViews>
    <sheetView tabSelected="1" workbookViewId="0">
      <selection activeCell="G9" sqref="G9"/>
    </sheetView>
  </sheetViews>
  <sheetFormatPr defaultRowHeight="15" x14ac:dyDescent="0.25"/>
  <cols>
    <col min="1" max="1" width="15.28515625" bestFit="1" customWidth="1"/>
    <col min="2" max="2" width="13.5703125" style="1" bestFit="1" customWidth="1"/>
    <col min="3" max="3" width="14.85546875" style="1" bestFit="1" customWidth="1"/>
    <col min="4" max="4" width="18" style="4" bestFit="1" customWidth="1"/>
    <col min="5" max="5" width="18" style="4" customWidth="1"/>
    <col min="6" max="6" width="15.28515625" style="4" customWidth="1"/>
    <col min="7" max="7" width="22" bestFit="1" customWidth="1"/>
    <col min="8" max="8" width="13.28515625" customWidth="1"/>
    <col min="9" max="9" width="15" customWidth="1"/>
    <col min="10" max="10" width="13.85546875" bestFit="1" customWidth="1"/>
    <col min="11" max="11" width="14.7109375" bestFit="1" customWidth="1"/>
    <col min="12" max="12" width="23.5703125" bestFit="1" customWidth="1"/>
    <col min="13" max="13" width="12.140625" bestFit="1" customWidth="1"/>
    <col min="14" max="14" width="12.85546875" bestFit="1" customWidth="1"/>
    <col min="15" max="16" width="12.7109375" bestFit="1" customWidth="1"/>
    <col min="17" max="17" width="9.42578125" bestFit="1" customWidth="1"/>
    <col min="18" max="18" width="14.7109375" bestFit="1" customWidth="1"/>
    <col min="19" max="19" width="14.5703125" bestFit="1" customWidth="1"/>
    <col min="20" max="20" width="15.5703125" bestFit="1" customWidth="1"/>
    <col min="21" max="21" width="25.28515625" bestFit="1" customWidth="1"/>
    <col min="22" max="22" width="10.5703125" style="3" bestFit="1" customWidth="1"/>
    <col min="23" max="23" width="11" style="4" bestFit="1" customWidth="1"/>
    <col min="24" max="24" width="11" style="2" bestFit="1" customWidth="1"/>
    <col min="25" max="25" width="10.5703125" style="3" bestFit="1" customWidth="1"/>
    <col min="26" max="26" width="15.42578125" bestFit="1" customWidth="1"/>
    <col min="27" max="27" width="16.5703125" customWidth="1"/>
    <col min="28" max="28" width="14.5703125" customWidth="1"/>
    <col min="29" max="29" width="15.28515625" style="3" customWidth="1"/>
    <col min="30" max="30" width="20.42578125" style="3" customWidth="1"/>
    <col min="31" max="31" width="20.85546875" style="3" customWidth="1"/>
    <col min="32" max="32" width="20.28515625" customWidth="1"/>
  </cols>
  <sheetData>
    <row r="1" spans="1:32" x14ac:dyDescent="0.25">
      <c r="A1" t="s">
        <v>0</v>
      </c>
      <c r="B1" s="1" t="s">
        <v>1</v>
      </c>
      <c r="C1" s="1" t="s">
        <v>2</v>
      </c>
      <c r="D1" s="4" t="s">
        <v>7411</v>
      </c>
      <c r="E1" s="4" t="s">
        <v>7419</v>
      </c>
      <c r="F1" s="4" t="s">
        <v>7408</v>
      </c>
      <c r="G1" t="s">
        <v>7410</v>
      </c>
      <c r="H1" t="s">
        <v>7409</v>
      </c>
      <c r="I1" t="s">
        <v>7416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s="3" t="s">
        <v>16</v>
      </c>
      <c r="W1" s="4" t="s">
        <v>17</v>
      </c>
      <c r="X1" s="2" t="s">
        <v>18</v>
      </c>
      <c r="Y1" s="3" t="s">
        <v>19</v>
      </c>
      <c r="Z1" t="s">
        <v>7407</v>
      </c>
      <c r="AA1" t="s">
        <v>7415</v>
      </c>
      <c r="AB1" t="s">
        <v>7418</v>
      </c>
      <c r="AC1" s="3" t="s">
        <v>7412</v>
      </c>
      <c r="AD1" s="3" t="s">
        <v>7413</v>
      </c>
      <c r="AE1" s="3" t="s">
        <v>7414</v>
      </c>
      <c r="AF1" t="s">
        <v>7417</v>
      </c>
    </row>
    <row r="2" spans="1:32" x14ac:dyDescent="0.25">
      <c r="A2" t="s">
        <v>6611</v>
      </c>
      <c r="B2" s="1">
        <v>44927</v>
      </c>
      <c r="C2" s="1">
        <v>44933</v>
      </c>
      <c r="D2" s="4">
        <f t="shared" ref="D2:D65" si="0">C2-B2</f>
        <v>6</v>
      </c>
      <c r="E2" s="4" t="str">
        <f>TEXT(Table1[[#This Row],[Order_Date]],"dddd")</f>
        <v>Sunday</v>
      </c>
      <c r="F2" s="4">
        <f t="shared" ref="F2:F65" si="1">MONTH(B2)</f>
        <v>1</v>
      </c>
      <c r="G2" t="str">
        <f>TEXT(B2,"mmmm")</f>
        <v>January</v>
      </c>
      <c r="H2">
        <f>YEAR(B2)</f>
        <v>2023</v>
      </c>
      <c r="I2" t="str">
        <f>H2 &amp; "-Q" &amp; INT((MONTH(B2)+2)/3)</f>
        <v>2023-Q1</v>
      </c>
      <c r="J2" t="s">
        <v>55</v>
      </c>
      <c r="K2" t="s">
        <v>6612</v>
      </c>
      <c r="L2" t="s">
        <v>6613</v>
      </c>
      <c r="M2" t="s">
        <v>47</v>
      </c>
      <c r="N2" t="s">
        <v>25</v>
      </c>
      <c r="O2" t="s">
        <v>80</v>
      </c>
      <c r="P2" t="s">
        <v>49</v>
      </c>
      <c r="Q2" t="s">
        <v>39</v>
      </c>
      <c r="R2" t="s">
        <v>6614</v>
      </c>
      <c r="S2" t="s">
        <v>51</v>
      </c>
      <c r="T2" t="s">
        <v>94</v>
      </c>
      <c r="U2" t="s">
        <v>6615</v>
      </c>
      <c r="V2" s="3">
        <v>78.180000000000007</v>
      </c>
      <c r="W2" s="4">
        <v>10</v>
      </c>
      <c r="X2" s="2">
        <v>0.4</v>
      </c>
      <c r="Y2" s="3">
        <v>-4.6500000000000004</v>
      </c>
      <c r="Z2" t="str">
        <f t="shared" ref="Z2:Z65" si="2">IF(OR(Y2&lt;-800.884,Y2&gt;1030.126),"Outlier","Normal")</f>
        <v>Normal</v>
      </c>
      <c r="AA2" t="str">
        <f t="shared" ref="AA2:AA65" si="3">IF(X2&lt;10%,"Low",IF(X2&lt;0.2,"Medium","High"))</f>
        <v>High</v>
      </c>
      <c r="AB2" t="str">
        <f>IF(Y2&lt;0, "Loss", IF(Y2&lt;500,"Low Profit", "High Profit"))</f>
        <v>Loss</v>
      </c>
      <c r="AC2" s="3">
        <f>Y2/V2</f>
        <v>-5.9478127398311591E-2</v>
      </c>
      <c r="AD2" s="3">
        <f>V2/W2</f>
        <v>7.8180000000000005</v>
      </c>
      <c r="AE2" s="3">
        <f>Y2/W2</f>
        <v>-0.46500000000000002</v>
      </c>
      <c r="AF2" t="str">
        <f>IF(V2&gt;5000,"High value", "Regular")</f>
        <v>Regular</v>
      </c>
    </row>
    <row r="3" spans="1:32" x14ac:dyDescent="0.25">
      <c r="A3" t="s">
        <v>629</v>
      </c>
      <c r="B3" s="1">
        <v>44928</v>
      </c>
      <c r="C3" s="1">
        <v>44933</v>
      </c>
      <c r="D3" s="4">
        <f t="shared" si="0"/>
        <v>5</v>
      </c>
      <c r="E3" s="4" t="str">
        <f>TEXT(Table1[[#This Row],[Order_Date]],"dddd")</f>
        <v>Monday</v>
      </c>
      <c r="F3" s="4">
        <f t="shared" si="1"/>
        <v>1</v>
      </c>
      <c r="G3" t="str">
        <f t="shared" ref="G3:G66" si="4">TEXT(B3,"mmmm")</f>
        <v>January</v>
      </c>
      <c r="H3">
        <f t="shared" ref="H3:H66" si="5">YEAR(B3)</f>
        <v>2023</v>
      </c>
      <c r="I3" t="str">
        <f t="shared" ref="I3:I66" si="6">H3 &amp; "-Q" &amp; INT((MONTH(B3)+2)/3)</f>
        <v>2023-Q1</v>
      </c>
      <c r="J3" t="s">
        <v>104</v>
      </c>
      <c r="K3" t="s">
        <v>630</v>
      </c>
      <c r="L3" t="s">
        <v>631</v>
      </c>
      <c r="M3" t="s">
        <v>47</v>
      </c>
      <c r="N3" t="s">
        <v>25</v>
      </c>
      <c r="O3" t="s">
        <v>227</v>
      </c>
      <c r="P3" t="s">
        <v>49</v>
      </c>
      <c r="Q3" t="s">
        <v>39</v>
      </c>
      <c r="R3" t="s">
        <v>632</v>
      </c>
      <c r="S3" t="s">
        <v>51</v>
      </c>
      <c r="T3" t="s">
        <v>94</v>
      </c>
      <c r="U3" t="s">
        <v>633</v>
      </c>
      <c r="V3" s="3">
        <v>3870.65</v>
      </c>
      <c r="W3" s="4">
        <v>5</v>
      </c>
      <c r="X3" s="2">
        <v>0.3</v>
      </c>
      <c r="Y3" s="3">
        <v>-451.92</v>
      </c>
      <c r="Z3" t="str">
        <f t="shared" si="2"/>
        <v>Normal</v>
      </c>
      <c r="AA3" t="str">
        <f t="shared" si="3"/>
        <v>High</v>
      </c>
      <c r="AB3" t="str">
        <f t="shared" ref="AB3:AB66" si="7">IF(Y3&lt;0, "Loss", IF(Y3&lt;500,"Low Profit", "High Profit"))</f>
        <v>Loss</v>
      </c>
      <c r="AC3" s="3">
        <f t="shared" ref="AC3:AC66" si="8">Y3/V3</f>
        <v>-0.11675558368749435</v>
      </c>
      <c r="AD3" s="3">
        <f t="shared" ref="AD3:AD66" si="9">V3/W3</f>
        <v>774.13</v>
      </c>
      <c r="AE3" s="3">
        <f t="shared" ref="AE3:AE66" si="10">Y3/W3</f>
        <v>-90.384</v>
      </c>
      <c r="AF3" t="str">
        <f t="shared" ref="AF3:AF66" si="11">IF(V3&gt;5000,"High value", "Regular")</f>
        <v>Regular</v>
      </c>
    </row>
    <row r="4" spans="1:32" x14ac:dyDescent="0.25">
      <c r="A4" t="s">
        <v>2448</v>
      </c>
      <c r="B4" s="1">
        <v>44929</v>
      </c>
      <c r="C4" s="1">
        <v>44931</v>
      </c>
      <c r="D4" s="4">
        <f t="shared" si="0"/>
        <v>2</v>
      </c>
      <c r="E4" s="4" t="str">
        <f>TEXT(Table1[[#This Row],[Order_Date]],"dddd")</f>
        <v>Tuesday</v>
      </c>
      <c r="F4" s="4">
        <f t="shared" si="1"/>
        <v>1</v>
      </c>
      <c r="G4" t="str">
        <f t="shared" si="4"/>
        <v>January</v>
      </c>
      <c r="H4">
        <f t="shared" si="5"/>
        <v>2023</v>
      </c>
      <c r="I4" t="str">
        <f t="shared" si="6"/>
        <v>2023-Q1</v>
      </c>
      <c r="J4" t="s">
        <v>55</v>
      </c>
      <c r="K4" t="s">
        <v>2449</v>
      </c>
      <c r="L4" t="s">
        <v>2450</v>
      </c>
      <c r="M4" t="s">
        <v>36</v>
      </c>
      <c r="N4" t="s">
        <v>25</v>
      </c>
      <c r="O4" t="s">
        <v>26</v>
      </c>
      <c r="P4" t="s">
        <v>27</v>
      </c>
      <c r="Q4" t="s">
        <v>39</v>
      </c>
      <c r="R4" t="s">
        <v>2451</v>
      </c>
      <c r="S4" t="s">
        <v>51</v>
      </c>
      <c r="T4" t="s">
        <v>94</v>
      </c>
      <c r="U4" t="s">
        <v>2452</v>
      </c>
      <c r="V4" s="3">
        <v>1691.64</v>
      </c>
      <c r="W4" s="4">
        <v>8</v>
      </c>
      <c r="X4" s="2">
        <v>0.2</v>
      </c>
      <c r="Y4" s="3">
        <v>300.07</v>
      </c>
      <c r="Z4" t="str">
        <f t="shared" si="2"/>
        <v>Normal</v>
      </c>
      <c r="AA4" t="str">
        <f t="shared" si="3"/>
        <v>High</v>
      </c>
      <c r="AB4" t="str">
        <f t="shared" si="7"/>
        <v>Low Profit</v>
      </c>
      <c r="AC4" s="3">
        <f t="shared" si="8"/>
        <v>0.1773840769903762</v>
      </c>
      <c r="AD4" s="3">
        <f t="shared" si="9"/>
        <v>211.45500000000001</v>
      </c>
      <c r="AE4" s="3">
        <f t="shared" si="10"/>
        <v>37.508749999999999</v>
      </c>
      <c r="AF4" t="str">
        <f t="shared" si="11"/>
        <v>Regular</v>
      </c>
    </row>
    <row r="5" spans="1:32" x14ac:dyDescent="0.25">
      <c r="A5" t="s">
        <v>6435</v>
      </c>
      <c r="B5" s="1">
        <v>44929</v>
      </c>
      <c r="C5" s="1">
        <v>44931</v>
      </c>
      <c r="D5" s="4">
        <f t="shared" si="0"/>
        <v>2</v>
      </c>
      <c r="E5" s="4" t="str">
        <f>TEXT(Table1[[#This Row],[Order_Date]],"dddd")</f>
        <v>Tuesday</v>
      </c>
      <c r="F5" s="4">
        <f t="shared" si="1"/>
        <v>1</v>
      </c>
      <c r="G5" t="str">
        <f t="shared" si="4"/>
        <v>January</v>
      </c>
      <c r="H5">
        <f t="shared" si="5"/>
        <v>2023</v>
      </c>
      <c r="I5" t="str">
        <f t="shared" si="6"/>
        <v>2023-Q1</v>
      </c>
      <c r="J5" t="s">
        <v>104</v>
      </c>
      <c r="K5" t="s">
        <v>6436</v>
      </c>
      <c r="L5" t="s">
        <v>6437</v>
      </c>
      <c r="M5" t="s">
        <v>47</v>
      </c>
      <c r="N5" t="s">
        <v>25</v>
      </c>
      <c r="O5" t="s">
        <v>48</v>
      </c>
      <c r="P5" t="s">
        <v>49</v>
      </c>
      <c r="Q5" t="s">
        <v>39</v>
      </c>
      <c r="R5" t="s">
        <v>6438</v>
      </c>
      <c r="S5" t="s">
        <v>51</v>
      </c>
      <c r="T5" t="s">
        <v>52</v>
      </c>
      <c r="U5" t="s">
        <v>6439</v>
      </c>
      <c r="V5" s="3">
        <v>1138.18</v>
      </c>
      <c r="W5" s="4">
        <v>7</v>
      </c>
      <c r="X5" s="2">
        <v>0.4</v>
      </c>
      <c r="Y5" s="3">
        <v>101.86</v>
      </c>
      <c r="Z5" t="str">
        <f t="shared" si="2"/>
        <v>Normal</v>
      </c>
      <c r="AA5" t="str">
        <f t="shared" si="3"/>
        <v>High</v>
      </c>
      <c r="AB5" t="str">
        <f t="shared" si="7"/>
        <v>Low Profit</v>
      </c>
      <c r="AC5" s="3">
        <f t="shared" si="8"/>
        <v>8.9493753184909236E-2</v>
      </c>
      <c r="AD5" s="3">
        <f t="shared" si="9"/>
        <v>162.59714285714287</v>
      </c>
      <c r="AE5" s="3">
        <f t="shared" si="10"/>
        <v>14.551428571428572</v>
      </c>
      <c r="AF5" t="str">
        <f t="shared" si="11"/>
        <v>Regular</v>
      </c>
    </row>
    <row r="6" spans="1:32" x14ac:dyDescent="0.25">
      <c r="A6" t="s">
        <v>2934</v>
      </c>
      <c r="B6" s="1">
        <v>44930</v>
      </c>
      <c r="C6" s="1">
        <v>44931</v>
      </c>
      <c r="D6" s="4">
        <f t="shared" si="0"/>
        <v>1</v>
      </c>
      <c r="E6" s="4" t="str">
        <f>TEXT(Table1[[#This Row],[Order_Date]],"dddd")</f>
        <v>Wednesday</v>
      </c>
      <c r="F6" s="4">
        <f t="shared" si="1"/>
        <v>1</v>
      </c>
      <c r="G6" t="str">
        <f t="shared" si="4"/>
        <v>January</v>
      </c>
      <c r="H6">
        <f t="shared" si="5"/>
        <v>2023</v>
      </c>
      <c r="I6" t="str">
        <f t="shared" si="6"/>
        <v>2023-Q1</v>
      </c>
      <c r="J6" t="s">
        <v>21</v>
      </c>
      <c r="K6" t="s">
        <v>2935</v>
      </c>
      <c r="L6" t="s">
        <v>2936</v>
      </c>
      <c r="M6" t="s">
        <v>24</v>
      </c>
      <c r="N6" t="s">
        <v>25</v>
      </c>
      <c r="O6" t="s">
        <v>233</v>
      </c>
      <c r="P6" t="s">
        <v>163</v>
      </c>
      <c r="Q6" t="s">
        <v>39</v>
      </c>
      <c r="R6" t="s">
        <v>2937</v>
      </c>
      <c r="S6" t="s">
        <v>30</v>
      </c>
      <c r="T6" t="s">
        <v>41</v>
      </c>
      <c r="U6" t="s">
        <v>2938</v>
      </c>
      <c r="V6" s="3">
        <v>4771.8999999999996</v>
      </c>
      <c r="W6" s="4">
        <v>7</v>
      </c>
      <c r="X6" s="2">
        <v>0</v>
      </c>
      <c r="Y6" s="3">
        <v>207.33</v>
      </c>
      <c r="Z6" t="str">
        <f t="shared" si="2"/>
        <v>Normal</v>
      </c>
      <c r="AA6" t="str">
        <f t="shared" si="3"/>
        <v>Low</v>
      </c>
      <c r="AB6" t="str">
        <f t="shared" si="7"/>
        <v>Low Profit</v>
      </c>
      <c r="AC6" s="3">
        <f t="shared" si="8"/>
        <v>4.3448102432993151E-2</v>
      </c>
      <c r="AD6" s="3">
        <f t="shared" si="9"/>
        <v>681.69999999999993</v>
      </c>
      <c r="AE6" s="3">
        <f t="shared" si="10"/>
        <v>29.618571428571432</v>
      </c>
      <c r="AF6" t="str">
        <f t="shared" si="11"/>
        <v>Regular</v>
      </c>
    </row>
    <row r="7" spans="1:32" x14ac:dyDescent="0.25">
      <c r="A7" t="s">
        <v>6338</v>
      </c>
      <c r="B7" s="1">
        <v>44930</v>
      </c>
      <c r="C7" s="1">
        <v>44934</v>
      </c>
      <c r="D7" s="4">
        <f t="shared" si="0"/>
        <v>4</v>
      </c>
      <c r="E7" s="4" t="str">
        <f>TEXT(Table1[[#This Row],[Order_Date]],"dddd")</f>
        <v>Wednesday</v>
      </c>
      <c r="F7" s="4">
        <f t="shared" si="1"/>
        <v>1</v>
      </c>
      <c r="G7" t="str">
        <f t="shared" si="4"/>
        <v>January</v>
      </c>
      <c r="H7">
        <f t="shared" si="5"/>
        <v>2023</v>
      </c>
      <c r="I7" t="str">
        <f t="shared" si="6"/>
        <v>2023-Q1</v>
      </c>
      <c r="J7" t="s">
        <v>55</v>
      </c>
      <c r="K7" t="s">
        <v>6339</v>
      </c>
      <c r="L7" t="s">
        <v>6340</v>
      </c>
      <c r="M7" t="s">
        <v>47</v>
      </c>
      <c r="N7" t="s">
        <v>25</v>
      </c>
      <c r="O7" t="s">
        <v>511</v>
      </c>
      <c r="P7" t="s">
        <v>120</v>
      </c>
      <c r="Q7" t="s">
        <v>66</v>
      </c>
      <c r="R7" t="s">
        <v>6341</v>
      </c>
      <c r="S7" t="s">
        <v>59</v>
      </c>
      <c r="T7" t="s">
        <v>303</v>
      </c>
      <c r="U7" t="s">
        <v>6342</v>
      </c>
      <c r="V7" s="3">
        <v>3263.29</v>
      </c>
      <c r="W7" s="4">
        <v>9</v>
      </c>
      <c r="X7" s="2">
        <v>0.2</v>
      </c>
      <c r="Y7" s="3">
        <v>613.4</v>
      </c>
      <c r="Z7" t="str">
        <f t="shared" si="2"/>
        <v>Normal</v>
      </c>
      <c r="AA7" t="str">
        <f t="shared" si="3"/>
        <v>High</v>
      </c>
      <c r="AB7" t="str">
        <f t="shared" si="7"/>
        <v>High Profit</v>
      </c>
      <c r="AC7" s="3">
        <f t="shared" si="8"/>
        <v>0.18796980960932064</v>
      </c>
      <c r="AD7" s="3">
        <f t="shared" si="9"/>
        <v>362.58777777777777</v>
      </c>
      <c r="AE7" s="3">
        <f t="shared" si="10"/>
        <v>68.155555555555551</v>
      </c>
      <c r="AF7" t="str">
        <f t="shared" si="11"/>
        <v>Regular</v>
      </c>
    </row>
    <row r="8" spans="1:32" x14ac:dyDescent="0.25">
      <c r="A8" t="s">
        <v>3997</v>
      </c>
      <c r="B8" s="1">
        <v>44930</v>
      </c>
      <c r="C8" s="1">
        <v>44937</v>
      </c>
      <c r="D8" s="4">
        <f t="shared" si="0"/>
        <v>7</v>
      </c>
      <c r="E8" s="4" t="str">
        <f>TEXT(Table1[[#This Row],[Order_Date]],"dddd")</f>
        <v>Wednesday</v>
      </c>
      <c r="F8" s="4">
        <f t="shared" si="1"/>
        <v>1</v>
      </c>
      <c r="G8" t="str">
        <f t="shared" si="4"/>
        <v>January</v>
      </c>
      <c r="H8">
        <f t="shared" si="5"/>
        <v>2023</v>
      </c>
      <c r="I8" t="str">
        <f t="shared" si="6"/>
        <v>2023-Q1</v>
      </c>
      <c r="J8" t="s">
        <v>104</v>
      </c>
      <c r="K8" t="s">
        <v>3998</v>
      </c>
      <c r="L8" t="s">
        <v>3999</v>
      </c>
      <c r="M8" t="s">
        <v>36</v>
      </c>
      <c r="N8" t="s">
        <v>25</v>
      </c>
      <c r="O8" t="s">
        <v>65</v>
      </c>
      <c r="P8" t="s">
        <v>27</v>
      </c>
      <c r="Q8" t="s">
        <v>66</v>
      </c>
      <c r="R8" t="s">
        <v>4000</v>
      </c>
      <c r="S8" t="s">
        <v>59</v>
      </c>
      <c r="T8" t="s">
        <v>101</v>
      </c>
      <c r="U8" t="s">
        <v>4001</v>
      </c>
      <c r="V8" s="3">
        <v>3679.43</v>
      </c>
      <c r="W8" s="4">
        <v>1</v>
      </c>
      <c r="X8" s="2">
        <v>0</v>
      </c>
      <c r="Y8" s="3">
        <v>-332.36</v>
      </c>
      <c r="Z8" t="str">
        <f t="shared" si="2"/>
        <v>Normal</v>
      </c>
      <c r="AA8" t="str">
        <f t="shared" si="3"/>
        <v>Low</v>
      </c>
      <c r="AB8" t="str">
        <f t="shared" si="7"/>
        <v>Loss</v>
      </c>
      <c r="AC8" s="3">
        <f t="shared" si="8"/>
        <v>-9.0329208600245153E-2</v>
      </c>
      <c r="AD8" s="3">
        <f t="shared" si="9"/>
        <v>3679.43</v>
      </c>
      <c r="AE8" s="3">
        <f t="shared" si="10"/>
        <v>-332.36</v>
      </c>
      <c r="AF8" t="str">
        <f t="shared" si="11"/>
        <v>Regular</v>
      </c>
    </row>
    <row r="9" spans="1:32" x14ac:dyDescent="0.25">
      <c r="A9" t="s">
        <v>6581</v>
      </c>
      <c r="B9" s="1">
        <v>44930</v>
      </c>
      <c r="C9" s="1">
        <v>44935</v>
      </c>
      <c r="D9" s="4">
        <f t="shared" si="0"/>
        <v>5</v>
      </c>
      <c r="E9" s="4" t="str">
        <f>TEXT(Table1[[#This Row],[Order_Date]],"dddd")</f>
        <v>Wednesday</v>
      </c>
      <c r="F9" s="4">
        <f t="shared" si="1"/>
        <v>1</v>
      </c>
      <c r="G9" t="str">
        <f t="shared" si="4"/>
        <v>January</v>
      </c>
      <c r="H9">
        <f t="shared" si="5"/>
        <v>2023</v>
      </c>
      <c r="I9" t="str">
        <f t="shared" si="6"/>
        <v>2023-Q1</v>
      </c>
      <c r="J9" t="s">
        <v>104</v>
      </c>
      <c r="K9" t="s">
        <v>6582</v>
      </c>
      <c r="L9" t="s">
        <v>6583</v>
      </c>
      <c r="M9" t="s">
        <v>24</v>
      </c>
      <c r="N9" t="s">
        <v>25</v>
      </c>
      <c r="O9" t="s">
        <v>99</v>
      </c>
      <c r="P9" t="s">
        <v>74</v>
      </c>
      <c r="Q9" t="s">
        <v>28</v>
      </c>
      <c r="R9" t="s">
        <v>6584</v>
      </c>
      <c r="S9" t="s">
        <v>30</v>
      </c>
      <c r="T9" t="s">
        <v>41</v>
      </c>
      <c r="U9" t="s">
        <v>6585</v>
      </c>
      <c r="V9" s="3">
        <v>4001.58</v>
      </c>
      <c r="W9" s="4">
        <v>4</v>
      </c>
      <c r="X9" s="2">
        <v>0.2</v>
      </c>
      <c r="Y9" s="3">
        <v>802.41</v>
      </c>
      <c r="Z9" t="str">
        <f t="shared" si="2"/>
        <v>Normal</v>
      </c>
      <c r="AA9" t="str">
        <f t="shared" si="3"/>
        <v>High</v>
      </c>
      <c r="AB9" t="str">
        <f t="shared" si="7"/>
        <v>High Profit</v>
      </c>
      <c r="AC9" s="3">
        <f t="shared" si="8"/>
        <v>0.20052329329914684</v>
      </c>
      <c r="AD9" s="3">
        <f t="shared" si="9"/>
        <v>1000.395</v>
      </c>
      <c r="AE9" s="3">
        <f t="shared" si="10"/>
        <v>200.60249999999999</v>
      </c>
      <c r="AF9" t="str">
        <f t="shared" si="11"/>
        <v>Regular</v>
      </c>
    </row>
    <row r="10" spans="1:32" x14ac:dyDescent="0.25">
      <c r="A10" t="s">
        <v>6228</v>
      </c>
      <c r="B10" s="1">
        <v>44930</v>
      </c>
      <c r="C10" s="1">
        <v>44935</v>
      </c>
      <c r="D10" s="4">
        <f t="shared" si="0"/>
        <v>5</v>
      </c>
      <c r="E10" s="4" t="str">
        <f>TEXT(Table1[[#This Row],[Order_Date]],"dddd")</f>
        <v>Wednesday</v>
      </c>
      <c r="F10" s="4">
        <f t="shared" si="1"/>
        <v>1</v>
      </c>
      <c r="G10" t="str">
        <f t="shared" si="4"/>
        <v>January</v>
      </c>
      <c r="H10">
        <f t="shared" si="5"/>
        <v>2023</v>
      </c>
      <c r="I10" t="str">
        <f t="shared" si="6"/>
        <v>2023-Q1</v>
      </c>
      <c r="J10" t="s">
        <v>104</v>
      </c>
      <c r="K10" t="s">
        <v>6229</v>
      </c>
      <c r="L10" t="s">
        <v>6230</v>
      </c>
      <c r="M10" t="s">
        <v>24</v>
      </c>
      <c r="N10" t="s">
        <v>25</v>
      </c>
      <c r="O10" t="s">
        <v>611</v>
      </c>
      <c r="P10" t="s">
        <v>74</v>
      </c>
      <c r="Q10" t="s">
        <v>39</v>
      </c>
      <c r="R10" t="s">
        <v>6231</v>
      </c>
      <c r="S10" t="s">
        <v>59</v>
      </c>
      <c r="T10" t="s">
        <v>303</v>
      </c>
      <c r="U10" t="s">
        <v>6232</v>
      </c>
      <c r="V10" s="3">
        <v>648</v>
      </c>
      <c r="W10" s="4">
        <v>4</v>
      </c>
      <c r="X10" s="2">
        <v>0</v>
      </c>
      <c r="Y10" s="3">
        <v>-109.72</v>
      </c>
      <c r="Z10" t="str">
        <f t="shared" si="2"/>
        <v>Normal</v>
      </c>
      <c r="AA10" t="str">
        <f t="shared" si="3"/>
        <v>Low</v>
      </c>
      <c r="AB10" t="str">
        <f t="shared" si="7"/>
        <v>Loss</v>
      </c>
      <c r="AC10" s="3">
        <f t="shared" si="8"/>
        <v>-0.16932098765432099</v>
      </c>
      <c r="AD10" s="3">
        <f t="shared" si="9"/>
        <v>162</v>
      </c>
      <c r="AE10" s="3">
        <f t="shared" si="10"/>
        <v>-27.43</v>
      </c>
      <c r="AF10" t="str">
        <f t="shared" si="11"/>
        <v>Regular</v>
      </c>
    </row>
    <row r="11" spans="1:32" x14ac:dyDescent="0.25">
      <c r="A11" t="s">
        <v>917</v>
      </c>
      <c r="B11" s="1">
        <v>44932</v>
      </c>
      <c r="C11" s="1">
        <v>44940</v>
      </c>
      <c r="D11" s="4">
        <f t="shared" si="0"/>
        <v>8</v>
      </c>
      <c r="E11" s="4" t="str">
        <f>TEXT(Table1[[#This Row],[Order_Date]],"dddd")</f>
        <v>Friday</v>
      </c>
      <c r="F11" s="4">
        <f t="shared" si="1"/>
        <v>1</v>
      </c>
      <c r="G11" t="str">
        <f t="shared" si="4"/>
        <v>January</v>
      </c>
      <c r="H11">
        <f t="shared" si="5"/>
        <v>2023</v>
      </c>
      <c r="I11" t="str">
        <f t="shared" si="6"/>
        <v>2023-Q1</v>
      </c>
      <c r="J11" t="s">
        <v>104</v>
      </c>
      <c r="K11" t="s">
        <v>918</v>
      </c>
      <c r="L11" t="s">
        <v>919</v>
      </c>
      <c r="M11" t="s">
        <v>47</v>
      </c>
      <c r="N11" t="s">
        <v>25</v>
      </c>
      <c r="O11" t="s">
        <v>48</v>
      </c>
      <c r="P11" t="s">
        <v>49</v>
      </c>
      <c r="Q11" t="s">
        <v>87</v>
      </c>
      <c r="R11" t="s">
        <v>920</v>
      </c>
      <c r="S11" t="s">
        <v>51</v>
      </c>
      <c r="T11" t="s">
        <v>151</v>
      </c>
      <c r="U11" t="s">
        <v>921</v>
      </c>
      <c r="V11" s="3">
        <v>824.91</v>
      </c>
      <c r="W11" s="4">
        <v>5</v>
      </c>
      <c r="X11" s="2">
        <v>0.2</v>
      </c>
      <c r="Y11" s="3">
        <v>8.0500000000000007</v>
      </c>
      <c r="Z11" t="str">
        <f t="shared" si="2"/>
        <v>Normal</v>
      </c>
      <c r="AA11" t="str">
        <f t="shared" si="3"/>
        <v>High</v>
      </c>
      <c r="AB11" t="str">
        <f t="shared" si="7"/>
        <v>Low Profit</v>
      </c>
      <c r="AC11" s="3">
        <f t="shared" si="8"/>
        <v>9.7586403365215613E-3</v>
      </c>
      <c r="AD11" s="3">
        <f t="shared" si="9"/>
        <v>164.982</v>
      </c>
      <c r="AE11" s="3">
        <f t="shared" si="10"/>
        <v>1.61</v>
      </c>
      <c r="AF11" t="str">
        <f t="shared" si="11"/>
        <v>Regular</v>
      </c>
    </row>
    <row r="12" spans="1:32" x14ac:dyDescent="0.25">
      <c r="A12" t="s">
        <v>7136</v>
      </c>
      <c r="B12" s="1">
        <v>44932</v>
      </c>
      <c r="C12" s="1">
        <v>44940</v>
      </c>
      <c r="D12" s="4">
        <f t="shared" si="0"/>
        <v>8</v>
      </c>
      <c r="E12" s="4" t="str">
        <f>TEXT(Table1[[#This Row],[Order_Date]],"dddd")</f>
        <v>Friday</v>
      </c>
      <c r="F12" s="4">
        <f t="shared" si="1"/>
        <v>1</v>
      </c>
      <c r="G12" t="str">
        <f t="shared" si="4"/>
        <v>January</v>
      </c>
      <c r="H12">
        <f t="shared" si="5"/>
        <v>2023</v>
      </c>
      <c r="I12" t="str">
        <f t="shared" si="6"/>
        <v>2023-Q1</v>
      </c>
      <c r="J12" t="s">
        <v>55</v>
      </c>
      <c r="K12" t="s">
        <v>7137</v>
      </c>
      <c r="L12" t="s">
        <v>7138</v>
      </c>
      <c r="M12" t="s">
        <v>24</v>
      </c>
      <c r="N12" t="s">
        <v>25</v>
      </c>
      <c r="O12" t="s">
        <v>382</v>
      </c>
      <c r="P12" t="s">
        <v>38</v>
      </c>
      <c r="Q12" t="s">
        <v>66</v>
      </c>
      <c r="R12" t="s">
        <v>7139</v>
      </c>
      <c r="S12" t="s">
        <v>30</v>
      </c>
      <c r="T12" t="s">
        <v>82</v>
      </c>
      <c r="U12" t="s">
        <v>7140</v>
      </c>
      <c r="V12" s="3">
        <v>3499.8</v>
      </c>
      <c r="W12" s="4">
        <v>3</v>
      </c>
      <c r="X12" s="2">
        <v>0.2</v>
      </c>
      <c r="Y12" s="3">
        <v>-373.87</v>
      </c>
      <c r="Z12" t="str">
        <f t="shared" si="2"/>
        <v>Normal</v>
      </c>
      <c r="AA12" t="str">
        <f t="shared" si="3"/>
        <v>High</v>
      </c>
      <c r="AB12" t="str">
        <f t="shared" si="7"/>
        <v>Loss</v>
      </c>
      <c r="AC12" s="3">
        <f t="shared" si="8"/>
        <v>-0.10682610434881992</v>
      </c>
      <c r="AD12" s="3">
        <f t="shared" si="9"/>
        <v>1166.6000000000001</v>
      </c>
      <c r="AE12" s="3">
        <f t="shared" si="10"/>
        <v>-124.62333333333333</v>
      </c>
      <c r="AF12" t="str">
        <f t="shared" si="11"/>
        <v>Regular</v>
      </c>
    </row>
    <row r="13" spans="1:32" x14ac:dyDescent="0.25">
      <c r="A13" t="s">
        <v>6343</v>
      </c>
      <c r="B13" s="1">
        <v>44933</v>
      </c>
      <c r="C13" s="1">
        <v>44938</v>
      </c>
      <c r="D13" s="4">
        <f t="shared" si="0"/>
        <v>5</v>
      </c>
      <c r="E13" s="4" t="str">
        <f>TEXT(Table1[[#This Row],[Order_Date]],"dddd")</f>
        <v>Saturday</v>
      </c>
      <c r="F13" s="4">
        <f t="shared" si="1"/>
        <v>1</v>
      </c>
      <c r="G13" t="str">
        <f t="shared" si="4"/>
        <v>January</v>
      </c>
      <c r="H13">
        <f t="shared" si="5"/>
        <v>2023</v>
      </c>
      <c r="I13" t="str">
        <f t="shared" si="6"/>
        <v>2023-Q1</v>
      </c>
      <c r="J13" t="s">
        <v>21</v>
      </c>
      <c r="K13" t="s">
        <v>6344</v>
      </c>
      <c r="L13" t="s">
        <v>6345</v>
      </c>
      <c r="M13" t="s">
        <v>47</v>
      </c>
      <c r="N13" t="s">
        <v>25</v>
      </c>
      <c r="O13" t="s">
        <v>511</v>
      </c>
      <c r="P13" t="s">
        <v>120</v>
      </c>
      <c r="Q13" t="s">
        <v>66</v>
      </c>
      <c r="R13" t="s">
        <v>6346</v>
      </c>
      <c r="S13" t="s">
        <v>51</v>
      </c>
      <c r="T13" t="s">
        <v>127</v>
      </c>
      <c r="U13" t="s">
        <v>6347</v>
      </c>
      <c r="V13" s="3">
        <v>1392.75</v>
      </c>
      <c r="W13" s="4">
        <v>1</v>
      </c>
      <c r="X13" s="2">
        <v>0.3</v>
      </c>
      <c r="Y13" s="3">
        <v>2.08</v>
      </c>
      <c r="Z13" t="str">
        <f t="shared" si="2"/>
        <v>Normal</v>
      </c>
      <c r="AA13" t="str">
        <f t="shared" si="3"/>
        <v>High</v>
      </c>
      <c r="AB13" t="str">
        <f t="shared" si="7"/>
        <v>Low Profit</v>
      </c>
      <c r="AC13" s="3">
        <f t="shared" si="8"/>
        <v>1.4934482139651768E-3</v>
      </c>
      <c r="AD13" s="3">
        <f t="shared" si="9"/>
        <v>1392.75</v>
      </c>
      <c r="AE13" s="3">
        <f t="shared" si="10"/>
        <v>2.08</v>
      </c>
      <c r="AF13" t="str">
        <f t="shared" si="11"/>
        <v>Regular</v>
      </c>
    </row>
    <row r="14" spans="1:32" x14ac:dyDescent="0.25">
      <c r="A14" t="s">
        <v>813</v>
      </c>
      <c r="B14" s="1">
        <v>44933</v>
      </c>
      <c r="C14" s="1">
        <v>44939</v>
      </c>
      <c r="D14" s="4">
        <f t="shared" si="0"/>
        <v>6</v>
      </c>
      <c r="E14" s="4" t="str">
        <f>TEXT(Table1[[#This Row],[Order_Date]],"dddd")</f>
        <v>Saturday</v>
      </c>
      <c r="F14" s="4">
        <f t="shared" si="1"/>
        <v>1</v>
      </c>
      <c r="G14" t="str">
        <f t="shared" si="4"/>
        <v>January</v>
      </c>
      <c r="H14">
        <f t="shared" si="5"/>
        <v>2023</v>
      </c>
      <c r="I14" t="str">
        <f t="shared" si="6"/>
        <v>2023-Q1</v>
      </c>
      <c r="J14" t="s">
        <v>104</v>
      </c>
      <c r="K14" t="s">
        <v>814</v>
      </c>
      <c r="L14" t="s">
        <v>815</v>
      </c>
      <c r="M14" t="s">
        <v>36</v>
      </c>
      <c r="N14" t="s">
        <v>25</v>
      </c>
      <c r="O14" t="s">
        <v>119</v>
      </c>
      <c r="P14" t="s">
        <v>120</v>
      </c>
      <c r="Q14" t="s">
        <v>28</v>
      </c>
      <c r="R14" t="s">
        <v>816</v>
      </c>
      <c r="S14" t="s">
        <v>59</v>
      </c>
      <c r="T14" t="s">
        <v>277</v>
      </c>
      <c r="U14" t="s">
        <v>817</v>
      </c>
      <c r="V14" s="3">
        <v>3470.58</v>
      </c>
      <c r="W14" s="4">
        <v>8</v>
      </c>
      <c r="X14" s="2">
        <v>0.1</v>
      </c>
      <c r="Y14" s="3">
        <v>-336.37</v>
      </c>
      <c r="Z14" t="str">
        <f t="shared" si="2"/>
        <v>Normal</v>
      </c>
      <c r="AA14" t="str">
        <f t="shared" si="3"/>
        <v>Medium</v>
      </c>
      <c r="AB14" t="str">
        <f t="shared" si="7"/>
        <v>Loss</v>
      </c>
      <c r="AC14" s="3">
        <f t="shared" si="8"/>
        <v>-9.692039947213435E-2</v>
      </c>
      <c r="AD14" s="3">
        <f t="shared" si="9"/>
        <v>433.82249999999999</v>
      </c>
      <c r="AE14" s="3">
        <f t="shared" si="10"/>
        <v>-42.046250000000001</v>
      </c>
      <c r="AF14" t="str">
        <f t="shared" si="11"/>
        <v>Regular</v>
      </c>
    </row>
    <row r="15" spans="1:32" x14ac:dyDescent="0.25">
      <c r="A15" t="s">
        <v>1424</v>
      </c>
      <c r="B15" s="1">
        <v>44933</v>
      </c>
      <c r="C15" s="1">
        <v>44938</v>
      </c>
      <c r="D15" s="4">
        <f t="shared" si="0"/>
        <v>5</v>
      </c>
      <c r="E15" s="4" t="str">
        <f>TEXT(Table1[[#This Row],[Order_Date]],"dddd")</f>
        <v>Saturday</v>
      </c>
      <c r="F15" s="4">
        <f t="shared" si="1"/>
        <v>1</v>
      </c>
      <c r="G15" t="str">
        <f t="shared" si="4"/>
        <v>January</v>
      </c>
      <c r="H15">
        <f t="shared" si="5"/>
        <v>2023</v>
      </c>
      <c r="I15" t="str">
        <f t="shared" si="6"/>
        <v>2023-Q1</v>
      </c>
      <c r="J15" t="s">
        <v>104</v>
      </c>
      <c r="K15" t="s">
        <v>1425</v>
      </c>
      <c r="L15" t="s">
        <v>1426</v>
      </c>
      <c r="M15" t="s">
        <v>36</v>
      </c>
      <c r="N15" t="s">
        <v>25</v>
      </c>
      <c r="O15" t="s">
        <v>37</v>
      </c>
      <c r="P15" t="s">
        <v>38</v>
      </c>
      <c r="Q15" t="s">
        <v>87</v>
      </c>
      <c r="R15" t="s">
        <v>1427</v>
      </c>
      <c r="S15" t="s">
        <v>51</v>
      </c>
      <c r="T15" t="s">
        <v>94</v>
      </c>
      <c r="U15" t="s">
        <v>1428</v>
      </c>
      <c r="V15" s="3">
        <v>3137.92</v>
      </c>
      <c r="W15" s="4">
        <v>10</v>
      </c>
      <c r="X15" s="2">
        <v>0</v>
      </c>
      <c r="Y15" s="3">
        <v>734.84</v>
      </c>
      <c r="Z15" t="str">
        <f t="shared" si="2"/>
        <v>Normal</v>
      </c>
      <c r="AA15" t="str">
        <f t="shared" si="3"/>
        <v>Low</v>
      </c>
      <c r="AB15" t="str">
        <f t="shared" si="7"/>
        <v>High Profit</v>
      </c>
      <c r="AC15" s="3">
        <f t="shared" si="8"/>
        <v>0.23418060371201305</v>
      </c>
      <c r="AD15" s="3">
        <f t="shared" si="9"/>
        <v>313.79200000000003</v>
      </c>
      <c r="AE15" s="3">
        <f t="shared" si="10"/>
        <v>73.484000000000009</v>
      </c>
      <c r="AF15" t="str">
        <f t="shared" si="11"/>
        <v>Regular</v>
      </c>
    </row>
    <row r="16" spans="1:32" x14ac:dyDescent="0.25">
      <c r="A16" t="s">
        <v>2869</v>
      </c>
      <c r="B16" s="1">
        <v>44933</v>
      </c>
      <c r="C16" s="1">
        <v>44943</v>
      </c>
      <c r="D16" s="4">
        <f t="shared" si="0"/>
        <v>10</v>
      </c>
      <c r="E16" s="4" t="str">
        <f>TEXT(Table1[[#This Row],[Order_Date]],"dddd")</f>
        <v>Saturday</v>
      </c>
      <c r="F16" s="4">
        <f t="shared" si="1"/>
        <v>1</v>
      </c>
      <c r="G16" t="str">
        <f t="shared" si="4"/>
        <v>January</v>
      </c>
      <c r="H16">
        <f t="shared" si="5"/>
        <v>2023</v>
      </c>
      <c r="I16" t="str">
        <f t="shared" si="6"/>
        <v>2023-Q1</v>
      </c>
      <c r="J16" t="s">
        <v>44</v>
      </c>
      <c r="K16" t="s">
        <v>2870</v>
      </c>
      <c r="L16" t="s">
        <v>2871</v>
      </c>
      <c r="M16" t="s">
        <v>36</v>
      </c>
      <c r="N16" t="s">
        <v>25</v>
      </c>
      <c r="O16" t="s">
        <v>149</v>
      </c>
      <c r="P16" t="s">
        <v>113</v>
      </c>
      <c r="Q16" t="s">
        <v>66</v>
      </c>
      <c r="R16" t="s">
        <v>2872</v>
      </c>
      <c r="S16" t="s">
        <v>30</v>
      </c>
      <c r="T16" t="s">
        <v>68</v>
      </c>
      <c r="U16" t="s">
        <v>2873</v>
      </c>
      <c r="V16" s="3">
        <v>1272.07</v>
      </c>
      <c r="W16" s="4">
        <v>7</v>
      </c>
      <c r="X16" s="2">
        <v>0.3</v>
      </c>
      <c r="Y16" s="3">
        <v>199.01</v>
      </c>
      <c r="Z16" t="str">
        <f t="shared" si="2"/>
        <v>Normal</v>
      </c>
      <c r="AA16" t="str">
        <f t="shared" si="3"/>
        <v>High</v>
      </c>
      <c r="AB16" t="str">
        <f t="shared" si="7"/>
        <v>Low Profit</v>
      </c>
      <c r="AC16" s="3">
        <f t="shared" si="8"/>
        <v>0.15644579307742498</v>
      </c>
      <c r="AD16" s="3">
        <f t="shared" si="9"/>
        <v>181.72428571428571</v>
      </c>
      <c r="AE16" s="3">
        <f t="shared" si="10"/>
        <v>28.43</v>
      </c>
      <c r="AF16" t="str">
        <f t="shared" si="11"/>
        <v>Regular</v>
      </c>
    </row>
    <row r="17" spans="1:32" x14ac:dyDescent="0.25">
      <c r="A17" t="s">
        <v>4232</v>
      </c>
      <c r="B17" s="1">
        <v>44934</v>
      </c>
      <c r="C17" s="1">
        <v>44940</v>
      </c>
      <c r="D17" s="4">
        <f t="shared" si="0"/>
        <v>6</v>
      </c>
      <c r="E17" s="4" t="str">
        <f>TEXT(Table1[[#This Row],[Order_Date]],"dddd")</f>
        <v>Sunday</v>
      </c>
      <c r="F17" s="4">
        <f t="shared" si="1"/>
        <v>1</v>
      </c>
      <c r="G17" t="str">
        <f t="shared" si="4"/>
        <v>January</v>
      </c>
      <c r="H17">
        <f t="shared" si="5"/>
        <v>2023</v>
      </c>
      <c r="I17" t="str">
        <f t="shared" si="6"/>
        <v>2023-Q1</v>
      </c>
      <c r="J17" t="s">
        <v>21</v>
      </c>
      <c r="K17" t="s">
        <v>4233</v>
      </c>
      <c r="L17" t="s">
        <v>4234</v>
      </c>
      <c r="M17" t="s">
        <v>47</v>
      </c>
      <c r="N17" t="s">
        <v>25</v>
      </c>
      <c r="O17" t="s">
        <v>233</v>
      </c>
      <c r="P17" t="s">
        <v>163</v>
      </c>
      <c r="Q17" t="s">
        <v>66</v>
      </c>
      <c r="R17" t="s">
        <v>4235</v>
      </c>
      <c r="S17" t="s">
        <v>30</v>
      </c>
      <c r="T17" t="s">
        <v>68</v>
      </c>
      <c r="U17" t="s">
        <v>4236</v>
      </c>
      <c r="V17" s="3">
        <v>540.44000000000005</v>
      </c>
      <c r="W17" s="4">
        <v>2</v>
      </c>
      <c r="X17" s="2">
        <v>0.2</v>
      </c>
      <c r="Y17" s="3">
        <v>149.99</v>
      </c>
      <c r="Z17" t="str">
        <f t="shared" si="2"/>
        <v>Normal</v>
      </c>
      <c r="AA17" t="str">
        <f t="shared" si="3"/>
        <v>High</v>
      </c>
      <c r="AB17" t="str">
        <f t="shared" si="7"/>
        <v>Low Profit</v>
      </c>
      <c r="AC17" s="3">
        <f t="shared" si="8"/>
        <v>0.27753312116053586</v>
      </c>
      <c r="AD17" s="3">
        <f t="shared" si="9"/>
        <v>270.22000000000003</v>
      </c>
      <c r="AE17" s="3">
        <f t="shared" si="10"/>
        <v>74.995000000000005</v>
      </c>
      <c r="AF17" t="str">
        <f t="shared" si="11"/>
        <v>Regular</v>
      </c>
    </row>
    <row r="18" spans="1:32" x14ac:dyDescent="0.25">
      <c r="A18" t="s">
        <v>294</v>
      </c>
      <c r="B18" s="1">
        <v>44935</v>
      </c>
      <c r="C18" s="1">
        <v>44943</v>
      </c>
      <c r="D18" s="4">
        <f t="shared" si="0"/>
        <v>8</v>
      </c>
      <c r="E18" s="4" t="str">
        <f>TEXT(Table1[[#This Row],[Order_Date]],"dddd")</f>
        <v>Monday</v>
      </c>
      <c r="F18" s="4">
        <f t="shared" si="1"/>
        <v>1</v>
      </c>
      <c r="G18" t="str">
        <f t="shared" si="4"/>
        <v>January</v>
      </c>
      <c r="H18">
        <f t="shared" si="5"/>
        <v>2023</v>
      </c>
      <c r="I18" t="str">
        <f t="shared" si="6"/>
        <v>2023-Q1</v>
      </c>
      <c r="J18" t="s">
        <v>44</v>
      </c>
      <c r="K18" t="s">
        <v>295</v>
      </c>
      <c r="L18" t="s">
        <v>296</v>
      </c>
      <c r="M18" t="s">
        <v>47</v>
      </c>
      <c r="N18" t="s">
        <v>25</v>
      </c>
      <c r="O18" t="s">
        <v>201</v>
      </c>
      <c r="P18" t="s">
        <v>113</v>
      </c>
      <c r="Q18" t="s">
        <v>87</v>
      </c>
      <c r="R18" t="s">
        <v>297</v>
      </c>
      <c r="S18" t="s">
        <v>59</v>
      </c>
      <c r="T18" t="s">
        <v>101</v>
      </c>
      <c r="U18" t="s">
        <v>298</v>
      </c>
      <c r="V18" s="3">
        <v>612.52</v>
      </c>
      <c r="W18" s="4">
        <v>7</v>
      </c>
      <c r="X18" s="2">
        <v>0.1</v>
      </c>
      <c r="Y18" s="3">
        <v>17.47</v>
      </c>
      <c r="Z18" t="str">
        <f t="shared" si="2"/>
        <v>Normal</v>
      </c>
      <c r="AA18" t="str">
        <f t="shared" si="3"/>
        <v>Medium</v>
      </c>
      <c r="AB18" t="str">
        <f t="shared" si="7"/>
        <v>Low Profit</v>
      </c>
      <c r="AC18" s="3">
        <f t="shared" si="8"/>
        <v>2.8521517664729313E-2</v>
      </c>
      <c r="AD18" s="3">
        <f t="shared" si="9"/>
        <v>87.502857142857138</v>
      </c>
      <c r="AE18" s="3">
        <f t="shared" si="10"/>
        <v>2.4957142857142856</v>
      </c>
      <c r="AF18" t="str">
        <f t="shared" si="11"/>
        <v>Regular</v>
      </c>
    </row>
    <row r="19" spans="1:32" x14ac:dyDescent="0.25">
      <c r="A19" t="s">
        <v>7241</v>
      </c>
      <c r="B19" s="1">
        <v>44935</v>
      </c>
      <c r="C19" s="1">
        <v>44941</v>
      </c>
      <c r="D19" s="4">
        <f t="shared" si="0"/>
        <v>6</v>
      </c>
      <c r="E19" s="4" t="str">
        <f>TEXT(Table1[[#This Row],[Order_Date]],"dddd")</f>
        <v>Monday</v>
      </c>
      <c r="F19" s="4">
        <f t="shared" si="1"/>
        <v>1</v>
      </c>
      <c r="G19" t="str">
        <f t="shared" si="4"/>
        <v>January</v>
      </c>
      <c r="H19">
        <f t="shared" si="5"/>
        <v>2023</v>
      </c>
      <c r="I19" t="str">
        <f t="shared" si="6"/>
        <v>2023-Q1</v>
      </c>
      <c r="J19" t="s">
        <v>55</v>
      </c>
      <c r="K19" t="s">
        <v>7242</v>
      </c>
      <c r="L19" t="s">
        <v>7243</v>
      </c>
      <c r="M19" t="s">
        <v>24</v>
      </c>
      <c r="N19" t="s">
        <v>25</v>
      </c>
      <c r="O19" t="s">
        <v>201</v>
      </c>
      <c r="P19" t="s">
        <v>113</v>
      </c>
      <c r="Q19" t="s">
        <v>28</v>
      </c>
      <c r="R19" t="s">
        <v>7244</v>
      </c>
      <c r="S19" t="s">
        <v>51</v>
      </c>
      <c r="T19" t="s">
        <v>52</v>
      </c>
      <c r="U19" t="s">
        <v>7245</v>
      </c>
      <c r="V19" s="3">
        <v>2809.95</v>
      </c>
      <c r="W19" s="4">
        <v>9</v>
      </c>
      <c r="X19" s="2">
        <v>0</v>
      </c>
      <c r="Y19" s="3">
        <v>476.99</v>
      </c>
      <c r="Z19" t="str">
        <f t="shared" si="2"/>
        <v>Normal</v>
      </c>
      <c r="AA19" t="str">
        <f t="shared" si="3"/>
        <v>Low</v>
      </c>
      <c r="AB19" t="str">
        <f t="shared" si="7"/>
        <v>Low Profit</v>
      </c>
      <c r="AC19" s="3">
        <f t="shared" si="8"/>
        <v>0.16975035142974076</v>
      </c>
      <c r="AD19" s="3">
        <f t="shared" si="9"/>
        <v>312.21666666666664</v>
      </c>
      <c r="AE19" s="3">
        <f t="shared" si="10"/>
        <v>52.998888888888892</v>
      </c>
      <c r="AF19" t="str">
        <f t="shared" si="11"/>
        <v>Regular</v>
      </c>
    </row>
    <row r="20" spans="1:32" x14ac:dyDescent="0.25">
      <c r="A20" t="s">
        <v>4970</v>
      </c>
      <c r="B20" s="1">
        <v>44935</v>
      </c>
      <c r="C20" s="1">
        <v>44943</v>
      </c>
      <c r="D20" s="4">
        <f t="shared" si="0"/>
        <v>8</v>
      </c>
      <c r="E20" s="4" t="str">
        <f>TEXT(Table1[[#This Row],[Order_Date]],"dddd")</f>
        <v>Monday</v>
      </c>
      <c r="F20" s="4">
        <f t="shared" si="1"/>
        <v>1</v>
      </c>
      <c r="G20" t="str">
        <f t="shared" si="4"/>
        <v>January</v>
      </c>
      <c r="H20">
        <f t="shared" si="5"/>
        <v>2023</v>
      </c>
      <c r="I20" t="str">
        <f t="shared" si="6"/>
        <v>2023-Q1</v>
      </c>
      <c r="J20" t="s">
        <v>104</v>
      </c>
      <c r="K20" t="s">
        <v>4971</v>
      </c>
      <c r="L20" t="s">
        <v>4972</v>
      </c>
      <c r="M20" t="s">
        <v>36</v>
      </c>
      <c r="N20" t="s">
        <v>25</v>
      </c>
      <c r="O20" t="s">
        <v>73</v>
      </c>
      <c r="P20" t="s">
        <v>74</v>
      </c>
      <c r="Q20" t="s">
        <v>66</v>
      </c>
      <c r="R20" t="s">
        <v>4973</v>
      </c>
      <c r="S20" t="s">
        <v>59</v>
      </c>
      <c r="T20" t="s">
        <v>277</v>
      </c>
      <c r="U20" t="s">
        <v>4974</v>
      </c>
      <c r="V20" s="3">
        <v>4864.29</v>
      </c>
      <c r="W20" s="4">
        <v>6</v>
      </c>
      <c r="X20" s="2">
        <v>0.2</v>
      </c>
      <c r="Y20" s="3">
        <v>-818.31</v>
      </c>
      <c r="Z20" t="str">
        <f t="shared" si="2"/>
        <v>Outlier</v>
      </c>
      <c r="AA20" t="str">
        <f t="shared" si="3"/>
        <v>High</v>
      </c>
      <c r="AB20" t="str">
        <f t="shared" si="7"/>
        <v>Loss</v>
      </c>
      <c r="AC20" s="3">
        <f t="shared" si="8"/>
        <v>-0.16822804561405671</v>
      </c>
      <c r="AD20" s="3">
        <f t="shared" si="9"/>
        <v>810.71500000000003</v>
      </c>
      <c r="AE20" s="3">
        <f t="shared" si="10"/>
        <v>-136.38499999999999</v>
      </c>
      <c r="AF20" t="str">
        <f t="shared" si="11"/>
        <v>Regular</v>
      </c>
    </row>
    <row r="21" spans="1:32" x14ac:dyDescent="0.25">
      <c r="A21" t="s">
        <v>6042</v>
      </c>
      <c r="B21" s="1">
        <v>44936</v>
      </c>
      <c r="C21" s="1">
        <v>44945</v>
      </c>
      <c r="D21" s="4">
        <f t="shared" si="0"/>
        <v>9</v>
      </c>
      <c r="E21" s="4" t="str">
        <f>TEXT(Table1[[#This Row],[Order_Date]],"dddd")</f>
        <v>Tuesday</v>
      </c>
      <c r="F21" s="4">
        <f t="shared" si="1"/>
        <v>1</v>
      </c>
      <c r="G21" t="str">
        <f t="shared" si="4"/>
        <v>January</v>
      </c>
      <c r="H21">
        <f t="shared" si="5"/>
        <v>2023</v>
      </c>
      <c r="I21" t="str">
        <f t="shared" si="6"/>
        <v>2023-Q1</v>
      </c>
      <c r="J21" t="s">
        <v>44</v>
      </c>
      <c r="K21" t="s">
        <v>6043</v>
      </c>
      <c r="L21" t="s">
        <v>6044</v>
      </c>
      <c r="M21" t="s">
        <v>36</v>
      </c>
      <c r="N21" t="s">
        <v>25</v>
      </c>
      <c r="O21" t="s">
        <v>65</v>
      </c>
      <c r="P21" t="s">
        <v>27</v>
      </c>
      <c r="Q21" t="s">
        <v>39</v>
      </c>
      <c r="R21" t="s">
        <v>6045</v>
      </c>
      <c r="S21" t="s">
        <v>51</v>
      </c>
      <c r="T21" t="s">
        <v>151</v>
      </c>
      <c r="U21" t="s">
        <v>6046</v>
      </c>
      <c r="V21" s="3">
        <v>109.2</v>
      </c>
      <c r="W21" s="4">
        <v>3</v>
      </c>
      <c r="X21" s="2">
        <v>0.1</v>
      </c>
      <c r="Y21" s="3">
        <v>1.71</v>
      </c>
      <c r="Z21" t="str">
        <f t="shared" si="2"/>
        <v>Normal</v>
      </c>
      <c r="AA21" t="str">
        <f t="shared" si="3"/>
        <v>Medium</v>
      </c>
      <c r="AB21" t="str">
        <f t="shared" si="7"/>
        <v>Low Profit</v>
      </c>
      <c r="AC21" s="3">
        <f t="shared" si="8"/>
        <v>1.5659340659340659E-2</v>
      </c>
      <c r="AD21" s="3">
        <f t="shared" si="9"/>
        <v>36.4</v>
      </c>
      <c r="AE21" s="3">
        <f t="shared" si="10"/>
        <v>0.56999999999999995</v>
      </c>
      <c r="AF21" t="str">
        <f t="shared" si="11"/>
        <v>Regular</v>
      </c>
    </row>
    <row r="22" spans="1:32" x14ac:dyDescent="0.25">
      <c r="A22" t="s">
        <v>6916</v>
      </c>
      <c r="B22" s="1">
        <v>44936</v>
      </c>
      <c r="C22" s="1">
        <v>44938</v>
      </c>
      <c r="D22" s="4">
        <f t="shared" si="0"/>
        <v>2</v>
      </c>
      <c r="E22" s="4" t="str">
        <f>TEXT(Table1[[#This Row],[Order_Date]],"dddd")</f>
        <v>Tuesday</v>
      </c>
      <c r="F22" s="4">
        <f t="shared" si="1"/>
        <v>1</v>
      </c>
      <c r="G22" t="str">
        <f t="shared" si="4"/>
        <v>January</v>
      </c>
      <c r="H22">
        <f t="shared" si="5"/>
        <v>2023</v>
      </c>
      <c r="I22" t="str">
        <f t="shared" si="6"/>
        <v>2023-Q1</v>
      </c>
      <c r="J22" t="s">
        <v>44</v>
      </c>
      <c r="K22" t="s">
        <v>6917</v>
      </c>
      <c r="L22" t="s">
        <v>6918</v>
      </c>
      <c r="M22" t="s">
        <v>36</v>
      </c>
      <c r="N22" t="s">
        <v>25</v>
      </c>
      <c r="O22" t="s">
        <v>162</v>
      </c>
      <c r="P22" t="s">
        <v>163</v>
      </c>
      <c r="Q22" t="s">
        <v>87</v>
      </c>
      <c r="R22" t="s">
        <v>6919</v>
      </c>
      <c r="S22" t="s">
        <v>51</v>
      </c>
      <c r="T22" t="s">
        <v>94</v>
      </c>
      <c r="U22" t="s">
        <v>6920</v>
      </c>
      <c r="V22" s="3">
        <v>2369.35</v>
      </c>
      <c r="W22" s="4">
        <v>7</v>
      </c>
      <c r="X22" s="2">
        <v>0.3</v>
      </c>
      <c r="Y22" s="3">
        <v>365.58</v>
      </c>
      <c r="Z22" t="str">
        <f t="shared" si="2"/>
        <v>Normal</v>
      </c>
      <c r="AA22" t="str">
        <f t="shared" si="3"/>
        <v>High</v>
      </c>
      <c r="AB22" t="str">
        <f t="shared" si="7"/>
        <v>Low Profit</v>
      </c>
      <c r="AC22" s="3">
        <f t="shared" si="8"/>
        <v>0.15429548188321693</v>
      </c>
      <c r="AD22" s="3">
        <f t="shared" si="9"/>
        <v>338.4785714285714</v>
      </c>
      <c r="AE22" s="3">
        <f t="shared" si="10"/>
        <v>52.225714285714282</v>
      </c>
      <c r="AF22" t="str">
        <f t="shared" si="11"/>
        <v>Regular</v>
      </c>
    </row>
    <row r="23" spans="1:32" x14ac:dyDescent="0.25">
      <c r="A23" t="s">
        <v>4878</v>
      </c>
      <c r="B23" s="1">
        <v>44936</v>
      </c>
      <c r="C23" s="1">
        <v>44944</v>
      </c>
      <c r="D23" s="4">
        <f t="shared" si="0"/>
        <v>8</v>
      </c>
      <c r="E23" s="4" t="str">
        <f>TEXT(Table1[[#This Row],[Order_Date]],"dddd")</f>
        <v>Tuesday</v>
      </c>
      <c r="F23" s="4">
        <f t="shared" si="1"/>
        <v>1</v>
      </c>
      <c r="G23" t="str">
        <f t="shared" si="4"/>
        <v>January</v>
      </c>
      <c r="H23">
        <f t="shared" si="5"/>
        <v>2023</v>
      </c>
      <c r="I23" t="str">
        <f t="shared" si="6"/>
        <v>2023-Q1</v>
      </c>
      <c r="J23" t="s">
        <v>44</v>
      </c>
      <c r="K23" t="s">
        <v>4879</v>
      </c>
      <c r="L23" t="s">
        <v>4880</v>
      </c>
      <c r="M23" t="s">
        <v>24</v>
      </c>
      <c r="N23" t="s">
        <v>25</v>
      </c>
      <c r="O23" t="s">
        <v>244</v>
      </c>
      <c r="P23" t="s">
        <v>163</v>
      </c>
      <c r="Q23" t="s">
        <v>66</v>
      </c>
      <c r="R23" t="s">
        <v>4881</v>
      </c>
      <c r="S23" t="s">
        <v>59</v>
      </c>
      <c r="T23" t="s">
        <v>60</v>
      </c>
      <c r="U23" t="s">
        <v>3287</v>
      </c>
      <c r="V23" s="3">
        <v>4639.9799999999996</v>
      </c>
      <c r="W23" s="4">
        <v>4</v>
      </c>
      <c r="X23" s="2">
        <v>0.1</v>
      </c>
      <c r="Y23" s="3">
        <v>139.59</v>
      </c>
      <c r="Z23" t="str">
        <f t="shared" si="2"/>
        <v>Normal</v>
      </c>
      <c r="AA23" t="str">
        <f t="shared" si="3"/>
        <v>Medium</v>
      </c>
      <c r="AB23" t="str">
        <f t="shared" si="7"/>
        <v>Low Profit</v>
      </c>
      <c r="AC23" s="3">
        <f t="shared" si="8"/>
        <v>3.0084181397333612E-2</v>
      </c>
      <c r="AD23" s="3">
        <f t="shared" si="9"/>
        <v>1159.9949999999999</v>
      </c>
      <c r="AE23" s="3">
        <f t="shared" si="10"/>
        <v>34.897500000000001</v>
      </c>
      <c r="AF23" t="str">
        <f t="shared" si="11"/>
        <v>Regular</v>
      </c>
    </row>
    <row r="24" spans="1:32" x14ac:dyDescent="0.25">
      <c r="A24" t="s">
        <v>6557</v>
      </c>
      <c r="B24" s="1">
        <v>44937</v>
      </c>
      <c r="C24" s="1">
        <v>44944</v>
      </c>
      <c r="D24" s="4">
        <f t="shared" si="0"/>
        <v>7</v>
      </c>
      <c r="E24" s="4" t="str">
        <f>TEXT(Table1[[#This Row],[Order_Date]],"dddd")</f>
        <v>Wednesday</v>
      </c>
      <c r="F24" s="4">
        <f t="shared" si="1"/>
        <v>1</v>
      </c>
      <c r="G24" t="str">
        <f t="shared" si="4"/>
        <v>January</v>
      </c>
      <c r="H24">
        <f t="shared" si="5"/>
        <v>2023</v>
      </c>
      <c r="I24" t="str">
        <f t="shared" si="6"/>
        <v>2023-Q1</v>
      </c>
      <c r="J24" t="s">
        <v>21</v>
      </c>
      <c r="K24" t="s">
        <v>6558</v>
      </c>
      <c r="L24" t="s">
        <v>6559</v>
      </c>
      <c r="M24" t="s">
        <v>47</v>
      </c>
      <c r="N24" t="s">
        <v>25</v>
      </c>
      <c r="O24" t="s">
        <v>99</v>
      </c>
      <c r="P24" t="s">
        <v>74</v>
      </c>
      <c r="Q24" t="s">
        <v>39</v>
      </c>
      <c r="R24" t="s">
        <v>6560</v>
      </c>
      <c r="S24" t="s">
        <v>59</v>
      </c>
      <c r="T24" t="s">
        <v>277</v>
      </c>
      <c r="U24" t="s">
        <v>6561</v>
      </c>
      <c r="V24" s="3">
        <v>136.84</v>
      </c>
      <c r="W24" s="4">
        <v>6</v>
      </c>
      <c r="X24" s="2">
        <v>0.2</v>
      </c>
      <c r="Y24" s="3">
        <v>33.97</v>
      </c>
      <c r="Z24" t="str">
        <f t="shared" si="2"/>
        <v>Normal</v>
      </c>
      <c r="AA24" t="str">
        <f t="shared" si="3"/>
        <v>High</v>
      </c>
      <c r="AB24" t="str">
        <f t="shared" si="7"/>
        <v>Low Profit</v>
      </c>
      <c r="AC24" s="3">
        <f t="shared" si="8"/>
        <v>0.24824612686349018</v>
      </c>
      <c r="AD24" s="3">
        <f t="shared" si="9"/>
        <v>22.806666666666668</v>
      </c>
      <c r="AE24" s="3">
        <f t="shared" si="10"/>
        <v>5.6616666666666662</v>
      </c>
      <c r="AF24" t="str">
        <f t="shared" si="11"/>
        <v>Regular</v>
      </c>
    </row>
    <row r="25" spans="1:32" x14ac:dyDescent="0.25">
      <c r="A25" t="s">
        <v>2544</v>
      </c>
      <c r="B25" s="1">
        <v>44937</v>
      </c>
      <c r="C25" s="1">
        <v>44944</v>
      </c>
      <c r="D25" s="4">
        <f t="shared" si="0"/>
        <v>7</v>
      </c>
      <c r="E25" s="4" t="str">
        <f>TEXT(Table1[[#This Row],[Order_Date]],"dddd")</f>
        <v>Wednesday</v>
      </c>
      <c r="F25" s="4">
        <f t="shared" si="1"/>
        <v>1</v>
      </c>
      <c r="G25" t="str">
        <f t="shared" si="4"/>
        <v>January</v>
      </c>
      <c r="H25">
        <f t="shared" si="5"/>
        <v>2023</v>
      </c>
      <c r="I25" t="str">
        <f t="shared" si="6"/>
        <v>2023-Q1</v>
      </c>
      <c r="J25" t="s">
        <v>55</v>
      </c>
      <c r="K25" t="s">
        <v>2545</v>
      </c>
      <c r="L25" t="s">
        <v>2546</v>
      </c>
      <c r="M25" t="s">
        <v>24</v>
      </c>
      <c r="N25" t="s">
        <v>25</v>
      </c>
      <c r="O25" t="s">
        <v>382</v>
      </c>
      <c r="P25" t="s">
        <v>38</v>
      </c>
      <c r="Q25" t="s">
        <v>66</v>
      </c>
      <c r="R25" t="s">
        <v>2547</v>
      </c>
      <c r="S25" t="s">
        <v>51</v>
      </c>
      <c r="T25" t="s">
        <v>52</v>
      </c>
      <c r="U25" t="s">
        <v>2548</v>
      </c>
      <c r="V25" s="3">
        <v>3426.97</v>
      </c>
      <c r="W25" s="4">
        <v>7</v>
      </c>
      <c r="X25" s="2">
        <v>0.4</v>
      </c>
      <c r="Y25" s="3">
        <v>230.08</v>
      </c>
      <c r="Z25" t="str">
        <f t="shared" si="2"/>
        <v>Normal</v>
      </c>
      <c r="AA25" t="str">
        <f t="shared" si="3"/>
        <v>High</v>
      </c>
      <c r="AB25" t="str">
        <f t="shared" si="7"/>
        <v>Low Profit</v>
      </c>
      <c r="AC25" s="3">
        <f t="shared" si="8"/>
        <v>6.7138025719513161E-2</v>
      </c>
      <c r="AD25" s="3">
        <f t="shared" si="9"/>
        <v>489.56714285714281</v>
      </c>
      <c r="AE25" s="3">
        <f t="shared" si="10"/>
        <v>32.868571428571428</v>
      </c>
      <c r="AF25" t="str">
        <f t="shared" si="11"/>
        <v>Regular</v>
      </c>
    </row>
    <row r="26" spans="1:32" x14ac:dyDescent="0.25">
      <c r="A26" t="s">
        <v>2914</v>
      </c>
      <c r="B26" s="1">
        <v>44939</v>
      </c>
      <c r="C26" s="1">
        <f>B26+5</f>
        <v>44944</v>
      </c>
      <c r="D26" s="4">
        <f t="shared" si="0"/>
        <v>5</v>
      </c>
      <c r="E26" s="4" t="str">
        <f>TEXT(Table1[[#This Row],[Order_Date]],"dddd")</f>
        <v>Friday</v>
      </c>
      <c r="F26" s="4">
        <f t="shared" si="1"/>
        <v>1</v>
      </c>
      <c r="G26" t="str">
        <f t="shared" si="4"/>
        <v>January</v>
      </c>
      <c r="H26">
        <f t="shared" si="5"/>
        <v>2023</v>
      </c>
      <c r="I26" t="str">
        <f t="shared" si="6"/>
        <v>2023-Q1</v>
      </c>
      <c r="J26" t="s">
        <v>104</v>
      </c>
      <c r="K26" t="s">
        <v>2915</v>
      </c>
      <c r="L26" t="s">
        <v>2916</v>
      </c>
      <c r="M26" t="s">
        <v>47</v>
      </c>
      <c r="N26" t="s">
        <v>25</v>
      </c>
      <c r="O26" t="s">
        <v>233</v>
      </c>
      <c r="P26" t="s">
        <v>163</v>
      </c>
      <c r="Q26" t="s">
        <v>28</v>
      </c>
      <c r="R26" t="s">
        <v>2917</v>
      </c>
      <c r="S26" t="s">
        <v>51</v>
      </c>
      <c r="T26" t="s">
        <v>52</v>
      </c>
      <c r="U26" t="s">
        <v>2918</v>
      </c>
      <c r="V26" s="3">
        <v>4981.6099999999997</v>
      </c>
      <c r="W26" s="4">
        <v>2</v>
      </c>
      <c r="X26" s="2">
        <v>0</v>
      </c>
      <c r="Y26" s="3">
        <v>533.94000000000005</v>
      </c>
      <c r="Z26" t="str">
        <f t="shared" si="2"/>
        <v>Normal</v>
      </c>
      <c r="AA26" t="str">
        <f t="shared" si="3"/>
        <v>Low</v>
      </c>
      <c r="AB26" t="str">
        <f t="shared" si="7"/>
        <v>High Profit</v>
      </c>
      <c r="AC26" s="3">
        <f t="shared" si="8"/>
        <v>0.10718221619115108</v>
      </c>
      <c r="AD26" s="3">
        <f t="shared" si="9"/>
        <v>2490.8049999999998</v>
      </c>
      <c r="AE26" s="3">
        <f t="shared" si="10"/>
        <v>266.97000000000003</v>
      </c>
      <c r="AF26" t="str">
        <f t="shared" si="11"/>
        <v>Regular</v>
      </c>
    </row>
    <row r="27" spans="1:32" x14ac:dyDescent="0.25">
      <c r="A27" t="s">
        <v>548</v>
      </c>
      <c r="B27" s="1">
        <v>44939</v>
      </c>
      <c r="C27" s="1">
        <v>44940</v>
      </c>
      <c r="D27" s="4">
        <f t="shared" si="0"/>
        <v>1</v>
      </c>
      <c r="E27" s="4" t="str">
        <f>TEXT(Table1[[#This Row],[Order_Date]],"dddd")</f>
        <v>Friday</v>
      </c>
      <c r="F27" s="4">
        <f t="shared" si="1"/>
        <v>1</v>
      </c>
      <c r="G27" t="str">
        <f t="shared" si="4"/>
        <v>January</v>
      </c>
      <c r="H27">
        <f t="shared" si="5"/>
        <v>2023</v>
      </c>
      <c r="I27" t="str">
        <f t="shared" si="6"/>
        <v>2023-Q1</v>
      </c>
      <c r="J27" t="s">
        <v>55</v>
      </c>
      <c r="K27" t="s">
        <v>549</v>
      </c>
      <c r="L27" t="s">
        <v>550</v>
      </c>
      <c r="M27" t="s">
        <v>36</v>
      </c>
      <c r="N27" t="s">
        <v>25</v>
      </c>
      <c r="O27" t="s">
        <v>156</v>
      </c>
      <c r="P27" t="s">
        <v>143</v>
      </c>
      <c r="Q27" t="s">
        <v>28</v>
      </c>
      <c r="R27" t="s">
        <v>551</v>
      </c>
      <c r="S27" t="s">
        <v>30</v>
      </c>
      <c r="T27" t="s">
        <v>68</v>
      </c>
      <c r="U27" t="s">
        <v>552</v>
      </c>
      <c r="V27" s="3">
        <v>1932.8</v>
      </c>
      <c r="W27" s="4">
        <v>4</v>
      </c>
      <c r="X27" s="2">
        <v>0.4</v>
      </c>
      <c r="Y27" s="3">
        <v>248.25</v>
      </c>
      <c r="Z27" t="str">
        <f t="shared" si="2"/>
        <v>Normal</v>
      </c>
      <c r="AA27" t="str">
        <f t="shared" si="3"/>
        <v>High</v>
      </c>
      <c r="AB27" t="str">
        <f t="shared" si="7"/>
        <v>Low Profit</v>
      </c>
      <c r="AC27" s="3">
        <f t="shared" si="8"/>
        <v>0.12844060430463577</v>
      </c>
      <c r="AD27" s="3">
        <f t="shared" si="9"/>
        <v>483.2</v>
      </c>
      <c r="AE27" s="3">
        <f t="shared" si="10"/>
        <v>62.0625</v>
      </c>
      <c r="AF27" t="str">
        <f t="shared" si="11"/>
        <v>Regular</v>
      </c>
    </row>
    <row r="28" spans="1:32" x14ac:dyDescent="0.25">
      <c r="A28" t="s">
        <v>339</v>
      </c>
      <c r="B28" s="1">
        <v>44939</v>
      </c>
      <c r="C28" s="1">
        <v>44942</v>
      </c>
      <c r="D28" s="4">
        <f t="shared" si="0"/>
        <v>3</v>
      </c>
      <c r="E28" s="4" t="str">
        <f>TEXT(Table1[[#This Row],[Order_Date]],"dddd")</f>
        <v>Friday</v>
      </c>
      <c r="F28" s="4">
        <f t="shared" si="1"/>
        <v>1</v>
      </c>
      <c r="G28" t="str">
        <f t="shared" si="4"/>
        <v>January</v>
      </c>
      <c r="H28">
        <f t="shared" si="5"/>
        <v>2023</v>
      </c>
      <c r="I28" t="str">
        <f t="shared" si="6"/>
        <v>2023-Q1</v>
      </c>
      <c r="J28" t="s">
        <v>104</v>
      </c>
      <c r="K28" t="s">
        <v>340</v>
      </c>
      <c r="L28" t="s">
        <v>341</v>
      </c>
      <c r="M28" t="s">
        <v>36</v>
      </c>
      <c r="N28" t="s">
        <v>25</v>
      </c>
      <c r="O28" t="s">
        <v>142</v>
      </c>
      <c r="P28" t="s">
        <v>143</v>
      </c>
      <c r="Q28" t="s">
        <v>87</v>
      </c>
      <c r="R28" t="s">
        <v>342</v>
      </c>
      <c r="S28" t="s">
        <v>30</v>
      </c>
      <c r="T28" t="s">
        <v>68</v>
      </c>
      <c r="U28" t="s">
        <v>343</v>
      </c>
      <c r="V28" s="3">
        <v>2126.81</v>
      </c>
      <c r="W28" s="4">
        <v>2</v>
      </c>
      <c r="X28" s="2">
        <v>0.1</v>
      </c>
      <c r="Y28" s="3">
        <v>146.49</v>
      </c>
      <c r="Z28" t="str">
        <f t="shared" si="2"/>
        <v>Normal</v>
      </c>
      <c r="AA28" t="str">
        <f t="shared" si="3"/>
        <v>Medium</v>
      </c>
      <c r="AB28" t="str">
        <f t="shared" si="7"/>
        <v>Low Profit</v>
      </c>
      <c r="AC28" s="3">
        <f t="shared" si="8"/>
        <v>6.8877802906700647E-2</v>
      </c>
      <c r="AD28" s="3">
        <f t="shared" si="9"/>
        <v>1063.405</v>
      </c>
      <c r="AE28" s="3">
        <f t="shared" si="10"/>
        <v>73.245000000000005</v>
      </c>
      <c r="AF28" t="str">
        <f t="shared" si="11"/>
        <v>Regular</v>
      </c>
    </row>
    <row r="29" spans="1:32" x14ac:dyDescent="0.25">
      <c r="A29" t="s">
        <v>2845</v>
      </c>
      <c r="B29" s="1">
        <v>44940</v>
      </c>
      <c r="C29" s="1">
        <v>44946</v>
      </c>
      <c r="D29" s="4">
        <f t="shared" si="0"/>
        <v>6</v>
      </c>
      <c r="E29" s="4" t="str">
        <f>TEXT(Table1[[#This Row],[Order_Date]],"dddd")</f>
        <v>Saturday</v>
      </c>
      <c r="F29" s="4">
        <f t="shared" si="1"/>
        <v>1</v>
      </c>
      <c r="G29" t="str">
        <f t="shared" si="4"/>
        <v>January</v>
      </c>
      <c r="H29">
        <f t="shared" si="5"/>
        <v>2023</v>
      </c>
      <c r="I29" t="str">
        <f t="shared" si="6"/>
        <v>2023-Q1</v>
      </c>
      <c r="J29" t="s">
        <v>21</v>
      </c>
      <c r="K29" t="s">
        <v>2846</v>
      </c>
      <c r="L29" t="s">
        <v>2847</v>
      </c>
      <c r="M29" t="s">
        <v>36</v>
      </c>
      <c r="N29" t="s">
        <v>25</v>
      </c>
      <c r="O29" t="s">
        <v>73</v>
      </c>
      <c r="P29" t="s">
        <v>74</v>
      </c>
      <c r="Q29" t="s">
        <v>39</v>
      </c>
      <c r="R29" t="s">
        <v>2848</v>
      </c>
      <c r="S29" t="s">
        <v>51</v>
      </c>
      <c r="T29" t="s">
        <v>127</v>
      </c>
      <c r="U29" t="s">
        <v>2849</v>
      </c>
      <c r="V29" s="3">
        <v>2607.33</v>
      </c>
      <c r="W29" s="4">
        <v>4</v>
      </c>
      <c r="X29" s="2">
        <v>0</v>
      </c>
      <c r="Y29" s="3">
        <v>288.04000000000002</v>
      </c>
      <c r="Z29" t="str">
        <f t="shared" si="2"/>
        <v>Normal</v>
      </c>
      <c r="AA29" t="str">
        <f t="shared" si="3"/>
        <v>Low</v>
      </c>
      <c r="AB29" t="str">
        <f t="shared" si="7"/>
        <v>Low Profit</v>
      </c>
      <c r="AC29" s="3">
        <f t="shared" si="8"/>
        <v>0.11047316603575306</v>
      </c>
      <c r="AD29" s="3">
        <f t="shared" si="9"/>
        <v>651.83249999999998</v>
      </c>
      <c r="AE29" s="3">
        <f t="shared" si="10"/>
        <v>72.010000000000005</v>
      </c>
      <c r="AF29" t="str">
        <f t="shared" si="11"/>
        <v>Regular</v>
      </c>
    </row>
    <row r="30" spans="1:32" x14ac:dyDescent="0.25">
      <c r="A30" t="s">
        <v>4293</v>
      </c>
      <c r="B30" s="1">
        <v>44941</v>
      </c>
      <c r="C30" s="1">
        <v>44949</v>
      </c>
      <c r="D30" s="4">
        <f t="shared" si="0"/>
        <v>8</v>
      </c>
      <c r="E30" s="4" t="str">
        <f>TEXT(Table1[[#This Row],[Order_Date]],"dddd")</f>
        <v>Sunday</v>
      </c>
      <c r="F30" s="4">
        <f t="shared" si="1"/>
        <v>1</v>
      </c>
      <c r="G30" t="str">
        <f t="shared" si="4"/>
        <v>January</v>
      </c>
      <c r="H30">
        <f t="shared" si="5"/>
        <v>2023</v>
      </c>
      <c r="I30" t="str">
        <f t="shared" si="6"/>
        <v>2023-Q1</v>
      </c>
      <c r="J30" t="s">
        <v>55</v>
      </c>
      <c r="K30" t="s">
        <v>4294</v>
      </c>
      <c r="L30" t="s">
        <v>4295</v>
      </c>
      <c r="M30" t="s">
        <v>47</v>
      </c>
      <c r="N30" t="s">
        <v>25</v>
      </c>
      <c r="O30" t="s">
        <v>26</v>
      </c>
      <c r="P30" t="s">
        <v>27</v>
      </c>
      <c r="Q30" t="s">
        <v>66</v>
      </c>
      <c r="R30" t="s">
        <v>4296</v>
      </c>
      <c r="S30" t="s">
        <v>51</v>
      </c>
      <c r="T30" t="s">
        <v>52</v>
      </c>
      <c r="U30" t="s">
        <v>4297</v>
      </c>
      <c r="V30" s="3">
        <v>3278.91</v>
      </c>
      <c r="W30" s="4">
        <v>3</v>
      </c>
      <c r="X30" s="2">
        <v>0.3</v>
      </c>
      <c r="Y30" s="3">
        <v>31.09</v>
      </c>
      <c r="Z30" t="str">
        <f t="shared" si="2"/>
        <v>Normal</v>
      </c>
      <c r="AA30" t="str">
        <f t="shared" si="3"/>
        <v>High</v>
      </c>
      <c r="AB30" t="str">
        <f t="shared" si="7"/>
        <v>Low Profit</v>
      </c>
      <c r="AC30" s="3">
        <f t="shared" si="8"/>
        <v>9.4818095037680211E-3</v>
      </c>
      <c r="AD30" s="3">
        <f t="shared" si="9"/>
        <v>1092.97</v>
      </c>
      <c r="AE30" s="3">
        <f t="shared" si="10"/>
        <v>10.363333333333333</v>
      </c>
      <c r="AF30" t="str">
        <f t="shared" si="11"/>
        <v>Regular</v>
      </c>
    </row>
    <row r="31" spans="1:32" x14ac:dyDescent="0.25">
      <c r="A31" t="s">
        <v>134</v>
      </c>
      <c r="B31" s="1">
        <v>44942</v>
      </c>
      <c r="C31" s="1">
        <v>44949</v>
      </c>
      <c r="D31" s="4">
        <f t="shared" si="0"/>
        <v>7</v>
      </c>
      <c r="E31" s="4" t="str">
        <f>TEXT(Table1[[#This Row],[Order_Date]],"dddd")</f>
        <v>Monday</v>
      </c>
      <c r="F31" s="4">
        <f t="shared" si="1"/>
        <v>1</v>
      </c>
      <c r="G31" t="str">
        <f t="shared" si="4"/>
        <v>January</v>
      </c>
      <c r="H31">
        <f t="shared" si="5"/>
        <v>2023</v>
      </c>
      <c r="I31" t="str">
        <f t="shared" si="6"/>
        <v>2023-Q1</v>
      </c>
      <c r="J31" t="s">
        <v>104</v>
      </c>
      <c r="K31" t="s">
        <v>135</v>
      </c>
      <c r="L31" t="s">
        <v>136</v>
      </c>
      <c r="M31" t="s">
        <v>47</v>
      </c>
      <c r="N31" t="s">
        <v>25</v>
      </c>
      <c r="O31" t="s">
        <v>73</v>
      </c>
      <c r="P31" t="s">
        <v>74</v>
      </c>
      <c r="Q31" t="s">
        <v>87</v>
      </c>
      <c r="R31" t="s">
        <v>137</v>
      </c>
      <c r="S31" t="s">
        <v>30</v>
      </c>
      <c r="T31" t="s">
        <v>41</v>
      </c>
      <c r="U31" t="s">
        <v>138</v>
      </c>
      <c r="V31" s="3">
        <v>1935.83</v>
      </c>
      <c r="W31" s="4">
        <v>7</v>
      </c>
      <c r="X31" s="2">
        <v>0.1</v>
      </c>
      <c r="Y31" s="3">
        <v>469.01</v>
      </c>
      <c r="Z31" t="str">
        <f t="shared" si="2"/>
        <v>Normal</v>
      </c>
      <c r="AA31" t="str">
        <f t="shared" si="3"/>
        <v>Medium</v>
      </c>
      <c r="AB31" t="str">
        <f t="shared" si="7"/>
        <v>Low Profit</v>
      </c>
      <c r="AC31" s="3">
        <f t="shared" si="8"/>
        <v>0.24227850586053529</v>
      </c>
      <c r="AD31" s="3">
        <f t="shared" si="9"/>
        <v>276.54714285714283</v>
      </c>
      <c r="AE31" s="3">
        <f t="shared" si="10"/>
        <v>67.001428571428576</v>
      </c>
      <c r="AF31" t="str">
        <f t="shared" si="11"/>
        <v>Regular</v>
      </c>
    </row>
    <row r="32" spans="1:32" x14ac:dyDescent="0.25">
      <c r="A32" t="s">
        <v>1504</v>
      </c>
      <c r="B32" s="1">
        <v>44942</v>
      </c>
      <c r="C32" s="1">
        <v>44948</v>
      </c>
      <c r="D32" s="4">
        <f t="shared" si="0"/>
        <v>6</v>
      </c>
      <c r="E32" s="4" t="str">
        <f>TEXT(Table1[[#This Row],[Order_Date]],"dddd")</f>
        <v>Monday</v>
      </c>
      <c r="F32" s="4">
        <f t="shared" si="1"/>
        <v>1</v>
      </c>
      <c r="G32" t="str">
        <f t="shared" si="4"/>
        <v>January</v>
      </c>
      <c r="H32">
        <f t="shared" si="5"/>
        <v>2023</v>
      </c>
      <c r="I32" t="str">
        <f t="shared" si="6"/>
        <v>2023-Q1</v>
      </c>
      <c r="J32" t="s">
        <v>55</v>
      </c>
      <c r="K32" t="s">
        <v>1505</v>
      </c>
      <c r="L32" t="s">
        <v>1506</v>
      </c>
      <c r="M32" t="s">
        <v>47</v>
      </c>
      <c r="N32" t="s">
        <v>25</v>
      </c>
      <c r="O32" t="s">
        <v>73</v>
      </c>
      <c r="P32" t="s">
        <v>74</v>
      </c>
      <c r="Q32" t="s">
        <v>87</v>
      </c>
      <c r="R32" t="s">
        <v>1507</v>
      </c>
      <c r="S32" t="s">
        <v>51</v>
      </c>
      <c r="T32" t="s">
        <v>151</v>
      </c>
      <c r="U32" t="s">
        <v>1508</v>
      </c>
      <c r="V32" s="3">
        <v>2115.85</v>
      </c>
      <c r="W32" s="4">
        <v>9</v>
      </c>
      <c r="X32" s="2">
        <v>0.2</v>
      </c>
      <c r="Y32" s="3">
        <v>-147.4</v>
      </c>
      <c r="Z32" t="str">
        <f t="shared" si="2"/>
        <v>Normal</v>
      </c>
      <c r="AA32" t="str">
        <f t="shared" si="3"/>
        <v>High</v>
      </c>
      <c r="AB32" t="str">
        <f t="shared" si="7"/>
        <v>Loss</v>
      </c>
      <c r="AC32" s="3">
        <f t="shared" si="8"/>
        <v>-6.9664673771770214E-2</v>
      </c>
      <c r="AD32" s="3">
        <f t="shared" si="9"/>
        <v>235.09444444444443</v>
      </c>
      <c r="AE32" s="3">
        <f t="shared" si="10"/>
        <v>-16.37777777777778</v>
      </c>
      <c r="AF32" t="str">
        <f t="shared" si="11"/>
        <v>Regular</v>
      </c>
    </row>
    <row r="33" spans="1:32" x14ac:dyDescent="0.25">
      <c r="A33" t="s">
        <v>5293</v>
      </c>
      <c r="B33" s="1">
        <v>44942</v>
      </c>
      <c r="C33" s="1">
        <v>44944</v>
      </c>
      <c r="D33" s="4">
        <f t="shared" si="0"/>
        <v>2</v>
      </c>
      <c r="E33" s="4" t="str">
        <f>TEXT(Table1[[#This Row],[Order_Date]],"dddd")</f>
        <v>Monday</v>
      </c>
      <c r="F33" s="4">
        <f t="shared" si="1"/>
        <v>1</v>
      </c>
      <c r="G33" t="str">
        <f t="shared" si="4"/>
        <v>January</v>
      </c>
      <c r="H33">
        <f t="shared" si="5"/>
        <v>2023</v>
      </c>
      <c r="I33" t="str">
        <f t="shared" si="6"/>
        <v>2023-Q1</v>
      </c>
      <c r="J33" t="s">
        <v>44</v>
      </c>
      <c r="K33" t="s">
        <v>5294</v>
      </c>
      <c r="L33" t="s">
        <v>5030</v>
      </c>
      <c r="M33" t="s">
        <v>24</v>
      </c>
      <c r="N33" t="s">
        <v>25</v>
      </c>
      <c r="O33" t="s">
        <v>451</v>
      </c>
      <c r="P33" t="s">
        <v>38</v>
      </c>
      <c r="Q33" t="s">
        <v>66</v>
      </c>
      <c r="R33" t="s">
        <v>5295</v>
      </c>
      <c r="S33" t="s">
        <v>30</v>
      </c>
      <c r="T33" t="s">
        <v>82</v>
      </c>
      <c r="U33" t="s">
        <v>5296</v>
      </c>
      <c r="V33" s="3">
        <v>2422.31</v>
      </c>
      <c r="W33" s="4">
        <v>8</v>
      </c>
      <c r="X33" s="2">
        <v>0.3</v>
      </c>
      <c r="Y33" s="3">
        <v>-370.69</v>
      </c>
      <c r="Z33" t="str">
        <f t="shared" si="2"/>
        <v>Normal</v>
      </c>
      <c r="AA33" t="str">
        <f t="shared" si="3"/>
        <v>High</v>
      </c>
      <c r="AB33" t="str">
        <f t="shared" si="7"/>
        <v>Loss</v>
      </c>
      <c r="AC33" s="3">
        <f t="shared" si="8"/>
        <v>-0.15303161032237822</v>
      </c>
      <c r="AD33" s="3">
        <f t="shared" si="9"/>
        <v>302.78874999999999</v>
      </c>
      <c r="AE33" s="3">
        <f t="shared" si="10"/>
        <v>-46.33625</v>
      </c>
      <c r="AF33" t="str">
        <f t="shared" si="11"/>
        <v>Regular</v>
      </c>
    </row>
    <row r="34" spans="1:32" x14ac:dyDescent="0.25">
      <c r="A34" t="s">
        <v>2217</v>
      </c>
      <c r="B34" s="1">
        <v>44942</v>
      </c>
      <c r="C34" s="1">
        <v>44945</v>
      </c>
      <c r="D34" s="4">
        <f t="shared" si="0"/>
        <v>3</v>
      </c>
      <c r="E34" s="4" t="str">
        <f>TEXT(Table1[[#This Row],[Order_Date]],"dddd")</f>
        <v>Monday</v>
      </c>
      <c r="F34" s="4">
        <f t="shared" si="1"/>
        <v>1</v>
      </c>
      <c r="G34" t="str">
        <f t="shared" si="4"/>
        <v>January</v>
      </c>
      <c r="H34">
        <f t="shared" si="5"/>
        <v>2023</v>
      </c>
      <c r="I34" t="str">
        <f t="shared" si="6"/>
        <v>2023-Q1</v>
      </c>
      <c r="J34" t="s">
        <v>104</v>
      </c>
      <c r="K34" t="s">
        <v>7402</v>
      </c>
      <c r="L34" t="s">
        <v>2218</v>
      </c>
      <c r="M34" t="s">
        <v>24</v>
      </c>
      <c r="N34" t="s">
        <v>25</v>
      </c>
      <c r="O34" t="s">
        <v>48</v>
      </c>
      <c r="P34" t="s">
        <v>49</v>
      </c>
      <c r="Q34" t="s">
        <v>87</v>
      </c>
      <c r="R34" t="s">
        <v>2219</v>
      </c>
      <c r="S34" t="s">
        <v>30</v>
      </c>
      <c r="T34" t="s">
        <v>82</v>
      </c>
      <c r="U34" t="s">
        <v>2220</v>
      </c>
      <c r="V34" s="3">
        <v>2317.58</v>
      </c>
      <c r="W34" s="4">
        <v>6</v>
      </c>
      <c r="X34" s="2">
        <v>0</v>
      </c>
      <c r="Y34" s="3">
        <v>-207.05</v>
      </c>
      <c r="Z34" t="str">
        <f t="shared" si="2"/>
        <v>Normal</v>
      </c>
      <c r="AA34" t="str">
        <f t="shared" si="3"/>
        <v>Low</v>
      </c>
      <c r="AB34" t="str">
        <f t="shared" si="7"/>
        <v>Loss</v>
      </c>
      <c r="AC34" s="3">
        <f t="shared" si="8"/>
        <v>-8.9338879348285716E-2</v>
      </c>
      <c r="AD34" s="3">
        <f t="shared" si="9"/>
        <v>386.26333333333332</v>
      </c>
      <c r="AE34" s="3">
        <f t="shared" si="10"/>
        <v>-34.508333333333333</v>
      </c>
      <c r="AF34" t="str">
        <f t="shared" si="11"/>
        <v>Regular</v>
      </c>
    </row>
    <row r="35" spans="1:32" x14ac:dyDescent="0.25">
      <c r="A35" t="s">
        <v>6219</v>
      </c>
      <c r="B35" s="1">
        <v>44943</v>
      </c>
      <c r="C35" s="1">
        <v>44946</v>
      </c>
      <c r="D35" s="4">
        <f t="shared" si="0"/>
        <v>3</v>
      </c>
      <c r="E35" s="4" t="str">
        <f>TEXT(Table1[[#This Row],[Order_Date]],"dddd")</f>
        <v>Tuesday</v>
      </c>
      <c r="F35" s="4">
        <f t="shared" si="1"/>
        <v>1</v>
      </c>
      <c r="G35" t="str">
        <f t="shared" si="4"/>
        <v>January</v>
      </c>
      <c r="H35">
        <f t="shared" si="5"/>
        <v>2023</v>
      </c>
      <c r="I35" t="str">
        <f t="shared" si="6"/>
        <v>2023-Q1</v>
      </c>
      <c r="J35" t="s">
        <v>55</v>
      </c>
      <c r="K35" t="s">
        <v>7402</v>
      </c>
      <c r="L35" t="s">
        <v>6220</v>
      </c>
      <c r="M35" t="s">
        <v>24</v>
      </c>
      <c r="N35" t="s">
        <v>25</v>
      </c>
      <c r="O35" t="s">
        <v>201</v>
      </c>
      <c r="P35" t="s">
        <v>113</v>
      </c>
      <c r="Q35" t="s">
        <v>66</v>
      </c>
      <c r="R35" t="s">
        <v>6221</v>
      </c>
      <c r="S35" t="s">
        <v>30</v>
      </c>
      <c r="T35" t="s">
        <v>82</v>
      </c>
      <c r="U35" t="s">
        <v>6222</v>
      </c>
      <c r="V35" s="3">
        <v>3109.48</v>
      </c>
      <c r="W35" s="4">
        <v>3</v>
      </c>
      <c r="X35" s="2">
        <v>0.3</v>
      </c>
      <c r="Y35" s="3">
        <v>909.39</v>
      </c>
      <c r="Z35" t="str">
        <f t="shared" si="2"/>
        <v>Normal</v>
      </c>
      <c r="AA35" t="str">
        <f t="shared" si="3"/>
        <v>High</v>
      </c>
      <c r="AB35" t="str">
        <f t="shared" si="7"/>
        <v>High Profit</v>
      </c>
      <c r="AC35" s="3">
        <f t="shared" si="8"/>
        <v>0.29245725973474662</v>
      </c>
      <c r="AD35" s="3">
        <f t="shared" si="9"/>
        <v>1036.4933333333333</v>
      </c>
      <c r="AE35" s="3">
        <f t="shared" si="10"/>
        <v>303.13</v>
      </c>
      <c r="AF35" t="str">
        <f t="shared" si="11"/>
        <v>Regular</v>
      </c>
    </row>
    <row r="36" spans="1:32" x14ac:dyDescent="0.25">
      <c r="A36" t="s">
        <v>2500</v>
      </c>
      <c r="B36" s="1">
        <v>44943</v>
      </c>
      <c r="C36" s="1">
        <v>44947</v>
      </c>
      <c r="D36" s="4">
        <f t="shared" si="0"/>
        <v>4</v>
      </c>
      <c r="E36" s="4" t="str">
        <f>TEXT(Table1[[#This Row],[Order_Date]],"dddd")</f>
        <v>Tuesday</v>
      </c>
      <c r="F36" s="4">
        <f t="shared" si="1"/>
        <v>1</v>
      </c>
      <c r="G36" t="str">
        <f t="shared" si="4"/>
        <v>January</v>
      </c>
      <c r="H36">
        <f t="shared" si="5"/>
        <v>2023</v>
      </c>
      <c r="I36" t="str">
        <f t="shared" si="6"/>
        <v>2023-Q1</v>
      </c>
      <c r="J36" t="s">
        <v>21</v>
      </c>
      <c r="K36" t="s">
        <v>2501</v>
      </c>
      <c r="L36" t="s">
        <v>2502</v>
      </c>
      <c r="M36" t="s">
        <v>36</v>
      </c>
      <c r="N36" t="s">
        <v>25</v>
      </c>
      <c r="O36" t="s">
        <v>156</v>
      </c>
      <c r="P36" t="s">
        <v>143</v>
      </c>
      <c r="Q36" t="s">
        <v>87</v>
      </c>
      <c r="R36" t="s">
        <v>2503</v>
      </c>
      <c r="S36" t="s">
        <v>51</v>
      </c>
      <c r="T36" t="s">
        <v>151</v>
      </c>
      <c r="U36" t="s">
        <v>2422</v>
      </c>
      <c r="V36" s="3">
        <v>217.54</v>
      </c>
      <c r="W36" s="4">
        <v>1</v>
      </c>
      <c r="X36" s="2">
        <v>0.3</v>
      </c>
      <c r="Y36" s="3">
        <v>44.69</v>
      </c>
      <c r="Z36" t="str">
        <f t="shared" si="2"/>
        <v>Normal</v>
      </c>
      <c r="AA36" t="str">
        <f t="shared" si="3"/>
        <v>High</v>
      </c>
      <c r="AB36" t="str">
        <f t="shared" si="7"/>
        <v>Low Profit</v>
      </c>
      <c r="AC36" s="3">
        <f t="shared" si="8"/>
        <v>0.20543348349728785</v>
      </c>
      <c r="AD36" s="3">
        <f t="shared" si="9"/>
        <v>217.54</v>
      </c>
      <c r="AE36" s="3">
        <f t="shared" si="10"/>
        <v>44.69</v>
      </c>
      <c r="AF36" t="str">
        <f t="shared" si="11"/>
        <v>Regular</v>
      </c>
    </row>
    <row r="37" spans="1:32" x14ac:dyDescent="0.25">
      <c r="A37" t="s">
        <v>3776</v>
      </c>
      <c r="B37" s="1">
        <v>44943</v>
      </c>
      <c r="C37" s="1">
        <v>44953</v>
      </c>
      <c r="D37" s="4">
        <f t="shared" si="0"/>
        <v>10</v>
      </c>
      <c r="E37" s="4" t="str">
        <f>TEXT(Table1[[#This Row],[Order_Date]],"dddd")</f>
        <v>Tuesday</v>
      </c>
      <c r="F37" s="4">
        <f t="shared" si="1"/>
        <v>1</v>
      </c>
      <c r="G37" t="str">
        <f t="shared" si="4"/>
        <v>January</v>
      </c>
      <c r="H37">
        <f t="shared" si="5"/>
        <v>2023</v>
      </c>
      <c r="I37" t="str">
        <f t="shared" si="6"/>
        <v>2023-Q1</v>
      </c>
      <c r="J37" t="s">
        <v>55</v>
      </c>
      <c r="K37" t="s">
        <v>3777</v>
      </c>
      <c r="L37" t="s">
        <v>3778</v>
      </c>
      <c r="M37" t="s">
        <v>47</v>
      </c>
      <c r="N37" t="s">
        <v>25</v>
      </c>
      <c r="O37" t="s">
        <v>119</v>
      </c>
      <c r="P37" t="s">
        <v>120</v>
      </c>
      <c r="Q37" t="s">
        <v>28</v>
      </c>
      <c r="R37" t="s">
        <v>3779</v>
      </c>
      <c r="S37" t="s">
        <v>51</v>
      </c>
      <c r="T37" t="s">
        <v>151</v>
      </c>
      <c r="U37" t="s">
        <v>3780</v>
      </c>
      <c r="V37" s="3">
        <v>1846.03</v>
      </c>
      <c r="W37" s="4">
        <v>10</v>
      </c>
      <c r="X37" s="2">
        <v>0</v>
      </c>
      <c r="Y37" s="3">
        <v>-123.97</v>
      </c>
      <c r="Z37" t="str">
        <f t="shared" si="2"/>
        <v>Normal</v>
      </c>
      <c r="AA37" t="str">
        <f t="shared" si="3"/>
        <v>Low</v>
      </c>
      <c r="AB37" t="str">
        <f t="shared" si="7"/>
        <v>Loss</v>
      </c>
      <c r="AC37" s="3">
        <f t="shared" si="8"/>
        <v>-6.7154921642660195E-2</v>
      </c>
      <c r="AD37" s="3">
        <f t="shared" si="9"/>
        <v>184.60300000000001</v>
      </c>
      <c r="AE37" s="3">
        <f t="shared" si="10"/>
        <v>-12.397</v>
      </c>
      <c r="AF37" t="str">
        <f t="shared" si="11"/>
        <v>Regular</v>
      </c>
    </row>
    <row r="38" spans="1:32" x14ac:dyDescent="0.25">
      <c r="A38" t="s">
        <v>84</v>
      </c>
      <c r="B38" s="1">
        <v>44943</v>
      </c>
      <c r="C38" s="1">
        <v>44952</v>
      </c>
      <c r="D38" s="4">
        <f t="shared" si="0"/>
        <v>9</v>
      </c>
      <c r="E38" s="4" t="str">
        <f>TEXT(Table1[[#This Row],[Order_Date]],"dddd")</f>
        <v>Tuesday</v>
      </c>
      <c r="F38" s="4">
        <f t="shared" si="1"/>
        <v>1</v>
      </c>
      <c r="G38" t="str">
        <f t="shared" si="4"/>
        <v>January</v>
      </c>
      <c r="H38">
        <f t="shared" si="5"/>
        <v>2023</v>
      </c>
      <c r="I38" t="str">
        <f t="shared" si="6"/>
        <v>2023-Q1</v>
      </c>
      <c r="J38" t="s">
        <v>55</v>
      </c>
      <c r="K38" t="s">
        <v>85</v>
      </c>
      <c r="L38" t="s">
        <v>86</v>
      </c>
      <c r="M38" t="s">
        <v>47</v>
      </c>
      <c r="N38" t="s">
        <v>25</v>
      </c>
      <c r="O38" t="s">
        <v>80</v>
      </c>
      <c r="P38" t="s">
        <v>49</v>
      </c>
      <c r="Q38" t="s">
        <v>87</v>
      </c>
      <c r="R38" t="s">
        <v>88</v>
      </c>
      <c r="S38" t="s">
        <v>51</v>
      </c>
      <c r="T38" t="s">
        <v>52</v>
      </c>
      <c r="U38" t="s">
        <v>89</v>
      </c>
      <c r="V38" s="3">
        <v>2934.73</v>
      </c>
      <c r="W38" s="4">
        <v>2</v>
      </c>
      <c r="X38" s="2">
        <v>0</v>
      </c>
      <c r="Y38" s="3">
        <v>876.25</v>
      </c>
      <c r="Z38" t="str">
        <f t="shared" si="2"/>
        <v>Normal</v>
      </c>
      <c r="AA38" t="str">
        <f t="shared" si="3"/>
        <v>Low</v>
      </c>
      <c r="AB38" t="str">
        <f t="shared" si="7"/>
        <v>High Profit</v>
      </c>
      <c r="AC38" s="3">
        <f t="shared" si="8"/>
        <v>0.2985794263867545</v>
      </c>
      <c r="AD38" s="3">
        <f t="shared" si="9"/>
        <v>1467.365</v>
      </c>
      <c r="AE38" s="3">
        <f t="shared" si="10"/>
        <v>438.125</v>
      </c>
      <c r="AF38" t="str">
        <f t="shared" si="11"/>
        <v>Regular</v>
      </c>
    </row>
    <row r="39" spans="1:32" x14ac:dyDescent="0.25">
      <c r="A39" t="s">
        <v>3519</v>
      </c>
      <c r="B39" s="1">
        <v>44943</v>
      </c>
      <c r="C39" s="1">
        <v>44948</v>
      </c>
      <c r="D39" s="4">
        <f t="shared" si="0"/>
        <v>5</v>
      </c>
      <c r="E39" s="4" t="str">
        <f>TEXT(Table1[[#This Row],[Order_Date]],"dddd")</f>
        <v>Tuesday</v>
      </c>
      <c r="F39" s="4">
        <f t="shared" si="1"/>
        <v>1</v>
      </c>
      <c r="G39" t="str">
        <f t="shared" si="4"/>
        <v>January</v>
      </c>
      <c r="H39">
        <f t="shared" si="5"/>
        <v>2023</v>
      </c>
      <c r="I39" t="str">
        <f t="shared" si="6"/>
        <v>2023-Q1</v>
      </c>
      <c r="J39" t="s">
        <v>104</v>
      </c>
      <c r="K39" t="s">
        <v>3520</v>
      </c>
      <c r="L39" t="s">
        <v>3521</v>
      </c>
      <c r="M39" t="s">
        <v>24</v>
      </c>
      <c r="N39" t="s">
        <v>25</v>
      </c>
      <c r="O39" t="s">
        <v>611</v>
      </c>
      <c r="P39" t="s">
        <v>74</v>
      </c>
      <c r="Q39" t="s">
        <v>39</v>
      </c>
      <c r="R39" t="s">
        <v>3522</v>
      </c>
      <c r="S39" t="s">
        <v>30</v>
      </c>
      <c r="T39" t="s">
        <v>41</v>
      </c>
      <c r="U39" t="s">
        <v>1789</v>
      </c>
      <c r="V39" s="3">
        <v>2948.16</v>
      </c>
      <c r="W39" s="4">
        <v>7</v>
      </c>
      <c r="X39" s="2">
        <v>0.3</v>
      </c>
      <c r="Y39" s="3">
        <v>458.39</v>
      </c>
      <c r="Z39" t="str">
        <f t="shared" si="2"/>
        <v>Normal</v>
      </c>
      <c r="AA39" t="str">
        <f t="shared" si="3"/>
        <v>High</v>
      </c>
      <c r="AB39" t="str">
        <f t="shared" si="7"/>
        <v>Low Profit</v>
      </c>
      <c r="AC39" s="3">
        <f t="shared" si="8"/>
        <v>0.15548342016715511</v>
      </c>
      <c r="AD39" s="3">
        <f t="shared" si="9"/>
        <v>421.16571428571427</v>
      </c>
      <c r="AE39" s="3">
        <f t="shared" si="10"/>
        <v>65.484285714285718</v>
      </c>
      <c r="AF39" t="str">
        <f t="shared" si="11"/>
        <v>Regular</v>
      </c>
    </row>
    <row r="40" spans="1:32" x14ac:dyDescent="0.25">
      <c r="A40" t="s">
        <v>4854</v>
      </c>
      <c r="B40" s="1">
        <v>44944</v>
      </c>
      <c r="C40" s="1">
        <v>44948</v>
      </c>
      <c r="D40" s="4">
        <f t="shared" si="0"/>
        <v>4</v>
      </c>
      <c r="E40" s="4" t="str">
        <f>TEXT(Table1[[#This Row],[Order_Date]],"dddd")</f>
        <v>Wednesday</v>
      </c>
      <c r="F40" s="4">
        <f t="shared" si="1"/>
        <v>1</v>
      </c>
      <c r="G40" t="str">
        <f t="shared" si="4"/>
        <v>January</v>
      </c>
      <c r="H40">
        <f t="shared" si="5"/>
        <v>2023</v>
      </c>
      <c r="I40" t="str">
        <f t="shared" si="6"/>
        <v>2023-Q1</v>
      </c>
      <c r="J40" t="s">
        <v>21</v>
      </c>
      <c r="K40" t="s">
        <v>7402</v>
      </c>
      <c r="L40" t="s">
        <v>4855</v>
      </c>
      <c r="M40" t="s">
        <v>36</v>
      </c>
      <c r="N40" t="s">
        <v>25</v>
      </c>
      <c r="O40" t="s">
        <v>65</v>
      </c>
      <c r="P40" t="s">
        <v>27</v>
      </c>
      <c r="Q40" t="s">
        <v>39</v>
      </c>
      <c r="R40" t="s">
        <v>4856</v>
      </c>
      <c r="S40" t="s">
        <v>59</v>
      </c>
      <c r="T40" t="s">
        <v>277</v>
      </c>
      <c r="U40" t="s">
        <v>4857</v>
      </c>
      <c r="V40" s="3">
        <v>3204.7</v>
      </c>
      <c r="W40" s="4">
        <v>4</v>
      </c>
      <c r="X40" s="2">
        <v>0.4</v>
      </c>
      <c r="Y40" s="3">
        <v>-238.41</v>
      </c>
      <c r="Z40" t="str">
        <f t="shared" si="2"/>
        <v>Normal</v>
      </c>
      <c r="AA40" t="str">
        <f t="shared" si="3"/>
        <v>High</v>
      </c>
      <c r="AB40" t="str">
        <f t="shared" si="7"/>
        <v>Loss</v>
      </c>
      <c r="AC40" s="3">
        <f t="shared" si="8"/>
        <v>-7.4393859019565023E-2</v>
      </c>
      <c r="AD40" s="3">
        <f t="shared" si="9"/>
        <v>801.17499999999995</v>
      </c>
      <c r="AE40" s="3">
        <f t="shared" si="10"/>
        <v>-59.602499999999999</v>
      </c>
      <c r="AF40" t="str">
        <f t="shared" si="11"/>
        <v>Regular</v>
      </c>
    </row>
    <row r="41" spans="1:32" x14ac:dyDescent="0.25">
      <c r="A41" t="s">
        <v>4794</v>
      </c>
      <c r="B41" s="1">
        <v>44944</v>
      </c>
      <c r="C41" s="1">
        <v>44954</v>
      </c>
      <c r="D41" s="4">
        <f t="shared" si="0"/>
        <v>10</v>
      </c>
      <c r="E41" s="4" t="str">
        <f>TEXT(Table1[[#This Row],[Order_Date]],"dddd")</f>
        <v>Wednesday</v>
      </c>
      <c r="F41" s="4">
        <f t="shared" si="1"/>
        <v>1</v>
      </c>
      <c r="G41" t="str">
        <f t="shared" si="4"/>
        <v>January</v>
      </c>
      <c r="H41">
        <f t="shared" si="5"/>
        <v>2023</v>
      </c>
      <c r="I41" t="str">
        <f t="shared" si="6"/>
        <v>2023-Q1</v>
      </c>
      <c r="J41" t="s">
        <v>21</v>
      </c>
      <c r="K41" t="s">
        <v>4795</v>
      </c>
      <c r="L41" t="s">
        <v>4796</v>
      </c>
      <c r="M41" t="s">
        <v>24</v>
      </c>
      <c r="N41" t="s">
        <v>25</v>
      </c>
      <c r="O41" t="s">
        <v>80</v>
      </c>
      <c r="P41" t="s">
        <v>49</v>
      </c>
      <c r="Q41" t="s">
        <v>39</v>
      </c>
      <c r="R41" t="s">
        <v>4797</v>
      </c>
      <c r="S41" t="s">
        <v>59</v>
      </c>
      <c r="T41" t="s">
        <v>303</v>
      </c>
      <c r="U41" t="s">
        <v>4798</v>
      </c>
      <c r="V41" s="3">
        <v>3909.69</v>
      </c>
      <c r="W41" s="4">
        <v>5</v>
      </c>
      <c r="X41" s="2">
        <v>0.4</v>
      </c>
      <c r="Y41" s="3">
        <v>-455.47</v>
      </c>
      <c r="Z41" t="str">
        <f t="shared" si="2"/>
        <v>Normal</v>
      </c>
      <c r="AA41" t="str">
        <f t="shared" si="3"/>
        <v>High</v>
      </c>
      <c r="AB41" t="str">
        <f t="shared" si="7"/>
        <v>Loss</v>
      </c>
      <c r="AC41" s="3">
        <f t="shared" si="8"/>
        <v>-0.1164977274413061</v>
      </c>
      <c r="AD41" s="3">
        <f t="shared" si="9"/>
        <v>781.93799999999999</v>
      </c>
      <c r="AE41" s="3">
        <f t="shared" si="10"/>
        <v>-91.094000000000008</v>
      </c>
      <c r="AF41" t="str">
        <f t="shared" si="11"/>
        <v>Regular</v>
      </c>
    </row>
    <row r="42" spans="1:32" x14ac:dyDescent="0.25">
      <c r="A42" t="s">
        <v>2765</v>
      </c>
      <c r="B42" s="1">
        <v>44945</v>
      </c>
      <c r="C42" s="1">
        <v>44950</v>
      </c>
      <c r="D42" s="4">
        <f t="shared" si="0"/>
        <v>5</v>
      </c>
      <c r="E42" s="4" t="str">
        <f>TEXT(Table1[[#This Row],[Order_Date]],"dddd")</f>
        <v>Thursday</v>
      </c>
      <c r="F42" s="4">
        <f t="shared" si="1"/>
        <v>1</v>
      </c>
      <c r="G42" t="str">
        <f t="shared" si="4"/>
        <v>January</v>
      </c>
      <c r="H42">
        <f t="shared" si="5"/>
        <v>2023</v>
      </c>
      <c r="I42" t="str">
        <f t="shared" si="6"/>
        <v>2023-Q1</v>
      </c>
      <c r="J42" t="s">
        <v>104</v>
      </c>
      <c r="K42" t="s">
        <v>2766</v>
      </c>
      <c r="L42" t="s">
        <v>2767</v>
      </c>
      <c r="M42" t="s">
        <v>24</v>
      </c>
      <c r="N42" t="s">
        <v>25</v>
      </c>
      <c r="O42" t="s">
        <v>233</v>
      </c>
      <c r="P42" t="s">
        <v>163</v>
      </c>
      <c r="Q42" t="s">
        <v>39</v>
      </c>
      <c r="R42" t="s">
        <v>2768</v>
      </c>
      <c r="S42" t="s">
        <v>51</v>
      </c>
      <c r="T42" t="s">
        <v>108</v>
      </c>
      <c r="U42" t="s">
        <v>2769</v>
      </c>
      <c r="V42" s="3">
        <v>2098.94</v>
      </c>
      <c r="W42" s="4">
        <v>1</v>
      </c>
      <c r="X42" s="2">
        <v>0.2</v>
      </c>
      <c r="Y42" s="3">
        <v>38.090000000000003</v>
      </c>
      <c r="Z42" t="str">
        <f t="shared" si="2"/>
        <v>Normal</v>
      </c>
      <c r="AA42" t="str">
        <f t="shared" si="3"/>
        <v>High</v>
      </c>
      <c r="AB42" t="str">
        <f t="shared" si="7"/>
        <v>Low Profit</v>
      </c>
      <c r="AC42" s="3">
        <f t="shared" si="8"/>
        <v>1.8147255281237198E-2</v>
      </c>
      <c r="AD42" s="3">
        <f t="shared" si="9"/>
        <v>2098.94</v>
      </c>
      <c r="AE42" s="3">
        <f t="shared" si="10"/>
        <v>38.090000000000003</v>
      </c>
      <c r="AF42" t="str">
        <f t="shared" si="11"/>
        <v>Regular</v>
      </c>
    </row>
    <row r="43" spans="1:32" x14ac:dyDescent="0.25">
      <c r="A43" t="s">
        <v>6440</v>
      </c>
      <c r="B43" s="1">
        <v>44945</v>
      </c>
      <c r="C43" s="1">
        <v>44954</v>
      </c>
      <c r="D43" s="4">
        <f t="shared" si="0"/>
        <v>9</v>
      </c>
      <c r="E43" s="4" t="str">
        <f>TEXT(Table1[[#This Row],[Order_Date]],"dddd")</f>
        <v>Thursday</v>
      </c>
      <c r="F43" s="4">
        <f t="shared" si="1"/>
        <v>1</v>
      </c>
      <c r="G43" t="str">
        <f t="shared" si="4"/>
        <v>January</v>
      </c>
      <c r="H43">
        <f t="shared" si="5"/>
        <v>2023</v>
      </c>
      <c r="I43" t="str">
        <f t="shared" si="6"/>
        <v>2023-Q1</v>
      </c>
      <c r="J43" t="s">
        <v>104</v>
      </c>
      <c r="K43" t="s">
        <v>7402</v>
      </c>
      <c r="L43" t="s">
        <v>6441</v>
      </c>
      <c r="M43" t="s">
        <v>47</v>
      </c>
      <c r="N43" t="s">
        <v>25</v>
      </c>
      <c r="O43" t="s">
        <v>142</v>
      </c>
      <c r="P43" t="s">
        <v>143</v>
      </c>
      <c r="Q43" t="s">
        <v>28</v>
      </c>
      <c r="R43" t="s">
        <v>6442</v>
      </c>
      <c r="S43" t="s">
        <v>30</v>
      </c>
      <c r="T43" t="s">
        <v>41</v>
      </c>
      <c r="U43" t="s">
        <v>6443</v>
      </c>
      <c r="V43" s="3">
        <v>2780.78</v>
      </c>
      <c r="W43" s="4">
        <v>6</v>
      </c>
      <c r="X43" s="2">
        <v>0</v>
      </c>
      <c r="Y43" s="3">
        <v>453.98</v>
      </c>
      <c r="Z43" t="str">
        <f t="shared" si="2"/>
        <v>Normal</v>
      </c>
      <c r="AA43" t="str">
        <f t="shared" si="3"/>
        <v>Low</v>
      </c>
      <c r="AB43" t="str">
        <f t="shared" si="7"/>
        <v>Low Profit</v>
      </c>
      <c r="AC43" s="3">
        <f t="shared" si="8"/>
        <v>0.16325635253418105</v>
      </c>
      <c r="AD43" s="3">
        <f t="shared" si="9"/>
        <v>463.46333333333337</v>
      </c>
      <c r="AE43" s="3">
        <f t="shared" si="10"/>
        <v>75.663333333333341</v>
      </c>
      <c r="AF43" t="str">
        <f t="shared" si="11"/>
        <v>Regular</v>
      </c>
    </row>
    <row r="44" spans="1:32" x14ac:dyDescent="0.25">
      <c r="A44" t="s">
        <v>4716</v>
      </c>
      <c r="B44" s="1">
        <v>44945</v>
      </c>
      <c r="C44" s="1">
        <v>44951</v>
      </c>
      <c r="D44" s="4">
        <f t="shared" si="0"/>
        <v>6</v>
      </c>
      <c r="E44" s="4" t="str">
        <f>TEXT(Table1[[#This Row],[Order_Date]],"dddd")</f>
        <v>Thursday</v>
      </c>
      <c r="F44" s="4">
        <f t="shared" si="1"/>
        <v>1</v>
      </c>
      <c r="G44" t="str">
        <f t="shared" si="4"/>
        <v>January</v>
      </c>
      <c r="H44">
        <f t="shared" si="5"/>
        <v>2023</v>
      </c>
      <c r="I44" t="str">
        <f t="shared" si="6"/>
        <v>2023-Q1</v>
      </c>
      <c r="J44" t="s">
        <v>104</v>
      </c>
      <c r="K44" t="s">
        <v>4717</v>
      </c>
      <c r="L44" t="s">
        <v>4718</v>
      </c>
      <c r="M44" t="s">
        <v>47</v>
      </c>
      <c r="N44" t="s">
        <v>25</v>
      </c>
      <c r="O44" t="s">
        <v>37</v>
      </c>
      <c r="P44" t="s">
        <v>38</v>
      </c>
      <c r="Q44" t="s">
        <v>39</v>
      </c>
      <c r="R44" t="s">
        <v>4719</v>
      </c>
      <c r="S44" t="s">
        <v>59</v>
      </c>
      <c r="T44" t="s">
        <v>60</v>
      </c>
      <c r="U44" t="s">
        <v>4720</v>
      </c>
      <c r="V44" s="3">
        <v>2865.75</v>
      </c>
      <c r="W44" s="4">
        <v>4</v>
      </c>
      <c r="X44" s="2">
        <v>0.4</v>
      </c>
      <c r="Y44" s="3">
        <v>-182.98</v>
      </c>
      <c r="Z44" t="str">
        <f t="shared" si="2"/>
        <v>Normal</v>
      </c>
      <c r="AA44" t="str">
        <f t="shared" si="3"/>
        <v>High</v>
      </c>
      <c r="AB44" t="str">
        <f t="shared" si="7"/>
        <v>Loss</v>
      </c>
      <c r="AC44" s="3">
        <f t="shared" si="8"/>
        <v>-6.3850649917124663E-2</v>
      </c>
      <c r="AD44" s="3">
        <f t="shared" si="9"/>
        <v>716.4375</v>
      </c>
      <c r="AE44" s="3">
        <f t="shared" si="10"/>
        <v>-45.744999999999997</v>
      </c>
      <c r="AF44" t="str">
        <f t="shared" si="11"/>
        <v>Regular</v>
      </c>
    </row>
    <row r="45" spans="1:32" x14ac:dyDescent="0.25">
      <c r="A45" t="s">
        <v>6515</v>
      </c>
      <c r="B45" s="1">
        <v>44946</v>
      </c>
      <c r="C45" s="1">
        <v>44948</v>
      </c>
      <c r="D45" s="4">
        <f t="shared" si="0"/>
        <v>2</v>
      </c>
      <c r="E45" s="4" t="str">
        <f>TEXT(Table1[[#This Row],[Order_Date]],"dddd")</f>
        <v>Friday</v>
      </c>
      <c r="F45" s="4">
        <f t="shared" si="1"/>
        <v>1</v>
      </c>
      <c r="G45" t="str">
        <f t="shared" si="4"/>
        <v>January</v>
      </c>
      <c r="H45">
        <f t="shared" si="5"/>
        <v>2023</v>
      </c>
      <c r="I45" t="str">
        <f t="shared" si="6"/>
        <v>2023-Q1</v>
      </c>
      <c r="J45" t="s">
        <v>55</v>
      </c>
      <c r="K45" t="s">
        <v>6516</v>
      </c>
      <c r="L45" t="s">
        <v>6517</v>
      </c>
      <c r="M45" t="s">
        <v>36</v>
      </c>
      <c r="N45" t="s">
        <v>25</v>
      </c>
      <c r="O45" t="s">
        <v>80</v>
      </c>
      <c r="P45" t="s">
        <v>49</v>
      </c>
      <c r="Q45" t="s">
        <v>28</v>
      </c>
      <c r="R45" t="s">
        <v>6518</v>
      </c>
      <c r="S45" t="s">
        <v>59</v>
      </c>
      <c r="T45" t="s">
        <v>303</v>
      </c>
      <c r="U45" t="s">
        <v>6519</v>
      </c>
      <c r="V45" s="3">
        <v>3965.42</v>
      </c>
      <c r="W45" s="4">
        <v>3</v>
      </c>
      <c r="X45" s="2">
        <v>0.1</v>
      </c>
      <c r="Y45" s="3">
        <v>685.61</v>
      </c>
      <c r="Z45" t="str">
        <f t="shared" si="2"/>
        <v>Normal</v>
      </c>
      <c r="AA45" t="str">
        <f t="shared" si="3"/>
        <v>Medium</v>
      </c>
      <c r="AB45" t="str">
        <f t="shared" si="7"/>
        <v>High Profit</v>
      </c>
      <c r="AC45" s="3">
        <f t="shared" si="8"/>
        <v>0.17289719626168223</v>
      </c>
      <c r="AD45" s="3">
        <f t="shared" si="9"/>
        <v>1321.8066666666666</v>
      </c>
      <c r="AE45" s="3">
        <f t="shared" si="10"/>
        <v>228.53666666666666</v>
      </c>
      <c r="AF45" t="str">
        <f t="shared" si="11"/>
        <v>Regular</v>
      </c>
    </row>
    <row r="46" spans="1:32" x14ac:dyDescent="0.25">
      <c r="A46" t="s">
        <v>7073</v>
      </c>
      <c r="B46" s="1">
        <v>44947</v>
      </c>
      <c r="C46" s="1">
        <v>44955</v>
      </c>
      <c r="D46" s="4">
        <f t="shared" si="0"/>
        <v>8</v>
      </c>
      <c r="E46" s="4" t="str">
        <f>TEXT(Table1[[#This Row],[Order_Date]],"dddd")</f>
        <v>Saturday</v>
      </c>
      <c r="F46" s="4">
        <f t="shared" si="1"/>
        <v>1</v>
      </c>
      <c r="G46" t="str">
        <f t="shared" si="4"/>
        <v>January</v>
      </c>
      <c r="H46">
        <f t="shared" si="5"/>
        <v>2023</v>
      </c>
      <c r="I46" t="str">
        <f t="shared" si="6"/>
        <v>2023-Q1</v>
      </c>
      <c r="J46" t="s">
        <v>55</v>
      </c>
      <c r="K46" t="s">
        <v>7074</v>
      </c>
      <c r="L46" t="s">
        <v>7075</v>
      </c>
      <c r="M46" t="s">
        <v>47</v>
      </c>
      <c r="N46" t="s">
        <v>25</v>
      </c>
      <c r="O46" t="s">
        <v>255</v>
      </c>
      <c r="P46" t="s">
        <v>143</v>
      </c>
      <c r="Q46" t="s">
        <v>28</v>
      </c>
      <c r="R46" t="s">
        <v>7076</v>
      </c>
      <c r="S46" t="s">
        <v>51</v>
      </c>
      <c r="T46" t="s">
        <v>108</v>
      </c>
      <c r="U46" t="s">
        <v>7077</v>
      </c>
      <c r="V46" s="3">
        <v>3546.99</v>
      </c>
      <c r="W46" s="4">
        <v>4</v>
      </c>
      <c r="X46" s="2">
        <v>0.4</v>
      </c>
      <c r="Y46" s="3">
        <v>-72.86</v>
      </c>
      <c r="Z46" t="str">
        <f t="shared" si="2"/>
        <v>Normal</v>
      </c>
      <c r="AA46" t="str">
        <f t="shared" si="3"/>
        <v>High</v>
      </c>
      <c r="AB46" t="str">
        <f t="shared" si="7"/>
        <v>Loss</v>
      </c>
      <c r="AC46" s="3">
        <f t="shared" si="8"/>
        <v>-2.0541360421089432E-2</v>
      </c>
      <c r="AD46" s="3">
        <f t="shared" si="9"/>
        <v>886.74749999999995</v>
      </c>
      <c r="AE46" s="3">
        <f t="shared" si="10"/>
        <v>-18.215</v>
      </c>
      <c r="AF46" t="str">
        <f t="shared" si="11"/>
        <v>Regular</v>
      </c>
    </row>
    <row r="47" spans="1:32" x14ac:dyDescent="0.25">
      <c r="A47" t="s">
        <v>1911</v>
      </c>
      <c r="B47" s="1">
        <v>44947</v>
      </c>
      <c r="C47" s="1">
        <v>44954</v>
      </c>
      <c r="D47" s="4">
        <f t="shared" si="0"/>
        <v>7</v>
      </c>
      <c r="E47" s="4" t="str">
        <f>TEXT(Table1[[#This Row],[Order_Date]],"dddd")</f>
        <v>Saturday</v>
      </c>
      <c r="F47" s="4">
        <f t="shared" si="1"/>
        <v>1</v>
      </c>
      <c r="G47" t="str">
        <f t="shared" si="4"/>
        <v>January</v>
      </c>
      <c r="H47">
        <f t="shared" si="5"/>
        <v>2023</v>
      </c>
      <c r="I47" t="str">
        <f t="shared" si="6"/>
        <v>2023-Q1</v>
      </c>
      <c r="J47" t="s">
        <v>21</v>
      </c>
      <c r="K47" t="s">
        <v>1912</v>
      </c>
      <c r="L47" t="s">
        <v>1913</v>
      </c>
      <c r="M47" t="s">
        <v>24</v>
      </c>
      <c r="N47" t="s">
        <v>25</v>
      </c>
      <c r="O47" t="s">
        <v>382</v>
      </c>
      <c r="P47" t="s">
        <v>38</v>
      </c>
      <c r="Q47" t="s">
        <v>39</v>
      </c>
      <c r="R47" t="s">
        <v>1914</v>
      </c>
      <c r="S47" t="s">
        <v>59</v>
      </c>
      <c r="T47" t="s">
        <v>101</v>
      </c>
      <c r="U47" t="s">
        <v>1915</v>
      </c>
      <c r="V47" s="3">
        <v>2200</v>
      </c>
      <c r="W47" s="4">
        <v>7</v>
      </c>
      <c r="X47" s="2">
        <v>0</v>
      </c>
      <c r="Y47" s="3">
        <v>186.07</v>
      </c>
      <c r="Z47" t="str">
        <f t="shared" si="2"/>
        <v>Normal</v>
      </c>
      <c r="AA47" t="str">
        <f t="shared" si="3"/>
        <v>Low</v>
      </c>
      <c r="AB47" t="str">
        <f t="shared" si="7"/>
        <v>Low Profit</v>
      </c>
      <c r="AC47" s="3">
        <f t="shared" si="8"/>
        <v>8.4577272727272723E-2</v>
      </c>
      <c r="AD47" s="3">
        <f t="shared" si="9"/>
        <v>314.28571428571428</v>
      </c>
      <c r="AE47" s="3">
        <f t="shared" si="10"/>
        <v>26.581428571428571</v>
      </c>
      <c r="AF47" t="str">
        <f t="shared" si="11"/>
        <v>Regular</v>
      </c>
    </row>
    <row r="48" spans="1:32" x14ac:dyDescent="0.25">
      <c r="A48" t="s">
        <v>3568</v>
      </c>
      <c r="B48" s="1">
        <v>44948</v>
      </c>
      <c r="C48" s="1">
        <v>44950</v>
      </c>
      <c r="D48" s="4">
        <f t="shared" si="0"/>
        <v>2</v>
      </c>
      <c r="E48" s="4" t="str">
        <f>TEXT(Table1[[#This Row],[Order_Date]],"dddd")</f>
        <v>Sunday</v>
      </c>
      <c r="F48" s="4">
        <f t="shared" si="1"/>
        <v>1</v>
      </c>
      <c r="G48" t="str">
        <f t="shared" si="4"/>
        <v>January</v>
      </c>
      <c r="H48">
        <f t="shared" si="5"/>
        <v>2023</v>
      </c>
      <c r="I48" t="str">
        <f t="shared" si="6"/>
        <v>2023-Q1</v>
      </c>
      <c r="J48" t="s">
        <v>104</v>
      </c>
      <c r="K48" t="s">
        <v>3569</v>
      </c>
      <c r="L48" t="s">
        <v>3570</v>
      </c>
      <c r="M48" t="s">
        <v>36</v>
      </c>
      <c r="N48" t="s">
        <v>25</v>
      </c>
      <c r="O48" t="s">
        <v>113</v>
      </c>
      <c r="P48" t="s">
        <v>113</v>
      </c>
      <c r="Q48" t="s">
        <v>28</v>
      </c>
      <c r="R48" t="s">
        <v>3571</v>
      </c>
      <c r="S48" t="s">
        <v>30</v>
      </c>
      <c r="T48" t="s">
        <v>68</v>
      </c>
      <c r="U48" t="s">
        <v>3572</v>
      </c>
      <c r="V48" s="3">
        <v>91.22</v>
      </c>
      <c r="W48" s="4">
        <v>9</v>
      </c>
      <c r="X48" s="2">
        <v>0.3</v>
      </c>
      <c r="Y48" s="3">
        <v>2.8</v>
      </c>
      <c r="Z48" t="str">
        <f t="shared" si="2"/>
        <v>Normal</v>
      </c>
      <c r="AA48" t="str">
        <f t="shared" si="3"/>
        <v>High</v>
      </c>
      <c r="AB48" t="str">
        <f t="shared" si="7"/>
        <v>Low Profit</v>
      </c>
      <c r="AC48" s="3">
        <f t="shared" si="8"/>
        <v>3.0695023021267264E-2</v>
      </c>
      <c r="AD48" s="3">
        <f t="shared" si="9"/>
        <v>10.135555555555555</v>
      </c>
      <c r="AE48" s="3">
        <f t="shared" si="10"/>
        <v>0.31111111111111112</v>
      </c>
      <c r="AF48" t="str">
        <f t="shared" si="11"/>
        <v>Regular</v>
      </c>
    </row>
    <row r="49" spans="1:32" x14ac:dyDescent="0.25">
      <c r="A49" t="s">
        <v>5598</v>
      </c>
      <c r="B49" s="1">
        <v>44949</v>
      </c>
      <c r="C49" s="1">
        <v>44952</v>
      </c>
      <c r="D49" s="4">
        <f t="shared" si="0"/>
        <v>3</v>
      </c>
      <c r="E49" s="4" t="str">
        <f>TEXT(Table1[[#This Row],[Order_Date]],"dddd")</f>
        <v>Monday</v>
      </c>
      <c r="F49" s="4">
        <f t="shared" si="1"/>
        <v>1</v>
      </c>
      <c r="G49" t="str">
        <f t="shared" si="4"/>
        <v>January</v>
      </c>
      <c r="H49">
        <f t="shared" si="5"/>
        <v>2023</v>
      </c>
      <c r="I49" t="str">
        <f t="shared" si="6"/>
        <v>2023-Q1</v>
      </c>
      <c r="J49" t="s">
        <v>44</v>
      </c>
      <c r="K49" t="s">
        <v>5599</v>
      </c>
      <c r="L49" t="s">
        <v>5600</v>
      </c>
      <c r="M49" t="s">
        <v>36</v>
      </c>
      <c r="N49" t="s">
        <v>25</v>
      </c>
      <c r="O49" t="s">
        <v>233</v>
      </c>
      <c r="P49" t="s">
        <v>163</v>
      </c>
      <c r="Q49" t="s">
        <v>66</v>
      </c>
      <c r="R49" t="s">
        <v>5601</v>
      </c>
      <c r="S49" t="s">
        <v>30</v>
      </c>
      <c r="T49" t="s">
        <v>31</v>
      </c>
      <c r="U49" t="s">
        <v>5602</v>
      </c>
      <c r="V49" s="3">
        <v>4369.3900000000003</v>
      </c>
      <c r="W49" s="4">
        <v>7</v>
      </c>
      <c r="X49" s="2">
        <v>0.2</v>
      </c>
      <c r="Y49" s="3">
        <v>-160.01</v>
      </c>
      <c r="Z49" t="str">
        <f t="shared" si="2"/>
        <v>Normal</v>
      </c>
      <c r="AA49" t="str">
        <f t="shared" si="3"/>
        <v>High</v>
      </c>
      <c r="AB49" t="str">
        <f t="shared" si="7"/>
        <v>Loss</v>
      </c>
      <c r="AC49" s="3">
        <f t="shared" si="8"/>
        <v>-3.6620672450845534E-2</v>
      </c>
      <c r="AD49" s="3">
        <f t="shared" si="9"/>
        <v>624.19857142857143</v>
      </c>
      <c r="AE49" s="3">
        <f t="shared" si="10"/>
        <v>-22.858571428571427</v>
      </c>
      <c r="AF49" t="str">
        <f t="shared" si="11"/>
        <v>Regular</v>
      </c>
    </row>
    <row r="50" spans="1:32" x14ac:dyDescent="0.25">
      <c r="A50" t="s">
        <v>3406</v>
      </c>
      <c r="B50" s="1">
        <v>44949</v>
      </c>
      <c r="C50" s="1">
        <v>44951</v>
      </c>
      <c r="D50" s="4">
        <f t="shared" si="0"/>
        <v>2</v>
      </c>
      <c r="E50" s="4" t="str">
        <f>TEXT(Table1[[#This Row],[Order_Date]],"dddd")</f>
        <v>Monday</v>
      </c>
      <c r="F50" s="4">
        <f t="shared" si="1"/>
        <v>1</v>
      </c>
      <c r="G50" t="str">
        <f t="shared" si="4"/>
        <v>January</v>
      </c>
      <c r="H50">
        <f t="shared" si="5"/>
        <v>2023</v>
      </c>
      <c r="I50" t="str">
        <f t="shared" si="6"/>
        <v>2023-Q1</v>
      </c>
      <c r="J50" t="s">
        <v>104</v>
      </c>
      <c r="K50" t="s">
        <v>3407</v>
      </c>
      <c r="L50" t="s">
        <v>3408</v>
      </c>
      <c r="M50" t="s">
        <v>36</v>
      </c>
      <c r="N50" t="s">
        <v>25</v>
      </c>
      <c r="O50" t="s">
        <v>451</v>
      </c>
      <c r="P50" t="s">
        <v>38</v>
      </c>
      <c r="Q50" t="s">
        <v>87</v>
      </c>
      <c r="R50" t="s">
        <v>3409</v>
      </c>
      <c r="S50" t="s">
        <v>30</v>
      </c>
      <c r="T50" t="s">
        <v>31</v>
      </c>
      <c r="U50" t="s">
        <v>3410</v>
      </c>
      <c r="V50" s="3">
        <v>1751.18</v>
      </c>
      <c r="W50" s="4">
        <v>9</v>
      </c>
      <c r="X50" s="2">
        <v>0.2</v>
      </c>
      <c r="Y50" s="3">
        <v>40.99</v>
      </c>
      <c r="Z50" t="str">
        <f t="shared" si="2"/>
        <v>Normal</v>
      </c>
      <c r="AA50" t="str">
        <f t="shared" si="3"/>
        <v>High</v>
      </c>
      <c r="AB50" t="str">
        <f t="shared" si="7"/>
        <v>Low Profit</v>
      </c>
      <c r="AC50" s="3">
        <f t="shared" si="8"/>
        <v>2.3407074087186924E-2</v>
      </c>
      <c r="AD50" s="3">
        <f t="shared" si="9"/>
        <v>194.57555555555555</v>
      </c>
      <c r="AE50" s="3">
        <f t="shared" si="10"/>
        <v>4.554444444444445</v>
      </c>
      <c r="AF50" t="str">
        <f t="shared" si="11"/>
        <v>Regular</v>
      </c>
    </row>
    <row r="51" spans="1:32" x14ac:dyDescent="0.25">
      <c r="A51" t="s">
        <v>2301</v>
      </c>
      <c r="B51" s="1">
        <v>44950</v>
      </c>
      <c r="C51" s="1">
        <v>44955</v>
      </c>
      <c r="D51" s="4">
        <f t="shared" si="0"/>
        <v>5</v>
      </c>
      <c r="E51" s="4" t="str">
        <f>TEXT(Table1[[#This Row],[Order_Date]],"dddd")</f>
        <v>Tuesday</v>
      </c>
      <c r="F51" s="4">
        <f t="shared" si="1"/>
        <v>1</v>
      </c>
      <c r="G51" t="str">
        <f t="shared" si="4"/>
        <v>January</v>
      </c>
      <c r="H51">
        <f t="shared" si="5"/>
        <v>2023</v>
      </c>
      <c r="I51" t="str">
        <f t="shared" si="6"/>
        <v>2023-Q1</v>
      </c>
      <c r="J51" t="s">
        <v>44</v>
      </c>
      <c r="K51" t="s">
        <v>2302</v>
      </c>
      <c r="L51" t="s">
        <v>2303</v>
      </c>
      <c r="M51" t="s">
        <v>36</v>
      </c>
      <c r="N51" t="s">
        <v>25</v>
      </c>
      <c r="O51" t="s">
        <v>233</v>
      </c>
      <c r="P51" t="s">
        <v>163</v>
      </c>
      <c r="Q51" t="s">
        <v>39</v>
      </c>
      <c r="R51" t="s">
        <v>2304</v>
      </c>
      <c r="S51" t="s">
        <v>30</v>
      </c>
      <c r="T51" t="s">
        <v>31</v>
      </c>
      <c r="U51" t="s">
        <v>2305</v>
      </c>
      <c r="V51" s="3">
        <v>1530.16</v>
      </c>
      <c r="W51" s="4">
        <v>8</v>
      </c>
      <c r="X51" s="2">
        <v>0.2</v>
      </c>
      <c r="Y51" s="3">
        <v>182</v>
      </c>
      <c r="Z51" t="str">
        <f t="shared" si="2"/>
        <v>Normal</v>
      </c>
      <c r="AA51" t="str">
        <f t="shared" si="3"/>
        <v>High</v>
      </c>
      <c r="AB51" t="str">
        <f t="shared" si="7"/>
        <v>Low Profit</v>
      </c>
      <c r="AC51" s="3">
        <f t="shared" si="8"/>
        <v>0.11894181000679667</v>
      </c>
      <c r="AD51" s="3">
        <f t="shared" si="9"/>
        <v>191.27</v>
      </c>
      <c r="AE51" s="3">
        <f t="shared" si="10"/>
        <v>22.75</v>
      </c>
      <c r="AF51" t="str">
        <f t="shared" si="11"/>
        <v>Regular</v>
      </c>
    </row>
    <row r="52" spans="1:32" x14ac:dyDescent="0.25">
      <c r="A52" t="s">
        <v>3043</v>
      </c>
      <c r="B52" s="1">
        <v>44950</v>
      </c>
      <c r="C52" s="1">
        <v>44958</v>
      </c>
      <c r="D52" s="4">
        <f t="shared" si="0"/>
        <v>8</v>
      </c>
      <c r="E52" s="4" t="str">
        <f>TEXT(Table1[[#This Row],[Order_Date]],"dddd")</f>
        <v>Tuesday</v>
      </c>
      <c r="F52" s="4">
        <f t="shared" si="1"/>
        <v>1</v>
      </c>
      <c r="G52" t="str">
        <f t="shared" si="4"/>
        <v>January</v>
      </c>
      <c r="H52">
        <f t="shared" si="5"/>
        <v>2023</v>
      </c>
      <c r="I52" t="str">
        <f t="shared" si="6"/>
        <v>2023-Q1</v>
      </c>
      <c r="J52" t="s">
        <v>21</v>
      </c>
      <c r="K52" t="s">
        <v>3044</v>
      </c>
      <c r="L52" t="s">
        <v>3045</v>
      </c>
      <c r="M52" t="s">
        <v>24</v>
      </c>
      <c r="N52" t="s">
        <v>25</v>
      </c>
      <c r="O52" t="s">
        <v>119</v>
      </c>
      <c r="P52" t="s">
        <v>120</v>
      </c>
      <c r="Q52" t="s">
        <v>28</v>
      </c>
      <c r="R52" t="s">
        <v>3046</v>
      </c>
      <c r="S52" t="s">
        <v>30</v>
      </c>
      <c r="T52" t="s">
        <v>41</v>
      </c>
      <c r="U52" t="s">
        <v>3047</v>
      </c>
      <c r="V52" s="3">
        <v>3957.59</v>
      </c>
      <c r="W52" s="4">
        <v>9</v>
      </c>
      <c r="X52" s="2">
        <v>0</v>
      </c>
      <c r="Y52" s="3">
        <v>-704.11</v>
      </c>
      <c r="Z52" t="str">
        <f t="shared" si="2"/>
        <v>Normal</v>
      </c>
      <c r="AA52" t="str">
        <f t="shared" si="3"/>
        <v>Low</v>
      </c>
      <c r="AB52" t="str">
        <f t="shared" si="7"/>
        <v>Loss</v>
      </c>
      <c r="AC52" s="3">
        <f t="shared" si="8"/>
        <v>-0.17791383139739084</v>
      </c>
      <c r="AD52" s="3">
        <f t="shared" si="9"/>
        <v>439.73222222222222</v>
      </c>
      <c r="AE52" s="3">
        <f t="shared" si="10"/>
        <v>-78.234444444444449</v>
      </c>
      <c r="AF52" t="str">
        <f t="shared" si="11"/>
        <v>Regular</v>
      </c>
    </row>
    <row r="53" spans="1:32" x14ac:dyDescent="0.25">
      <c r="A53" t="s">
        <v>2379</v>
      </c>
      <c r="B53" s="1">
        <v>44950</v>
      </c>
      <c r="C53" s="1">
        <v>44958</v>
      </c>
      <c r="D53" s="4">
        <f t="shared" si="0"/>
        <v>8</v>
      </c>
      <c r="E53" s="4" t="str">
        <f>TEXT(Table1[[#This Row],[Order_Date]],"dddd")</f>
        <v>Tuesday</v>
      </c>
      <c r="F53" s="4">
        <f t="shared" si="1"/>
        <v>1</v>
      </c>
      <c r="G53" t="str">
        <f t="shared" si="4"/>
        <v>January</v>
      </c>
      <c r="H53">
        <f t="shared" si="5"/>
        <v>2023</v>
      </c>
      <c r="I53" t="str">
        <f t="shared" si="6"/>
        <v>2023-Q1</v>
      </c>
      <c r="J53" t="s">
        <v>44</v>
      </c>
      <c r="K53" t="s">
        <v>2380</v>
      </c>
      <c r="L53" t="s">
        <v>2381</v>
      </c>
      <c r="M53" t="s">
        <v>36</v>
      </c>
      <c r="N53" t="s">
        <v>25</v>
      </c>
      <c r="O53" t="s">
        <v>48</v>
      </c>
      <c r="P53" t="s">
        <v>49</v>
      </c>
      <c r="Q53" t="s">
        <v>39</v>
      </c>
      <c r="R53" t="s">
        <v>2382</v>
      </c>
      <c r="S53" t="s">
        <v>51</v>
      </c>
      <c r="T53" t="s">
        <v>108</v>
      </c>
      <c r="U53" t="s">
        <v>2383</v>
      </c>
      <c r="V53" s="3">
        <v>4784.96</v>
      </c>
      <c r="W53" s="4">
        <v>2</v>
      </c>
      <c r="X53" s="2">
        <v>0.3</v>
      </c>
      <c r="Y53" s="3">
        <v>222.03</v>
      </c>
      <c r="Z53" t="str">
        <f t="shared" si="2"/>
        <v>Normal</v>
      </c>
      <c r="AA53" t="str">
        <f t="shared" si="3"/>
        <v>High</v>
      </c>
      <c r="AB53" t="str">
        <f t="shared" si="7"/>
        <v>Low Profit</v>
      </c>
      <c r="AC53" s="3">
        <f t="shared" si="8"/>
        <v>4.6401641811007824E-2</v>
      </c>
      <c r="AD53" s="3">
        <f t="shared" si="9"/>
        <v>2392.48</v>
      </c>
      <c r="AE53" s="3">
        <f t="shared" si="10"/>
        <v>111.015</v>
      </c>
      <c r="AF53" t="str">
        <f t="shared" si="11"/>
        <v>Regular</v>
      </c>
    </row>
    <row r="54" spans="1:32" x14ac:dyDescent="0.25">
      <c r="A54" t="s">
        <v>1844</v>
      </c>
      <c r="B54" s="1">
        <v>44951</v>
      </c>
      <c r="C54" s="1">
        <v>44960</v>
      </c>
      <c r="D54" s="4">
        <f t="shared" si="0"/>
        <v>9</v>
      </c>
      <c r="E54" s="4" t="str">
        <f>TEXT(Table1[[#This Row],[Order_Date]],"dddd")</f>
        <v>Wednesday</v>
      </c>
      <c r="F54" s="4">
        <f t="shared" si="1"/>
        <v>1</v>
      </c>
      <c r="G54" t="str">
        <f t="shared" si="4"/>
        <v>January</v>
      </c>
      <c r="H54">
        <f t="shared" si="5"/>
        <v>2023</v>
      </c>
      <c r="I54" t="str">
        <f t="shared" si="6"/>
        <v>2023-Q1</v>
      </c>
      <c r="J54" t="s">
        <v>21</v>
      </c>
      <c r="K54" t="s">
        <v>1845</v>
      </c>
      <c r="L54" t="s">
        <v>1846</v>
      </c>
      <c r="M54" t="s">
        <v>24</v>
      </c>
      <c r="N54" t="s">
        <v>25</v>
      </c>
      <c r="O54" t="s">
        <v>201</v>
      </c>
      <c r="P54" t="s">
        <v>113</v>
      </c>
      <c r="Q54" t="s">
        <v>66</v>
      </c>
      <c r="R54" t="s">
        <v>1847</v>
      </c>
      <c r="S54" t="s">
        <v>51</v>
      </c>
      <c r="T54" t="s">
        <v>127</v>
      </c>
      <c r="U54" t="s">
        <v>1848</v>
      </c>
      <c r="V54" s="3">
        <v>960.96</v>
      </c>
      <c r="W54" s="4">
        <v>10</v>
      </c>
      <c r="X54" s="2">
        <v>0.4</v>
      </c>
      <c r="Y54" s="3">
        <v>145.03</v>
      </c>
      <c r="Z54" t="str">
        <f t="shared" si="2"/>
        <v>Normal</v>
      </c>
      <c r="AA54" t="str">
        <f t="shared" si="3"/>
        <v>High</v>
      </c>
      <c r="AB54" t="str">
        <f t="shared" si="7"/>
        <v>Low Profit</v>
      </c>
      <c r="AC54" s="3">
        <f t="shared" si="8"/>
        <v>0.15092199467199466</v>
      </c>
      <c r="AD54" s="3">
        <f t="shared" si="9"/>
        <v>96.096000000000004</v>
      </c>
      <c r="AE54" s="3">
        <f t="shared" si="10"/>
        <v>14.503</v>
      </c>
      <c r="AF54" t="str">
        <f t="shared" si="11"/>
        <v>Regular</v>
      </c>
    </row>
    <row r="55" spans="1:32" x14ac:dyDescent="0.25">
      <c r="A55" t="s">
        <v>2874</v>
      </c>
      <c r="B55" s="1">
        <v>44951</v>
      </c>
      <c r="C55" s="1">
        <v>44952</v>
      </c>
      <c r="D55" s="4">
        <f t="shared" si="0"/>
        <v>1</v>
      </c>
      <c r="E55" s="4" t="str">
        <f>TEXT(Table1[[#This Row],[Order_Date]],"dddd")</f>
        <v>Wednesday</v>
      </c>
      <c r="F55" s="4">
        <f t="shared" si="1"/>
        <v>1</v>
      </c>
      <c r="G55" t="str">
        <f t="shared" si="4"/>
        <v>January</v>
      </c>
      <c r="H55">
        <f t="shared" si="5"/>
        <v>2023</v>
      </c>
      <c r="I55" t="str">
        <f t="shared" si="6"/>
        <v>2023-Q1</v>
      </c>
      <c r="J55" t="s">
        <v>44</v>
      </c>
      <c r="K55" t="s">
        <v>2875</v>
      </c>
      <c r="L55" t="s">
        <v>2876</v>
      </c>
      <c r="M55" t="s">
        <v>47</v>
      </c>
      <c r="N55" t="s">
        <v>25</v>
      </c>
      <c r="O55" t="s">
        <v>48</v>
      </c>
      <c r="P55" t="s">
        <v>49</v>
      </c>
      <c r="Q55" t="s">
        <v>39</v>
      </c>
      <c r="R55" t="s">
        <v>2877</v>
      </c>
      <c r="S55" t="s">
        <v>30</v>
      </c>
      <c r="T55" t="s">
        <v>82</v>
      </c>
      <c r="U55" t="s">
        <v>2878</v>
      </c>
      <c r="V55" s="3">
        <v>4107.26</v>
      </c>
      <c r="W55" s="4">
        <v>9</v>
      </c>
      <c r="X55" s="2">
        <v>0.3</v>
      </c>
      <c r="Y55" s="3">
        <v>-738.23</v>
      </c>
      <c r="Z55" t="str">
        <f t="shared" si="2"/>
        <v>Normal</v>
      </c>
      <c r="AA55" t="str">
        <f t="shared" si="3"/>
        <v>High</v>
      </c>
      <c r="AB55" t="str">
        <f t="shared" si="7"/>
        <v>Loss</v>
      </c>
      <c r="AC55" s="3">
        <f t="shared" si="8"/>
        <v>-0.17973783008623753</v>
      </c>
      <c r="AD55" s="3">
        <f t="shared" si="9"/>
        <v>456.36222222222227</v>
      </c>
      <c r="AE55" s="3">
        <f t="shared" si="10"/>
        <v>-82.025555555555556</v>
      </c>
      <c r="AF55" t="str">
        <f t="shared" si="11"/>
        <v>Regular</v>
      </c>
    </row>
    <row r="56" spans="1:32" x14ac:dyDescent="0.25">
      <c r="A56" t="s">
        <v>6713</v>
      </c>
      <c r="B56" s="1">
        <v>44952</v>
      </c>
      <c r="C56" s="1">
        <v>44961</v>
      </c>
      <c r="D56" s="4">
        <f t="shared" si="0"/>
        <v>9</v>
      </c>
      <c r="E56" s="4" t="str">
        <f>TEXT(Table1[[#This Row],[Order_Date]],"dddd")</f>
        <v>Thursday</v>
      </c>
      <c r="F56" s="4">
        <f t="shared" si="1"/>
        <v>1</v>
      </c>
      <c r="G56" t="str">
        <f t="shared" si="4"/>
        <v>January</v>
      </c>
      <c r="H56">
        <f t="shared" si="5"/>
        <v>2023</v>
      </c>
      <c r="I56" t="str">
        <f t="shared" si="6"/>
        <v>2023-Q1</v>
      </c>
      <c r="J56" t="s">
        <v>55</v>
      </c>
      <c r="K56" t="s">
        <v>6714</v>
      </c>
      <c r="L56" t="s">
        <v>6715</v>
      </c>
      <c r="M56" t="s">
        <v>47</v>
      </c>
      <c r="N56" t="s">
        <v>25</v>
      </c>
      <c r="O56" t="s">
        <v>65</v>
      </c>
      <c r="P56" t="s">
        <v>27</v>
      </c>
      <c r="Q56" t="s">
        <v>87</v>
      </c>
      <c r="R56" t="s">
        <v>6716</v>
      </c>
      <c r="S56" t="s">
        <v>59</v>
      </c>
      <c r="T56" t="s">
        <v>60</v>
      </c>
      <c r="U56" t="s">
        <v>6717</v>
      </c>
      <c r="V56" s="3">
        <v>4819.87</v>
      </c>
      <c r="W56" s="4">
        <v>9</v>
      </c>
      <c r="X56" s="2">
        <v>0.1</v>
      </c>
      <c r="Y56" s="3">
        <v>-306.14999999999998</v>
      </c>
      <c r="Z56" t="str">
        <f t="shared" si="2"/>
        <v>Normal</v>
      </c>
      <c r="AA56" t="str">
        <f t="shared" si="3"/>
        <v>Medium</v>
      </c>
      <c r="AB56" t="str">
        <f t="shared" si="7"/>
        <v>Loss</v>
      </c>
      <c r="AC56" s="3">
        <f t="shared" si="8"/>
        <v>-6.3518310659831073E-2</v>
      </c>
      <c r="AD56" s="3">
        <f t="shared" si="9"/>
        <v>535.54111111111115</v>
      </c>
      <c r="AE56" s="3">
        <f t="shared" si="10"/>
        <v>-34.016666666666666</v>
      </c>
      <c r="AF56" t="str">
        <f t="shared" si="11"/>
        <v>Regular</v>
      </c>
    </row>
    <row r="57" spans="1:32" x14ac:dyDescent="0.25">
      <c r="A57" t="s">
        <v>4111</v>
      </c>
      <c r="B57" s="1">
        <v>44953</v>
      </c>
      <c r="C57" s="1">
        <v>44960</v>
      </c>
      <c r="D57" s="4">
        <f t="shared" si="0"/>
        <v>7</v>
      </c>
      <c r="E57" s="4" t="str">
        <f>TEXT(Table1[[#This Row],[Order_Date]],"dddd")</f>
        <v>Friday</v>
      </c>
      <c r="F57" s="4">
        <f t="shared" si="1"/>
        <v>1</v>
      </c>
      <c r="G57" t="str">
        <f t="shared" si="4"/>
        <v>January</v>
      </c>
      <c r="H57">
        <f t="shared" si="5"/>
        <v>2023</v>
      </c>
      <c r="I57" t="str">
        <f t="shared" si="6"/>
        <v>2023-Q1</v>
      </c>
      <c r="J57" t="s">
        <v>55</v>
      </c>
      <c r="K57" t="s">
        <v>4112</v>
      </c>
      <c r="L57" t="s">
        <v>4113</v>
      </c>
      <c r="M57" t="s">
        <v>24</v>
      </c>
      <c r="N57" t="s">
        <v>25</v>
      </c>
      <c r="O57" t="s">
        <v>37</v>
      </c>
      <c r="P57" t="s">
        <v>38</v>
      </c>
      <c r="Q57" t="s">
        <v>39</v>
      </c>
      <c r="R57" t="s">
        <v>4114</v>
      </c>
      <c r="S57" t="s">
        <v>59</v>
      </c>
      <c r="T57" t="s">
        <v>277</v>
      </c>
      <c r="U57" t="s">
        <v>4115</v>
      </c>
      <c r="V57" s="3">
        <v>3149.23</v>
      </c>
      <c r="W57" s="4">
        <v>7</v>
      </c>
      <c r="X57" s="2">
        <v>0.2</v>
      </c>
      <c r="Y57" s="3">
        <v>900.16</v>
      </c>
      <c r="Z57" t="str">
        <f t="shared" si="2"/>
        <v>Normal</v>
      </c>
      <c r="AA57" t="str">
        <f t="shared" si="3"/>
        <v>High</v>
      </c>
      <c r="AB57" t="str">
        <f t="shared" si="7"/>
        <v>High Profit</v>
      </c>
      <c r="AC57" s="3">
        <f t="shared" si="8"/>
        <v>0.28583495013066684</v>
      </c>
      <c r="AD57" s="3">
        <f t="shared" si="9"/>
        <v>449.89</v>
      </c>
      <c r="AE57" s="3">
        <f t="shared" si="10"/>
        <v>128.59428571428572</v>
      </c>
      <c r="AF57" t="str">
        <f t="shared" si="11"/>
        <v>Regular</v>
      </c>
    </row>
    <row r="58" spans="1:32" x14ac:dyDescent="0.25">
      <c r="A58" t="s">
        <v>1916</v>
      </c>
      <c r="B58" s="1">
        <v>44953</v>
      </c>
      <c r="C58" s="1">
        <v>44963</v>
      </c>
      <c r="D58" s="4">
        <f t="shared" si="0"/>
        <v>10</v>
      </c>
      <c r="E58" s="4" t="str">
        <f>TEXT(Table1[[#This Row],[Order_Date]],"dddd")</f>
        <v>Friday</v>
      </c>
      <c r="F58" s="4">
        <f t="shared" si="1"/>
        <v>1</v>
      </c>
      <c r="G58" t="str">
        <f t="shared" si="4"/>
        <v>January</v>
      </c>
      <c r="H58">
        <f t="shared" si="5"/>
        <v>2023</v>
      </c>
      <c r="I58" t="str">
        <f t="shared" si="6"/>
        <v>2023-Q1</v>
      </c>
      <c r="J58" t="s">
        <v>21</v>
      </c>
      <c r="K58" t="s">
        <v>1917</v>
      </c>
      <c r="L58" t="s">
        <v>1918</v>
      </c>
      <c r="M58" t="s">
        <v>36</v>
      </c>
      <c r="N58" t="s">
        <v>25</v>
      </c>
      <c r="O58" t="s">
        <v>99</v>
      </c>
      <c r="P58" t="s">
        <v>74</v>
      </c>
      <c r="Q58" t="s">
        <v>39</v>
      </c>
      <c r="R58" t="s">
        <v>1919</v>
      </c>
      <c r="S58" t="s">
        <v>51</v>
      </c>
      <c r="T58" t="s">
        <v>52</v>
      </c>
      <c r="U58" t="s">
        <v>1920</v>
      </c>
      <c r="V58" s="3">
        <v>2881.03</v>
      </c>
      <c r="W58" s="4">
        <v>9</v>
      </c>
      <c r="X58" s="2">
        <v>0.4</v>
      </c>
      <c r="Y58" s="3">
        <v>144.12</v>
      </c>
      <c r="Z58" t="str">
        <f t="shared" si="2"/>
        <v>Normal</v>
      </c>
      <c r="AA58" t="str">
        <f t="shared" si="3"/>
        <v>High</v>
      </c>
      <c r="AB58" t="str">
        <f t="shared" si="7"/>
        <v>Low Profit</v>
      </c>
      <c r="AC58" s="3">
        <f t="shared" si="8"/>
        <v>5.0023776218921706E-2</v>
      </c>
      <c r="AD58" s="3">
        <f t="shared" si="9"/>
        <v>320.11444444444447</v>
      </c>
      <c r="AE58" s="3">
        <f t="shared" si="10"/>
        <v>16.013333333333335</v>
      </c>
      <c r="AF58" t="str">
        <f t="shared" si="11"/>
        <v>Regular</v>
      </c>
    </row>
    <row r="59" spans="1:32" x14ac:dyDescent="0.25">
      <c r="A59" t="s">
        <v>793</v>
      </c>
      <c r="B59" s="1">
        <v>44953</v>
      </c>
      <c r="C59" s="1">
        <f>B59+5</f>
        <v>44958</v>
      </c>
      <c r="D59" s="4">
        <f t="shared" si="0"/>
        <v>5</v>
      </c>
      <c r="E59" s="4" t="str">
        <f>TEXT(Table1[[#This Row],[Order_Date]],"dddd")</f>
        <v>Friday</v>
      </c>
      <c r="F59" s="4">
        <f t="shared" si="1"/>
        <v>1</v>
      </c>
      <c r="G59" t="str">
        <f t="shared" si="4"/>
        <v>January</v>
      </c>
      <c r="H59">
        <f t="shared" si="5"/>
        <v>2023</v>
      </c>
      <c r="I59" t="str">
        <f t="shared" si="6"/>
        <v>2023-Q1</v>
      </c>
      <c r="J59" t="s">
        <v>104</v>
      </c>
      <c r="K59" t="s">
        <v>794</v>
      </c>
      <c r="L59" t="s">
        <v>795</v>
      </c>
      <c r="M59" t="s">
        <v>24</v>
      </c>
      <c r="N59" t="s">
        <v>25</v>
      </c>
      <c r="O59" t="s">
        <v>451</v>
      </c>
      <c r="P59" t="s">
        <v>38</v>
      </c>
      <c r="Q59" t="s">
        <v>39</v>
      </c>
      <c r="R59" t="s">
        <v>796</v>
      </c>
      <c r="S59" t="s">
        <v>51</v>
      </c>
      <c r="T59" t="s">
        <v>94</v>
      </c>
      <c r="U59" t="s">
        <v>797</v>
      </c>
      <c r="V59" s="3">
        <v>4427.22</v>
      </c>
      <c r="W59" s="4">
        <v>8</v>
      </c>
      <c r="X59" s="2">
        <v>0.1</v>
      </c>
      <c r="Y59" s="3">
        <v>-575.66</v>
      </c>
      <c r="Z59" t="str">
        <f t="shared" si="2"/>
        <v>Normal</v>
      </c>
      <c r="AA59" t="str">
        <f t="shared" si="3"/>
        <v>Medium</v>
      </c>
      <c r="AB59" t="str">
        <f t="shared" si="7"/>
        <v>Loss</v>
      </c>
      <c r="AC59" s="3">
        <f t="shared" si="8"/>
        <v>-0.13002742127113628</v>
      </c>
      <c r="AD59" s="3">
        <f t="shared" si="9"/>
        <v>553.40250000000003</v>
      </c>
      <c r="AE59" s="3">
        <f t="shared" si="10"/>
        <v>-71.957499999999996</v>
      </c>
      <c r="AF59" t="str">
        <f t="shared" si="11"/>
        <v>Regular</v>
      </c>
    </row>
    <row r="60" spans="1:32" x14ac:dyDescent="0.25">
      <c r="A60" t="s">
        <v>6787</v>
      </c>
      <c r="B60" s="1">
        <v>44954</v>
      </c>
      <c r="C60" s="1">
        <v>44961</v>
      </c>
      <c r="D60" s="4">
        <f t="shared" si="0"/>
        <v>7</v>
      </c>
      <c r="E60" s="4" t="str">
        <f>TEXT(Table1[[#This Row],[Order_Date]],"dddd")</f>
        <v>Saturday</v>
      </c>
      <c r="F60" s="4">
        <f t="shared" si="1"/>
        <v>1</v>
      </c>
      <c r="G60" t="str">
        <f t="shared" si="4"/>
        <v>January</v>
      </c>
      <c r="H60">
        <f t="shared" si="5"/>
        <v>2023</v>
      </c>
      <c r="I60" t="str">
        <f t="shared" si="6"/>
        <v>2023-Q1</v>
      </c>
      <c r="J60" t="s">
        <v>44</v>
      </c>
      <c r="K60" t="s">
        <v>6788</v>
      </c>
      <c r="L60" t="s">
        <v>6789</v>
      </c>
      <c r="M60" t="s">
        <v>24</v>
      </c>
      <c r="N60" t="s">
        <v>25</v>
      </c>
      <c r="O60" t="s">
        <v>48</v>
      </c>
      <c r="P60" t="s">
        <v>49</v>
      </c>
      <c r="Q60" t="s">
        <v>39</v>
      </c>
      <c r="R60" t="s">
        <v>6790</v>
      </c>
      <c r="S60" t="s">
        <v>51</v>
      </c>
      <c r="T60" t="s">
        <v>151</v>
      </c>
      <c r="U60" t="s">
        <v>6791</v>
      </c>
      <c r="V60" s="3">
        <v>2072.62</v>
      </c>
      <c r="W60" s="4">
        <v>5</v>
      </c>
      <c r="X60" s="2">
        <v>0.3</v>
      </c>
      <c r="Y60" s="3">
        <v>387.11</v>
      </c>
      <c r="Z60" t="str">
        <f t="shared" si="2"/>
        <v>Normal</v>
      </c>
      <c r="AA60" t="str">
        <f t="shared" si="3"/>
        <v>High</v>
      </c>
      <c r="AB60" t="str">
        <f t="shared" si="7"/>
        <v>Low Profit</v>
      </c>
      <c r="AC60" s="3">
        <f t="shared" si="8"/>
        <v>0.18677326282676035</v>
      </c>
      <c r="AD60" s="3">
        <f t="shared" si="9"/>
        <v>414.524</v>
      </c>
      <c r="AE60" s="3">
        <f t="shared" si="10"/>
        <v>77.421999999999997</v>
      </c>
      <c r="AF60" t="str">
        <f t="shared" si="11"/>
        <v>Regular</v>
      </c>
    </row>
    <row r="61" spans="1:32" x14ac:dyDescent="0.25">
      <c r="A61" t="s">
        <v>2894</v>
      </c>
      <c r="B61" s="1">
        <v>44955</v>
      </c>
      <c r="C61" s="1">
        <v>44959</v>
      </c>
      <c r="D61" s="4">
        <f t="shared" si="0"/>
        <v>4</v>
      </c>
      <c r="E61" s="4" t="str">
        <f>TEXT(Table1[[#This Row],[Order_Date]],"dddd")</f>
        <v>Sunday</v>
      </c>
      <c r="F61" s="4">
        <f t="shared" si="1"/>
        <v>1</v>
      </c>
      <c r="G61" t="str">
        <f t="shared" si="4"/>
        <v>January</v>
      </c>
      <c r="H61">
        <f t="shared" si="5"/>
        <v>2023</v>
      </c>
      <c r="I61" t="str">
        <f t="shared" si="6"/>
        <v>2023-Q1</v>
      </c>
      <c r="J61" t="s">
        <v>55</v>
      </c>
      <c r="K61" t="s">
        <v>2895</v>
      </c>
      <c r="L61" t="s">
        <v>2896</v>
      </c>
      <c r="M61" t="s">
        <v>24</v>
      </c>
      <c r="N61" t="s">
        <v>25</v>
      </c>
      <c r="O61" t="s">
        <v>233</v>
      </c>
      <c r="P61" t="s">
        <v>163</v>
      </c>
      <c r="Q61" t="s">
        <v>66</v>
      </c>
      <c r="R61" t="s">
        <v>2897</v>
      </c>
      <c r="S61" t="s">
        <v>59</v>
      </c>
      <c r="T61" t="s">
        <v>277</v>
      </c>
      <c r="U61" t="s">
        <v>2898</v>
      </c>
      <c r="V61" s="3">
        <v>3893.7</v>
      </c>
      <c r="W61" s="4">
        <v>4</v>
      </c>
      <c r="X61" s="2">
        <v>0.1</v>
      </c>
      <c r="Y61" s="3">
        <v>807.81</v>
      </c>
      <c r="Z61" t="str">
        <f t="shared" si="2"/>
        <v>Normal</v>
      </c>
      <c r="AA61" t="str">
        <f t="shared" si="3"/>
        <v>Medium</v>
      </c>
      <c r="AB61" t="str">
        <f t="shared" si="7"/>
        <v>High Profit</v>
      </c>
      <c r="AC61" s="3">
        <f t="shared" si="8"/>
        <v>0.20746590646428847</v>
      </c>
      <c r="AD61" s="3">
        <f t="shared" si="9"/>
        <v>973.42499999999995</v>
      </c>
      <c r="AE61" s="3">
        <f t="shared" si="10"/>
        <v>201.95249999999999</v>
      </c>
      <c r="AF61" t="str">
        <f t="shared" si="11"/>
        <v>Regular</v>
      </c>
    </row>
    <row r="62" spans="1:32" x14ac:dyDescent="0.25">
      <c r="A62" t="s">
        <v>4569</v>
      </c>
      <c r="B62" s="1">
        <v>44955</v>
      </c>
      <c r="C62" s="1">
        <v>44957</v>
      </c>
      <c r="D62" s="4">
        <f t="shared" si="0"/>
        <v>2</v>
      </c>
      <c r="E62" s="4" t="str">
        <f>TEXT(Table1[[#This Row],[Order_Date]],"dddd")</f>
        <v>Sunday</v>
      </c>
      <c r="F62" s="4">
        <f t="shared" si="1"/>
        <v>1</v>
      </c>
      <c r="G62" t="str">
        <f t="shared" si="4"/>
        <v>January</v>
      </c>
      <c r="H62">
        <f t="shared" si="5"/>
        <v>2023</v>
      </c>
      <c r="I62" t="str">
        <f t="shared" si="6"/>
        <v>2023-Q1</v>
      </c>
      <c r="J62" t="s">
        <v>104</v>
      </c>
      <c r="K62" t="s">
        <v>4570</v>
      </c>
      <c r="L62" t="s">
        <v>4571</v>
      </c>
      <c r="M62" t="s">
        <v>47</v>
      </c>
      <c r="N62" t="s">
        <v>25</v>
      </c>
      <c r="O62" t="s">
        <v>382</v>
      </c>
      <c r="P62" t="s">
        <v>38</v>
      </c>
      <c r="Q62" t="s">
        <v>66</v>
      </c>
      <c r="R62" t="s">
        <v>4572</v>
      </c>
      <c r="S62" t="s">
        <v>30</v>
      </c>
      <c r="T62" t="s">
        <v>31</v>
      </c>
      <c r="U62" t="s">
        <v>4573</v>
      </c>
      <c r="V62" s="3">
        <v>1530.35</v>
      </c>
      <c r="W62" s="4">
        <v>3</v>
      </c>
      <c r="X62" s="2">
        <v>0.4</v>
      </c>
      <c r="Y62" s="3">
        <v>224.66</v>
      </c>
      <c r="Z62" t="str">
        <f t="shared" si="2"/>
        <v>Normal</v>
      </c>
      <c r="AA62" t="str">
        <f t="shared" si="3"/>
        <v>High</v>
      </c>
      <c r="AB62" t="str">
        <f t="shared" si="7"/>
        <v>Low Profit</v>
      </c>
      <c r="AC62" s="3">
        <f t="shared" si="8"/>
        <v>0.14680301891724115</v>
      </c>
      <c r="AD62" s="3">
        <f t="shared" si="9"/>
        <v>510.11666666666662</v>
      </c>
      <c r="AE62" s="3">
        <f t="shared" si="10"/>
        <v>74.88666666666667</v>
      </c>
      <c r="AF62" t="str">
        <f t="shared" si="11"/>
        <v>Regular</v>
      </c>
    </row>
    <row r="63" spans="1:32" x14ac:dyDescent="0.25">
      <c r="A63" t="s">
        <v>2879</v>
      </c>
      <c r="B63" s="1">
        <v>44957</v>
      </c>
      <c r="C63" s="1">
        <v>44961</v>
      </c>
      <c r="D63" s="4">
        <f t="shared" si="0"/>
        <v>4</v>
      </c>
      <c r="E63" s="4" t="str">
        <f>TEXT(Table1[[#This Row],[Order_Date]],"dddd")</f>
        <v>Tuesday</v>
      </c>
      <c r="F63" s="4">
        <f t="shared" si="1"/>
        <v>1</v>
      </c>
      <c r="G63" t="str">
        <f t="shared" si="4"/>
        <v>January</v>
      </c>
      <c r="H63">
        <f t="shared" si="5"/>
        <v>2023</v>
      </c>
      <c r="I63" t="str">
        <f t="shared" si="6"/>
        <v>2023-Q1</v>
      </c>
      <c r="J63" t="s">
        <v>55</v>
      </c>
      <c r="K63" t="s">
        <v>2880</v>
      </c>
      <c r="L63" t="s">
        <v>2881</v>
      </c>
      <c r="M63" t="s">
        <v>24</v>
      </c>
      <c r="N63" t="s">
        <v>25</v>
      </c>
      <c r="O63" t="s">
        <v>73</v>
      </c>
      <c r="P63" t="s">
        <v>74</v>
      </c>
      <c r="Q63" t="s">
        <v>28</v>
      </c>
      <c r="R63" t="s">
        <v>2882</v>
      </c>
      <c r="S63" t="s">
        <v>51</v>
      </c>
      <c r="T63" t="s">
        <v>52</v>
      </c>
      <c r="U63" t="s">
        <v>2883</v>
      </c>
      <c r="V63" s="3">
        <v>2023.03</v>
      </c>
      <c r="W63" s="4">
        <v>10</v>
      </c>
      <c r="X63" s="2">
        <v>0.3</v>
      </c>
      <c r="Y63" s="3">
        <v>-53.69</v>
      </c>
      <c r="Z63" t="str">
        <f t="shared" si="2"/>
        <v>Normal</v>
      </c>
      <c r="AA63" t="str">
        <f t="shared" si="3"/>
        <v>High</v>
      </c>
      <c r="AB63" t="str">
        <f t="shared" si="7"/>
        <v>Loss</v>
      </c>
      <c r="AC63" s="3">
        <f t="shared" si="8"/>
        <v>-2.6539398822558243E-2</v>
      </c>
      <c r="AD63" s="3">
        <f t="shared" si="9"/>
        <v>202.303</v>
      </c>
      <c r="AE63" s="3">
        <f t="shared" si="10"/>
        <v>-5.3689999999999998</v>
      </c>
      <c r="AF63" t="str">
        <f t="shared" si="11"/>
        <v>Regular</v>
      </c>
    </row>
    <row r="64" spans="1:32" x14ac:dyDescent="0.25">
      <c r="A64" t="s">
        <v>4188</v>
      </c>
      <c r="B64" s="1">
        <v>44957</v>
      </c>
      <c r="C64" s="1">
        <v>44958</v>
      </c>
      <c r="D64" s="4">
        <f t="shared" si="0"/>
        <v>1</v>
      </c>
      <c r="E64" s="4" t="str">
        <f>TEXT(Table1[[#This Row],[Order_Date]],"dddd")</f>
        <v>Tuesday</v>
      </c>
      <c r="F64" s="4">
        <f t="shared" si="1"/>
        <v>1</v>
      </c>
      <c r="G64" t="str">
        <f t="shared" si="4"/>
        <v>January</v>
      </c>
      <c r="H64">
        <f t="shared" si="5"/>
        <v>2023</v>
      </c>
      <c r="I64" t="str">
        <f t="shared" si="6"/>
        <v>2023-Q1</v>
      </c>
      <c r="J64" t="s">
        <v>55</v>
      </c>
      <c r="K64" t="s">
        <v>4189</v>
      </c>
      <c r="L64" t="s">
        <v>4190</v>
      </c>
      <c r="M64" t="s">
        <v>36</v>
      </c>
      <c r="N64" t="s">
        <v>25</v>
      </c>
      <c r="O64" t="s">
        <v>179</v>
      </c>
      <c r="P64" t="s">
        <v>27</v>
      </c>
      <c r="Q64" t="s">
        <v>87</v>
      </c>
      <c r="R64" t="s">
        <v>4191</v>
      </c>
      <c r="S64" t="s">
        <v>51</v>
      </c>
      <c r="T64" t="s">
        <v>127</v>
      </c>
      <c r="U64" t="s">
        <v>4192</v>
      </c>
      <c r="V64" s="3">
        <v>4849.74</v>
      </c>
      <c r="W64" s="4">
        <v>5</v>
      </c>
      <c r="X64" s="2">
        <v>0</v>
      </c>
      <c r="Y64" s="3">
        <v>618.85</v>
      </c>
      <c r="Z64" t="str">
        <f t="shared" si="2"/>
        <v>Normal</v>
      </c>
      <c r="AA64" t="str">
        <f t="shared" si="3"/>
        <v>Low</v>
      </c>
      <c r="AB64" t="str">
        <f t="shared" si="7"/>
        <v>High Profit</v>
      </c>
      <c r="AC64" s="3">
        <f t="shared" si="8"/>
        <v>0.12760477881288482</v>
      </c>
      <c r="AD64" s="3">
        <f t="shared" si="9"/>
        <v>969.94799999999998</v>
      </c>
      <c r="AE64" s="3">
        <f t="shared" si="10"/>
        <v>123.77000000000001</v>
      </c>
      <c r="AF64" t="str">
        <f t="shared" si="11"/>
        <v>Regular</v>
      </c>
    </row>
    <row r="65" spans="1:32" x14ac:dyDescent="0.25">
      <c r="A65" t="s">
        <v>4691</v>
      </c>
      <c r="B65" s="1">
        <v>44958</v>
      </c>
      <c r="C65" s="1">
        <v>44967</v>
      </c>
      <c r="D65" s="4">
        <f t="shared" si="0"/>
        <v>9</v>
      </c>
      <c r="E65" s="4" t="str">
        <f>TEXT(Table1[[#This Row],[Order_Date]],"dddd")</f>
        <v>Wednesday</v>
      </c>
      <c r="F65" s="4">
        <f t="shared" si="1"/>
        <v>2</v>
      </c>
      <c r="G65" t="str">
        <f t="shared" si="4"/>
        <v>February</v>
      </c>
      <c r="H65">
        <f t="shared" si="5"/>
        <v>2023</v>
      </c>
      <c r="I65" t="str">
        <f t="shared" si="6"/>
        <v>2023-Q1</v>
      </c>
      <c r="J65" t="s">
        <v>21</v>
      </c>
      <c r="K65" t="s">
        <v>4692</v>
      </c>
      <c r="L65" t="s">
        <v>4693</v>
      </c>
      <c r="M65" t="s">
        <v>36</v>
      </c>
      <c r="N65" t="s">
        <v>25</v>
      </c>
      <c r="O65" t="s">
        <v>37</v>
      </c>
      <c r="P65" t="s">
        <v>38</v>
      </c>
      <c r="Q65" t="s">
        <v>66</v>
      </c>
      <c r="R65" t="s">
        <v>4694</v>
      </c>
      <c r="S65" t="s">
        <v>59</v>
      </c>
      <c r="T65" t="s">
        <v>277</v>
      </c>
      <c r="U65" t="s">
        <v>4695</v>
      </c>
      <c r="V65" s="3">
        <v>4972.3599999999997</v>
      </c>
      <c r="W65" s="4">
        <v>4</v>
      </c>
      <c r="X65" s="2">
        <v>0.4</v>
      </c>
      <c r="Y65" s="3">
        <v>1300.57</v>
      </c>
      <c r="Z65" t="str">
        <f t="shared" si="2"/>
        <v>Outlier</v>
      </c>
      <c r="AA65" t="str">
        <f t="shared" si="3"/>
        <v>High</v>
      </c>
      <c r="AB65" t="str">
        <f t="shared" si="7"/>
        <v>High Profit</v>
      </c>
      <c r="AC65" s="3">
        <f t="shared" si="8"/>
        <v>0.26155990314458327</v>
      </c>
      <c r="AD65" s="3">
        <f t="shared" si="9"/>
        <v>1243.0899999999999</v>
      </c>
      <c r="AE65" s="3">
        <f t="shared" si="10"/>
        <v>325.14249999999998</v>
      </c>
      <c r="AF65" t="str">
        <f t="shared" si="11"/>
        <v>Regular</v>
      </c>
    </row>
    <row r="66" spans="1:32" x14ac:dyDescent="0.25">
      <c r="A66" t="s">
        <v>1825</v>
      </c>
      <c r="B66" s="1">
        <v>44958</v>
      </c>
      <c r="C66" s="1">
        <v>44963</v>
      </c>
      <c r="D66" s="4">
        <f t="shared" ref="D66:D129" si="12">C66-B66</f>
        <v>5</v>
      </c>
      <c r="E66" s="4" t="str">
        <f>TEXT(Table1[[#This Row],[Order_Date]],"dddd")</f>
        <v>Wednesday</v>
      </c>
      <c r="F66" s="4">
        <f t="shared" ref="F66:F129" si="13">MONTH(B66)</f>
        <v>2</v>
      </c>
      <c r="G66" t="str">
        <f t="shared" si="4"/>
        <v>February</v>
      </c>
      <c r="H66">
        <f t="shared" si="5"/>
        <v>2023</v>
      </c>
      <c r="I66" t="str">
        <f t="shared" si="6"/>
        <v>2023-Q1</v>
      </c>
      <c r="J66" t="s">
        <v>55</v>
      </c>
      <c r="K66" t="s">
        <v>1826</v>
      </c>
      <c r="L66" t="s">
        <v>1827</v>
      </c>
      <c r="M66" t="s">
        <v>47</v>
      </c>
      <c r="N66" t="s">
        <v>25</v>
      </c>
      <c r="O66" t="s">
        <v>99</v>
      </c>
      <c r="P66" t="s">
        <v>74</v>
      </c>
      <c r="Q66" t="s">
        <v>87</v>
      </c>
      <c r="R66" t="s">
        <v>1828</v>
      </c>
      <c r="S66" t="s">
        <v>59</v>
      </c>
      <c r="T66" t="s">
        <v>277</v>
      </c>
      <c r="U66" t="s">
        <v>1829</v>
      </c>
      <c r="V66" s="3">
        <v>1447.01</v>
      </c>
      <c r="W66" s="4">
        <v>1</v>
      </c>
      <c r="X66" s="2">
        <v>0</v>
      </c>
      <c r="Y66" s="3">
        <v>-155.5</v>
      </c>
      <c r="Z66" t="str">
        <f t="shared" ref="Z66:Z129" si="14">IF(OR(Y66&lt;-800.884,Y66&gt;1030.126),"Outlier","Normal")</f>
        <v>Normal</v>
      </c>
      <c r="AA66" t="str">
        <f t="shared" ref="AA66:AA129" si="15">IF(X66&lt;10%,"Low",IF(X66&lt;0.2,"Medium","High"))</f>
        <v>Low</v>
      </c>
      <c r="AB66" t="str">
        <f t="shared" si="7"/>
        <v>Loss</v>
      </c>
      <c r="AC66" s="3">
        <f t="shared" si="8"/>
        <v>-0.1074629753768115</v>
      </c>
      <c r="AD66" s="3">
        <f t="shared" si="9"/>
        <v>1447.01</v>
      </c>
      <c r="AE66" s="3">
        <f t="shared" si="10"/>
        <v>-155.5</v>
      </c>
      <c r="AF66" t="str">
        <f t="shared" si="11"/>
        <v>Regular</v>
      </c>
    </row>
    <row r="67" spans="1:32" x14ac:dyDescent="0.25">
      <c r="A67" t="s">
        <v>1267</v>
      </c>
      <c r="B67" s="1">
        <v>44958</v>
      </c>
      <c r="C67" s="1">
        <v>44967</v>
      </c>
      <c r="D67" s="4">
        <f t="shared" si="12"/>
        <v>9</v>
      </c>
      <c r="E67" s="4" t="str">
        <f>TEXT(Table1[[#This Row],[Order_Date]],"dddd")</f>
        <v>Wednesday</v>
      </c>
      <c r="F67" s="4">
        <f t="shared" si="13"/>
        <v>2</v>
      </c>
      <c r="G67" t="str">
        <f t="shared" ref="G67:G130" si="16">TEXT(B67,"mmmm")</f>
        <v>February</v>
      </c>
      <c r="H67">
        <f t="shared" ref="H67:H130" si="17">YEAR(B67)</f>
        <v>2023</v>
      </c>
      <c r="I67" t="str">
        <f t="shared" ref="I67:I130" si="18">H67 &amp; "-Q" &amp; INT((MONTH(B67)+2)/3)</f>
        <v>2023-Q1</v>
      </c>
      <c r="J67" t="s">
        <v>21</v>
      </c>
      <c r="K67" t="s">
        <v>1268</v>
      </c>
      <c r="L67" t="s">
        <v>1269</v>
      </c>
      <c r="M67" t="s">
        <v>47</v>
      </c>
      <c r="N67" t="s">
        <v>25</v>
      </c>
      <c r="O67" t="s">
        <v>113</v>
      </c>
      <c r="P67" t="s">
        <v>113</v>
      </c>
      <c r="Q67" t="s">
        <v>39</v>
      </c>
      <c r="R67" t="s">
        <v>1270</v>
      </c>
      <c r="S67" t="s">
        <v>51</v>
      </c>
      <c r="T67" t="s">
        <v>127</v>
      </c>
      <c r="U67" t="s">
        <v>1271</v>
      </c>
      <c r="V67" s="3">
        <v>2593.23</v>
      </c>
      <c r="W67" s="4">
        <v>3</v>
      </c>
      <c r="X67" s="2">
        <v>0</v>
      </c>
      <c r="Y67" s="3">
        <v>-210.85</v>
      </c>
      <c r="Z67" t="str">
        <f t="shared" si="14"/>
        <v>Normal</v>
      </c>
      <c r="AA67" t="str">
        <f t="shared" si="15"/>
        <v>Low</v>
      </c>
      <c r="AB67" t="str">
        <f t="shared" ref="AB67:AB130" si="19">IF(Y67&lt;0, "Loss", IF(Y67&lt;500,"Low Profit", "High Profit"))</f>
        <v>Loss</v>
      </c>
      <c r="AC67" s="3">
        <f t="shared" ref="AC67:AC130" si="20">Y67/V67</f>
        <v>-8.1307867022979055E-2</v>
      </c>
      <c r="AD67" s="3">
        <f t="shared" ref="AD67:AD130" si="21">V67/W67</f>
        <v>864.41</v>
      </c>
      <c r="AE67" s="3">
        <f t="shared" ref="AE67:AE130" si="22">Y67/W67</f>
        <v>-70.283333333333331</v>
      </c>
      <c r="AF67" t="str">
        <f t="shared" ref="AF67:AF130" si="23">IF(V67&gt;5000,"High value", "Regular")</f>
        <v>Regular</v>
      </c>
    </row>
    <row r="68" spans="1:32" x14ac:dyDescent="0.25">
      <c r="A68" t="s">
        <v>166</v>
      </c>
      <c r="B68" s="1">
        <v>44959</v>
      </c>
      <c r="C68" s="1">
        <v>44964</v>
      </c>
      <c r="D68" s="4">
        <f t="shared" si="12"/>
        <v>5</v>
      </c>
      <c r="E68" s="4" t="str">
        <f>TEXT(Table1[[#This Row],[Order_Date]],"dddd")</f>
        <v>Thursday</v>
      </c>
      <c r="F68" s="4">
        <f t="shared" si="13"/>
        <v>2</v>
      </c>
      <c r="G68" t="str">
        <f t="shared" si="16"/>
        <v>February</v>
      </c>
      <c r="H68">
        <f t="shared" si="17"/>
        <v>2023</v>
      </c>
      <c r="I68" t="str">
        <f t="shared" si="18"/>
        <v>2023-Q1</v>
      </c>
      <c r="J68" t="s">
        <v>44</v>
      </c>
      <c r="K68" t="s">
        <v>167</v>
      </c>
      <c r="L68" t="s">
        <v>168</v>
      </c>
      <c r="M68" t="s">
        <v>36</v>
      </c>
      <c r="N68" t="s">
        <v>25</v>
      </c>
      <c r="O68" t="s">
        <v>65</v>
      </c>
      <c r="P68" t="s">
        <v>27</v>
      </c>
      <c r="Q68" t="s">
        <v>39</v>
      </c>
      <c r="R68" t="s">
        <v>169</v>
      </c>
      <c r="S68" t="s">
        <v>51</v>
      </c>
      <c r="T68" t="s">
        <v>127</v>
      </c>
      <c r="U68" t="s">
        <v>170</v>
      </c>
      <c r="V68" s="3">
        <v>1980.07</v>
      </c>
      <c r="W68" s="4">
        <v>1</v>
      </c>
      <c r="X68" s="2">
        <v>0.4</v>
      </c>
      <c r="Y68" s="3">
        <v>169.51</v>
      </c>
      <c r="Z68" t="str">
        <f t="shared" si="14"/>
        <v>Normal</v>
      </c>
      <c r="AA68" t="str">
        <f t="shared" si="15"/>
        <v>High</v>
      </c>
      <c r="AB68" t="str">
        <f t="shared" si="19"/>
        <v>Low Profit</v>
      </c>
      <c r="AC68" s="3">
        <f t="shared" si="20"/>
        <v>8.560808456266697E-2</v>
      </c>
      <c r="AD68" s="3">
        <f t="shared" si="21"/>
        <v>1980.07</v>
      </c>
      <c r="AE68" s="3">
        <f t="shared" si="22"/>
        <v>169.51</v>
      </c>
      <c r="AF68" t="str">
        <f t="shared" si="23"/>
        <v>Regular</v>
      </c>
    </row>
    <row r="69" spans="1:32" x14ac:dyDescent="0.25">
      <c r="A69" t="s">
        <v>1021</v>
      </c>
      <c r="B69" s="1">
        <v>44959</v>
      </c>
      <c r="C69" s="1">
        <v>44963</v>
      </c>
      <c r="D69" s="4">
        <f t="shared" si="12"/>
        <v>4</v>
      </c>
      <c r="E69" s="4" t="str">
        <f>TEXT(Table1[[#This Row],[Order_Date]],"dddd")</f>
        <v>Thursday</v>
      </c>
      <c r="F69" s="4">
        <f t="shared" si="13"/>
        <v>2</v>
      </c>
      <c r="G69" t="str">
        <f t="shared" si="16"/>
        <v>February</v>
      </c>
      <c r="H69">
        <f t="shared" si="17"/>
        <v>2023</v>
      </c>
      <c r="I69" t="str">
        <f t="shared" si="18"/>
        <v>2023-Q1</v>
      </c>
      <c r="J69" t="s">
        <v>21</v>
      </c>
      <c r="K69" t="s">
        <v>1022</v>
      </c>
      <c r="L69" t="s">
        <v>1023</v>
      </c>
      <c r="M69" t="s">
        <v>47</v>
      </c>
      <c r="N69" t="s">
        <v>25</v>
      </c>
      <c r="O69" t="s">
        <v>26</v>
      </c>
      <c r="P69" t="s">
        <v>27</v>
      </c>
      <c r="Q69" t="s">
        <v>87</v>
      </c>
      <c r="R69" t="s">
        <v>1024</v>
      </c>
      <c r="S69" t="s">
        <v>51</v>
      </c>
      <c r="T69" t="s">
        <v>127</v>
      </c>
      <c r="U69" t="s">
        <v>1025</v>
      </c>
      <c r="V69" s="3">
        <v>115.16</v>
      </c>
      <c r="W69" s="4">
        <v>10</v>
      </c>
      <c r="X69" s="2">
        <v>0</v>
      </c>
      <c r="Y69" s="3">
        <v>25.42</v>
      </c>
      <c r="Z69" t="str">
        <f t="shared" si="14"/>
        <v>Normal</v>
      </c>
      <c r="AA69" t="str">
        <f t="shared" si="15"/>
        <v>Low</v>
      </c>
      <c r="AB69" t="str">
        <f t="shared" si="19"/>
        <v>Low Profit</v>
      </c>
      <c r="AC69" s="3">
        <f t="shared" si="20"/>
        <v>0.22073636679402572</v>
      </c>
      <c r="AD69" s="3">
        <f t="shared" si="21"/>
        <v>11.516</v>
      </c>
      <c r="AE69" s="3">
        <f t="shared" si="22"/>
        <v>2.5420000000000003</v>
      </c>
      <c r="AF69" t="str">
        <f t="shared" si="23"/>
        <v>Regular</v>
      </c>
    </row>
    <row r="70" spans="1:32" x14ac:dyDescent="0.25">
      <c r="A70" t="s">
        <v>2603</v>
      </c>
      <c r="B70" s="1">
        <v>44959</v>
      </c>
      <c r="C70" s="1">
        <v>44963</v>
      </c>
      <c r="D70" s="4">
        <f t="shared" si="12"/>
        <v>4</v>
      </c>
      <c r="E70" s="4" t="str">
        <f>TEXT(Table1[[#This Row],[Order_Date]],"dddd")</f>
        <v>Thursday</v>
      </c>
      <c r="F70" s="4">
        <f t="shared" si="13"/>
        <v>2</v>
      </c>
      <c r="G70" t="str">
        <f t="shared" si="16"/>
        <v>February</v>
      </c>
      <c r="H70">
        <f t="shared" si="17"/>
        <v>2023</v>
      </c>
      <c r="I70" t="str">
        <f t="shared" si="18"/>
        <v>2023-Q1</v>
      </c>
      <c r="J70" t="s">
        <v>104</v>
      </c>
      <c r="K70" t="s">
        <v>7402</v>
      </c>
      <c r="L70" t="s">
        <v>2604</v>
      </c>
      <c r="M70" t="s">
        <v>47</v>
      </c>
      <c r="N70" t="s">
        <v>25</v>
      </c>
      <c r="O70" t="s">
        <v>113</v>
      </c>
      <c r="P70" t="s">
        <v>113</v>
      </c>
      <c r="Q70" t="s">
        <v>87</v>
      </c>
      <c r="R70" t="s">
        <v>2605</v>
      </c>
      <c r="S70" t="s">
        <v>30</v>
      </c>
      <c r="T70" t="s">
        <v>68</v>
      </c>
      <c r="U70" t="s">
        <v>2606</v>
      </c>
      <c r="V70" s="3">
        <v>4009.27</v>
      </c>
      <c r="W70" s="4">
        <v>2</v>
      </c>
      <c r="X70" s="2">
        <v>0</v>
      </c>
      <c r="Y70" s="3">
        <v>-782.52</v>
      </c>
      <c r="Z70" t="str">
        <f t="shared" si="14"/>
        <v>Normal</v>
      </c>
      <c r="AA70" t="str">
        <f t="shared" si="15"/>
        <v>Low</v>
      </c>
      <c r="AB70" t="str">
        <f t="shared" si="19"/>
        <v>Loss</v>
      </c>
      <c r="AC70" s="3">
        <f t="shared" si="20"/>
        <v>-0.1951776757364807</v>
      </c>
      <c r="AD70" s="3">
        <f t="shared" si="21"/>
        <v>2004.635</v>
      </c>
      <c r="AE70" s="3">
        <f t="shared" si="22"/>
        <v>-391.26</v>
      </c>
      <c r="AF70" t="str">
        <f t="shared" si="23"/>
        <v>Regular</v>
      </c>
    </row>
    <row r="71" spans="1:32" x14ac:dyDescent="0.25">
      <c r="A71" t="s">
        <v>2850</v>
      </c>
      <c r="B71" s="1">
        <v>44960</v>
      </c>
      <c r="C71" s="1">
        <v>44965</v>
      </c>
      <c r="D71" s="4">
        <f t="shared" si="12"/>
        <v>5</v>
      </c>
      <c r="E71" s="4" t="str">
        <f>TEXT(Table1[[#This Row],[Order_Date]],"dddd")</f>
        <v>Friday</v>
      </c>
      <c r="F71" s="4">
        <f t="shared" si="13"/>
        <v>2</v>
      </c>
      <c r="G71" t="str">
        <f t="shared" si="16"/>
        <v>February</v>
      </c>
      <c r="H71">
        <f t="shared" si="17"/>
        <v>2023</v>
      </c>
      <c r="I71" t="str">
        <f t="shared" si="18"/>
        <v>2023-Q1</v>
      </c>
      <c r="J71" t="s">
        <v>104</v>
      </c>
      <c r="K71" t="s">
        <v>2851</v>
      </c>
      <c r="L71" t="s">
        <v>2852</v>
      </c>
      <c r="M71" t="s">
        <v>36</v>
      </c>
      <c r="N71" t="s">
        <v>25</v>
      </c>
      <c r="O71" t="s">
        <v>37</v>
      </c>
      <c r="P71" t="s">
        <v>38</v>
      </c>
      <c r="Q71" t="s">
        <v>87</v>
      </c>
      <c r="R71" t="s">
        <v>2853</v>
      </c>
      <c r="S71" t="s">
        <v>51</v>
      </c>
      <c r="T71" t="s">
        <v>151</v>
      </c>
      <c r="U71" t="s">
        <v>2854</v>
      </c>
      <c r="V71" s="3">
        <v>629.45000000000005</v>
      </c>
      <c r="W71" s="4">
        <v>8</v>
      </c>
      <c r="X71" s="2">
        <v>0</v>
      </c>
      <c r="Y71" s="3">
        <v>113.57</v>
      </c>
      <c r="Z71" t="str">
        <f t="shared" si="14"/>
        <v>Normal</v>
      </c>
      <c r="AA71" t="str">
        <f t="shared" si="15"/>
        <v>Low</v>
      </c>
      <c r="AB71" t="str">
        <f t="shared" si="19"/>
        <v>Low Profit</v>
      </c>
      <c r="AC71" s="3">
        <f t="shared" si="20"/>
        <v>0.18042735721661765</v>
      </c>
      <c r="AD71" s="3">
        <f t="shared" si="21"/>
        <v>78.681250000000006</v>
      </c>
      <c r="AE71" s="3">
        <f t="shared" si="22"/>
        <v>14.196249999999999</v>
      </c>
      <c r="AF71" t="str">
        <f t="shared" si="23"/>
        <v>Regular</v>
      </c>
    </row>
    <row r="72" spans="1:32" x14ac:dyDescent="0.25">
      <c r="A72" t="s">
        <v>7014</v>
      </c>
      <c r="B72" s="1">
        <v>44960</v>
      </c>
      <c r="C72" s="1">
        <v>44967</v>
      </c>
      <c r="D72" s="4">
        <f t="shared" si="12"/>
        <v>7</v>
      </c>
      <c r="E72" s="4" t="str">
        <f>TEXT(Table1[[#This Row],[Order_Date]],"dddd")</f>
        <v>Friday</v>
      </c>
      <c r="F72" s="4">
        <f t="shared" si="13"/>
        <v>2</v>
      </c>
      <c r="G72" t="str">
        <f t="shared" si="16"/>
        <v>February</v>
      </c>
      <c r="H72">
        <f t="shared" si="17"/>
        <v>2023</v>
      </c>
      <c r="I72" t="str">
        <f t="shared" si="18"/>
        <v>2023-Q1</v>
      </c>
      <c r="J72" t="s">
        <v>55</v>
      </c>
      <c r="K72" t="s">
        <v>7015</v>
      </c>
      <c r="L72" t="s">
        <v>7016</v>
      </c>
      <c r="M72" t="s">
        <v>47</v>
      </c>
      <c r="N72" t="s">
        <v>25</v>
      </c>
      <c r="O72" t="s">
        <v>99</v>
      </c>
      <c r="P72" t="s">
        <v>74</v>
      </c>
      <c r="Q72" t="s">
        <v>28</v>
      </c>
      <c r="R72" t="s">
        <v>7017</v>
      </c>
      <c r="S72" t="s">
        <v>51</v>
      </c>
      <c r="T72" t="s">
        <v>108</v>
      </c>
      <c r="U72" t="s">
        <v>7018</v>
      </c>
      <c r="V72" s="3">
        <v>3866.53</v>
      </c>
      <c r="W72" s="4">
        <v>8</v>
      </c>
      <c r="X72" s="2">
        <v>0.4</v>
      </c>
      <c r="Y72" s="3">
        <v>-759.21</v>
      </c>
      <c r="Z72" t="str">
        <f t="shared" si="14"/>
        <v>Normal</v>
      </c>
      <c r="AA72" t="str">
        <f t="shared" si="15"/>
        <v>High</v>
      </c>
      <c r="AB72" t="str">
        <f t="shared" si="19"/>
        <v>Loss</v>
      </c>
      <c r="AC72" s="3">
        <f t="shared" si="20"/>
        <v>-0.19635435390388797</v>
      </c>
      <c r="AD72" s="3">
        <f t="shared" si="21"/>
        <v>483.31625000000003</v>
      </c>
      <c r="AE72" s="3">
        <f t="shared" si="22"/>
        <v>-94.901250000000005</v>
      </c>
      <c r="AF72" t="str">
        <f t="shared" si="23"/>
        <v>Regular</v>
      </c>
    </row>
    <row r="73" spans="1:32" x14ac:dyDescent="0.25">
      <c r="A73" t="s">
        <v>7260</v>
      </c>
      <c r="B73" s="1">
        <v>44960</v>
      </c>
      <c r="C73" s="1">
        <v>44962</v>
      </c>
      <c r="D73" s="4">
        <f t="shared" si="12"/>
        <v>2</v>
      </c>
      <c r="E73" s="4" t="str">
        <f>TEXT(Table1[[#This Row],[Order_Date]],"dddd")</f>
        <v>Friday</v>
      </c>
      <c r="F73" s="4">
        <f t="shared" si="13"/>
        <v>2</v>
      </c>
      <c r="G73" t="str">
        <f t="shared" si="16"/>
        <v>February</v>
      </c>
      <c r="H73">
        <f t="shared" si="17"/>
        <v>2023</v>
      </c>
      <c r="I73" t="str">
        <f t="shared" si="18"/>
        <v>2023-Q1</v>
      </c>
      <c r="J73" t="s">
        <v>44</v>
      </c>
      <c r="K73" t="s">
        <v>7261</v>
      </c>
      <c r="L73" t="s">
        <v>7262</v>
      </c>
      <c r="M73" t="s">
        <v>47</v>
      </c>
      <c r="N73" t="s">
        <v>25</v>
      </c>
      <c r="O73" t="s">
        <v>611</v>
      </c>
      <c r="P73" t="s">
        <v>74</v>
      </c>
      <c r="Q73" t="s">
        <v>39</v>
      </c>
      <c r="R73" t="s">
        <v>7263</v>
      </c>
      <c r="S73" t="s">
        <v>59</v>
      </c>
      <c r="T73" t="s">
        <v>60</v>
      </c>
      <c r="U73" t="s">
        <v>7264</v>
      </c>
      <c r="V73" s="3">
        <v>662.28</v>
      </c>
      <c r="W73" s="4">
        <v>2</v>
      </c>
      <c r="X73" s="2">
        <v>0.3</v>
      </c>
      <c r="Y73" s="3">
        <v>108.26</v>
      </c>
      <c r="Z73" t="str">
        <f t="shared" si="14"/>
        <v>Normal</v>
      </c>
      <c r="AA73" t="str">
        <f t="shared" si="15"/>
        <v>High</v>
      </c>
      <c r="AB73" t="str">
        <f t="shared" si="19"/>
        <v>Low Profit</v>
      </c>
      <c r="AC73" s="3">
        <f t="shared" si="20"/>
        <v>0.16346560367216284</v>
      </c>
      <c r="AD73" s="3">
        <f t="shared" si="21"/>
        <v>331.14</v>
      </c>
      <c r="AE73" s="3">
        <f t="shared" si="22"/>
        <v>54.13</v>
      </c>
      <c r="AF73" t="str">
        <f t="shared" si="23"/>
        <v>Regular</v>
      </c>
    </row>
    <row r="74" spans="1:32" x14ac:dyDescent="0.25">
      <c r="A74" t="s">
        <v>3098</v>
      </c>
      <c r="B74" s="1">
        <v>44961</v>
      </c>
      <c r="C74" s="1">
        <v>44963</v>
      </c>
      <c r="D74" s="4">
        <f t="shared" si="12"/>
        <v>2</v>
      </c>
      <c r="E74" s="4" t="str">
        <f>TEXT(Table1[[#This Row],[Order_Date]],"dddd")</f>
        <v>Saturday</v>
      </c>
      <c r="F74" s="4">
        <f t="shared" si="13"/>
        <v>2</v>
      </c>
      <c r="G74" t="str">
        <f t="shared" si="16"/>
        <v>February</v>
      </c>
      <c r="H74">
        <f t="shared" si="17"/>
        <v>2023</v>
      </c>
      <c r="I74" t="str">
        <f t="shared" si="18"/>
        <v>2023-Q1</v>
      </c>
      <c r="J74" t="s">
        <v>104</v>
      </c>
      <c r="K74" t="s">
        <v>3099</v>
      </c>
      <c r="L74" t="s">
        <v>3100</v>
      </c>
      <c r="M74" t="s">
        <v>24</v>
      </c>
      <c r="N74" t="s">
        <v>25</v>
      </c>
      <c r="O74" t="s">
        <v>511</v>
      </c>
      <c r="P74" t="s">
        <v>120</v>
      </c>
      <c r="Q74" t="s">
        <v>66</v>
      </c>
      <c r="R74" t="s">
        <v>3101</v>
      </c>
      <c r="S74" t="s">
        <v>59</v>
      </c>
      <c r="T74" t="s">
        <v>101</v>
      </c>
      <c r="U74" t="s">
        <v>3102</v>
      </c>
      <c r="V74" s="3">
        <v>331.93</v>
      </c>
      <c r="W74" s="4">
        <v>5</v>
      </c>
      <c r="X74" s="2">
        <v>0</v>
      </c>
      <c r="Y74" s="3">
        <v>87.65</v>
      </c>
      <c r="Z74" t="str">
        <f t="shared" si="14"/>
        <v>Normal</v>
      </c>
      <c r="AA74" t="str">
        <f t="shared" si="15"/>
        <v>Low</v>
      </c>
      <c r="AB74" t="str">
        <f t="shared" si="19"/>
        <v>Low Profit</v>
      </c>
      <c r="AC74" s="3">
        <f t="shared" si="20"/>
        <v>0.26406169975597266</v>
      </c>
      <c r="AD74" s="3">
        <f t="shared" si="21"/>
        <v>66.385999999999996</v>
      </c>
      <c r="AE74" s="3">
        <f t="shared" si="22"/>
        <v>17.53</v>
      </c>
      <c r="AF74" t="str">
        <f t="shared" si="23"/>
        <v>Regular</v>
      </c>
    </row>
    <row r="75" spans="1:32" x14ac:dyDescent="0.25">
      <c r="A75" t="s">
        <v>4298</v>
      </c>
      <c r="B75" s="1">
        <v>44961</v>
      </c>
      <c r="C75" s="1">
        <v>44969</v>
      </c>
      <c r="D75" s="4">
        <f t="shared" si="12"/>
        <v>8</v>
      </c>
      <c r="E75" s="4" t="str">
        <f>TEXT(Table1[[#This Row],[Order_Date]],"dddd")</f>
        <v>Saturday</v>
      </c>
      <c r="F75" s="4">
        <f t="shared" si="13"/>
        <v>2</v>
      </c>
      <c r="G75" t="str">
        <f t="shared" si="16"/>
        <v>February</v>
      </c>
      <c r="H75">
        <f t="shared" si="17"/>
        <v>2023</v>
      </c>
      <c r="I75" t="str">
        <f t="shared" si="18"/>
        <v>2023-Q1</v>
      </c>
      <c r="J75" t="s">
        <v>21</v>
      </c>
      <c r="K75" t="s">
        <v>4299</v>
      </c>
      <c r="L75" t="s">
        <v>4300</v>
      </c>
      <c r="M75" t="s">
        <v>36</v>
      </c>
      <c r="N75" t="s">
        <v>25</v>
      </c>
      <c r="O75" t="s">
        <v>511</v>
      </c>
      <c r="P75" t="s">
        <v>120</v>
      </c>
      <c r="Q75" t="s">
        <v>87</v>
      </c>
      <c r="R75" t="s">
        <v>4301</v>
      </c>
      <c r="S75" t="s">
        <v>51</v>
      </c>
      <c r="T75" t="s">
        <v>151</v>
      </c>
      <c r="U75" t="s">
        <v>722</v>
      </c>
      <c r="V75" s="3">
        <v>2796.09</v>
      </c>
      <c r="W75" s="4">
        <v>7</v>
      </c>
      <c r="X75" s="2">
        <v>0</v>
      </c>
      <c r="Y75" s="3">
        <v>127.46</v>
      </c>
      <c r="Z75" t="str">
        <f t="shared" si="14"/>
        <v>Normal</v>
      </c>
      <c r="AA75" t="str">
        <f t="shared" si="15"/>
        <v>Low</v>
      </c>
      <c r="AB75" t="str">
        <f t="shared" si="19"/>
        <v>Low Profit</v>
      </c>
      <c r="AC75" s="3">
        <f t="shared" si="20"/>
        <v>4.5585084886394928E-2</v>
      </c>
      <c r="AD75" s="3">
        <f t="shared" si="21"/>
        <v>399.44142857142862</v>
      </c>
      <c r="AE75" s="3">
        <f t="shared" si="22"/>
        <v>18.208571428571428</v>
      </c>
      <c r="AF75" t="str">
        <f t="shared" si="23"/>
        <v>Regular</v>
      </c>
    </row>
    <row r="76" spans="1:32" x14ac:dyDescent="0.25">
      <c r="A76" t="s">
        <v>713</v>
      </c>
      <c r="B76" s="1">
        <v>44961</v>
      </c>
      <c r="C76" s="1">
        <v>44971</v>
      </c>
      <c r="D76" s="4">
        <f t="shared" si="12"/>
        <v>10</v>
      </c>
      <c r="E76" s="4" t="str">
        <f>TEXT(Table1[[#This Row],[Order_Date]],"dddd")</f>
        <v>Saturday</v>
      </c>
      <c r="F76" s="4">
        <f t="shared" si="13"/>
        <v>2</v>
      </c>
      <c r="G76" t="str">
        <f t="shared" si="16"/>
        <v>February</v>
      </c>
      <c r="H76">
        <f t="shared" si="17"/>
        <v>2023</v>
      </c>
      <c r="I76" t="str">
        <f t="shared" si="18"/>
        <v>2023-Q1</v>
      </c>
      <c r="J76" t="s">
        <v>44</v>
      </c>
      <c r="K76" t="s">
        <v>714</v>
      </c>
      <c r="L76" t="s">
        <v>715</v>
      </c>
      <c r="M76" t="s">
        <v>47</v>
      </c>
      <c r="N76" t="s">
        <v>25</v>
      </c>
      <c r="O76" t="s">
        <v>190</v>
      </c>
      <c r="P76" t="s">
        <v>120</v>
      </c>
      <c r="Q76" t="s">
        <v>28</v>
      </c>
      <c r="R76" t="s">
        <v>716</v>
      </c>
      <c r="S76" t="s">
        <v>51</v>
      </c>
      <c r="T76" t="s">
        <v>52</v>
      </c>
      <c r="U76" t="s">
        <v>717</v>
      </c>
      <c r="V76" s="3">
        <v>552.64</v>
      </c>
      <c r="W76" s="4">
        <v>10</v>
      </c>
      <c r="X76" s="2">
        <v>0.3</v>
      </c>
      <c r="Y76" s="3">
        <v>-20.059999999999999</v>
      </c>
      <c r="Z76" t="str">
        <f t="shared" si="14"/>
        <v>Normal</v>
      </c>
      <c r="AA76" t="str">
        <f t="shared" si="15"/>
        <v>High</v>
      </c>
      <c r="AB76" t="str">
        <f t="shared" si="19"/>
        <v>Loss</v>
      </c>
      <c r="AC76" s="3">
        <f t="shared" si="20"/>
        <v>-3.6298494499131438E-2</v>
      </c>
      <c r="AD76" s="3">
        <f t="shared" si="21"/>
        <v>55.263999999999996</v>
      </c>
      <c r="AE76" s="3">
        <f t="shared" si="22"/>
        <v>-2.0059999999999998</v>
      </c>
      <c r="AF76" t="str">
        <f t="shared" si="23"/>
        <v>Regular</v>
      </c>
    </row>
    <row r="77" spans="1:32" x14ac:dyDescent="0.25">
      <c r="A77" t="s">
        <v>6185</v>
      </c>
      <c r="B77" s="1">
        <v>44961</v>
      </c>
      <c r="C77" s="1">
        <v>44962</v>
      </c>
      <c r="D77" s="4">
        <f t="shared" si="12"/>
        <v>1</v>
      </c>
      <c r="E77" s="4" t="str">
        <f>TEXT(Table1[[#This Row],[Order_Date]],"dddd")</f>
        <v>Saturday</v>
      </c>
      <c r="F77" s="4">
        <f t="shared" si="13"/>
        <v>2</v>
      </c>
      <c r="G77" t="str">
        <f t="shared" si="16"/>
        <v>February</v>
      </c>
      <c r="H77">
        <f t="shared" si="17"/>
        <v>2023</v>
      </c>
      <c r="I77" t="str">
        <f t="shared" si="18"/>
        <v>2023-Q1</v>
      </c>
      <c r="J77" t="s">
        <v>44</v>
      </c>
      <c r="K77" t="s">
        <v>6186</v>
      </c>
      <c r="L77" t="s">
        <v>6187</v>
      </c>
      <c r="M77" t="s">
        <v>36</v>
      </c>
      <c r="N77" t="s">
        <v>25</v>
      </c>
      <c r="O77" t="s">
        <v>142</v>
      </c>
      <c r="P77" t="s">
        <v>143</v>
      </c>
      <c r="Q77" t="s">
        <v>28</v>
      </c>
      <c r="R77" t="s">
        <v>6188</v>
      </c>
      <c r="S77" t="s">
        <v>30</v>
      </c>
      <c r="T77" t="s">
        <v>31</v>
      </c>
      <c r="U77" t="s">
        <v>6189</v>
      </c>
      <c r="V77" s="3">
        <v>4748.92</v>
      </c>
      <c r="W77" s="4">
        <v>4</v>
      </c>
      <c r="X77" s="2">
        <v>0.3</v>
      </c>
      <c r="Y77" s="3">
        <v>-206.11</v>
      </c>
      <c r="Z77" t="str">
        <f t="shared" si="14"/>
        <v>Normal</v>
      </c>
      <c r="AA77" t="str">
        <f t="shared" si="15"/>
        <v>High</v>
      </c>
      <c r="AB77" t="str">
        <f t="shared" si="19"/>
        <v>Loss</v>
      </c>
      <c r="AC77" s="3">
        <f t="shared" si="20"/>
        <v>-4.3401447065859189E-2</v>
      </c>
      <c r="AD77" s="3">
        <f t="shared" si="21"/>
        <v>1187.23</v>
      </c>
      <c r="AE77" s="3">
        <f t="shared" si="22"/>
        <v>-51.527500000000003</v>
      </c>
      <c r="AF77" t="str">
        <f t="shared" si="23"/>
        <v>Regular</v>
      </c>
    </row>
    <row r="78" spans="1:32" x14ac:dyDescent="0.25">
      <c r="A78" t="s">
        <v>6941</v>
      </c>
      <c r="B78" s="1">
        <v>44961</v>
      </c>
      <c r="C78" s="1">
        <v>44962</v>
      </c>
      <c r="D78" s="4">
        <f t="shared" si="12"/>
        <v>1</v>
      </c>
      <c r="E78" s="4" t="str">
        <f>TEXT(Table1[[#This Row],[Order_Date]],"dddd")</f>
        <v>Saturday</v>
      </c>
      <c r="F78" s="4">
        <f t="shared" si="13"/>
        <v>2</v>
      </c>
      <c r="G78" t="str">
        <f t="shared" si="16"/>
        <v>February</v>
      </c>
      <c r="H78">
        <f t="shared" si="17"/>
        <v>2023</v>
      </c>
      <c r="I78" t="str">
        <f t="shared" si="18"/>
        <v>2023-Q1</v>
      </c>
      <c r="J78" t="s">
        <v>104</v>
      </c>
      <c r="K78" t="s">
        <v>6942</v>
      </c>
      <c r="L78" t="s">
        <v>6943</v>
      </c>
      <c r="M78" t="s">
        <v>36</v>
      </c>
      <c r="N78" t="s">
        <v>25</v>
      </c>
      <c r="O78" t="s">
        <v>80</v>
      </c>
      <c r="P78" t="s">
        <v>49</v>
      </c>
      <c r="Q78" t="s">
        <v>87</v>
      </c>
      <c r="R78" t="s">
        <v>6944</v>
      </c>
      <c r="S78" t="s">
        <v>30</v>
      </c>
      <c r="T78" t="s">
        <v>68</v>
      </c>
      <c r="U78" t="s">
        <v>6945</v>
      </c>
      <c r="V78" s="3">
        <v>1614.25</v>
      </c>
      <c r="W78" s="4">
        <v>9</v>
      </c>
      <c r="X78" s="2">
        <v>0</v>
      </c>
      <c r="Y78" s="3">
        <v>427.27</v>
      </c>
      <c r="Z78" t="str">
        <f t="shared" si="14"/>
        <v>Normal</v>
      </c>
      <c r="AA78" t="str">
        <f t="shared" si="15"/>
        <v>Low</v>
      </c>
      <c r="AB78" t="str">
        <f t="shared" si="19"/>
        <v>Low Profit</v>
      </c>
      <c r="AC78" s="3">
        <f t="shared" si="20"/>
        <v>0.26468638686696605</v>
      </c>
      <c r="AD78" s="3">
        <f t="shared" si="21"/>
        <v>179.36111111111111</v>
      </c>
      <c r="AE78" s="3">
        <f t="shared" si="22"/>
        <v>47.474444444444444</v>
      </c>
      <c r="AF78" t="str">
        <f t="shared" si="23"/>
        <v>Regular</v>
      </c>
    </row>
    <row r="79" spans="1:32" x14ac:dyDescent="0.25">
      <c r="A79" t="s">
        <v>5984</v>
      </c>
      <c r="B79" s="1">
        <v>44961</v>
      </c>
      <c r="C79" s="1">
        <v>44971</v>
      </c>
      <c r="D79" s="4">
        <f t="shared" si="12"/>
        <v>10</v>
      </c>
      <c r="E79" s="4" t="str">
        <f>TEXT(Table1[[#This Row],[Order_Date]],"dddd")</f>
        <v>Saturday</v>
      </c>
      <c r="F79" s="4">
        <f t="shared" si="13"/>
        <v>2</v>
      </c>
      <c r="G79" t="str">
        <f t="shared" si="16"/>
        <v>February</v>
      </c>
      <c r="H79">
        <f t="shared" si="17"/>
        <v>2023</v>
      </c>
      <c r="I79" t="str">
        <f t="shared" si="18"/>
        <v>2023-Q1</v>
      </c>
      <c r="J79" t="s">
        <v>104</v>
      </c>
      <c r="K79" t="s">
        <v>5985</v>
      </c>
      <c r="L79" t="s">
        <v>5986</v>
      </c>
      <c r="M79" t="s">
        <v>36</v>
      </c>
      <c r="N79" t="s">
        <v>25</v>
      </c>
      <c r="O79" t="s">
        <v>37</v>
      </c>
      <c r="P79" t="s">
        <v>38</v>
      </c>
      <c r="Q79" t="s">
        <v>87</v>
      </c>
      <c r="R79" t="s">
        <v>5987</v>
      </c>
      <c r="S79" t="s">
        <v>30</v>
      </c>
      <c r="T79" t="s">
        <v>82</v>
      </c>
      <c r="U79" t="s">
        <v>5988</v>
      </c>
      <c r="V79" s="3">
        <v>3510.9</v>
      </c>
      <c r="W79" s="4">
        <v>3</v>
      </c>
      <c r="X79" s="2">
        <v>0.4</v>
      </c>
      <c r="Y79" s="3">
        <v>153.9</v>
      </c>
      <c r="Z79" t="str">
        <f t="shared" si="14"/>
        <v>Normal</v>
      </c>
      <c r="AA79" t="str">
        <f t="shared" si="15"/>
        <v>High</v>
      </c>
      <c r="AB79" t="str">
        <f t="shared" si="19"/>
        <v>Low Profit</v>
      </c>
      <c r="AC79" s="3">
        <f t="shared" si="20"/>
        <v>4.3834914124583443E-2</v>
      </c>
      <c r="AD79" s="3">
        <f t="shared" si="21"/>
        <v>1170.3</v>
      </c>
      <c r="AE79" s="3">
        <f t="shared" si="22"/>
        <v>51.300000000000004</v>
      </c>
      <c r="AF79" t="str">
        <f t="shared" si="23"/>
        <v>Regular</v>
      </c>
    </row>
    <row r="80" spans="1:32" x14ac:dyDescent="0.25">
      <c r="A80" t="s">
        <v>7333</v>
      </c>
      <c r="B80" s="1">
        <v>44962</v>
      </c>
      <c r="C80" s="1">
        <v>44969</v>
      </c>
      <c r="D80" s="4">
        <f t="shared" si="12"/>
        <v>7</v>
      </c>
      <c r="E80" s="4" t="str">
        <f>TEXT(Table1[[#This Row],[Order_Date]],"dddd")</f>
        <v>Sunday</v>
      </c>
      <c r="F80" s="4">
        <f t="shared" si="13"/>
        <v>2</v>
      </c>
      <c r="G80" t="str">
        <f t="shared" si="16"/>
        <v>February</v>
      </c>
      <c r="H80">
        <f t="shared" si="17"/>
        <v>2023</v>
      </c>
      <c r="I80" t="str">
        <f t="shared" si="18"/>
        <v>2023-Q1</v>
      </c>
      <c r="J80" t="s">
        <v>55</v>
      </c>
      <c r="K80" t="s">
        <v>7334</v>
      </c>
      <c r="L80" t="s">
        <v>7335</v>
      </c>
      <c r="M80" t="s">
        <v>36</v>
      </c>
      <c r="N80" t="s">
        <v>25</v>
      </c>
      <c r="O80" t="s">
        <v>201</v>
      </c>
      <c r="P80" t="s">
        <v>113</v>
      </c>
      <c r="Q80" t="s">
        <v>66</v>
      </c>
      <c r="R80" t="s">
        <v>7336</v>
      </c>
      <c r="S80" t="s">
        <v>30</v>
      </c>
      <c r="T80" t="s">
        <v>41</v>
      </c>
      <c r="U80" t="s">
        <v>7337</v>
      </c>
      <c r="V80" s="3">
        <v>2256.62</v>
      </c>
      <c r="W80" s="4">
        <v>1</v>
      </c>
      <c r="X80" s="2">
        <v>0.1</v>
      </c>
      <c r="Y80" s="3">
        <v>-393.06</v>
      </c>
      <c r="Z80" t="str">
        <f t="shared" si="14"/>
        <v>Normal</v>
      </c>
      <c r="AA80" t="str">
        <f t="shared" si="15"/>
        <v>Medium</v>
      </c>
      <c r="AB80" t="str">
        <f t="shared" si="19"/>
        <v>Loss</v>
      </c>
      <c r="AC80" s="3">
        <f t="shared" si="20"/>
        <v>-0.17418085455238366</v>
      </c>
      <c r="AD80" s="3">
        <f t="shared" si="21"/>
        <v>2256.62</v>
      </c>
      <c r="AE80" s="3">
        <f t="shared" si="22"/>
        <v>-393.06</v>
      </c>
      <c r="AF80" t="str">
        <f t="shared" si="23"/>
        <v>Regular</v>
      </c>
    </row>
    <row r="81" spans="1:32" x14ac:dyDescent="0.25">
      <c r="A81" t="s">
        <v>942</v>
      </c>
      <c r="B81" s="1">
        <v>44962</v>
      </c>
      <c r="C81" s="1">
        <v>44965</v>
      </c>
      <c r="D81" s="4">
        <f t="shared" si="12"/>
        <v>3</v>
      </c>
      <c r="E81" s="4" t="str">
        <f>TEXT(Table1[[#This Row],[Order_Date]],"dddd")</f>
        <v>Sunday</v>
      </c>
      <c r="F81" s="4">
        <f t="shared" si="13"/>
        <v>2</v>
      </c>
      <c r="G81" t="str">
        <f t="shared" si="16"/>
        <v>February</v>
      </c>
      <c r="H81">
        <f t="shared" si="17"/>
        <v>2023</v>
      </c>
      <c r="I81" t="str">
        <f t="shared" si="18"/>
        <v>2023-Q1</v>
      </c>
      <c r="J81" t="s">
        <v>55</v>
      </c>
      <c r="K81" t="s">
        <v>943</v>
      </c>
      <c r="L81" t="s">
        <v>944</v>
      </c>
      <c r="M81" t="s">
        <v>36</v>
      </c>
      <c r="N81" t="s">
        <v>25</v>
      </c>
      <c r="O81" t="s">
        <v>227</v>
      </c>
      <c r="P81" t="s">
        <v>49</v>
      </c>
      <c r="Q81" t="s">
        <v>87</v>
      </c>
      <c r="R81" t="s">
        <v>945</v>
      </c>
      <c r="S81" t="s">
        <v>59</v>
      </c>
      <c r="T81" t="s">
        <v>60</v>
      </c>
      <c r="U81" t="s">
        <v>946</v>
      </c>
      <c r="V81" s="3">
        <v>4621.92</v>
      </c>
      <c r="W81" s="4">
        <v>9</v>
      </c>
      <c r="X81" s="2">
        <v>0.3</v>
      </c>
      <c r="Y81" s="3">
        <v>-77.5</v>
      </c>
      <c r="Z81" t="str">
        <f t="shared" si="14"/>
        <v>Normal</v>
      </c>
      <c r="AA81" t="str">
        <f t="shared" si="15"/>
        <v>High</v>
      </c>
      <c r="AB81" t="str">
        <f t="shared" si="19"/>
        <v>Loss</v>
      </c>
      <c r="AC81" s="3">
        <f t="shared" si="20"/>
        <v>-1.6767923287291861E-2</v>
      </c>
      <c r="AD81" s="3">
        <f t="shared" si="21"/>
        <v>513.54666666666662</v>
      </c>
      <c r="AE81" s="3">
        <f t="shared" si="22"/>
        <v>-8.6111111111111107</v>
      </c>
      <c r="AF81" t="str">
        <f t="shared" si="23"/>
        <v>Regular</v>
      </c>
    </row>
    <row r="82" spans="1:32" x14ac:dyDescent="0.25">
      <c r="A82" t="s">
        <v>6090</v>
      </c>
      <c r="B82" s="1">
        <v>44963</v>
      </c>
      <c r="C82" s="1">
        <v>44971</v>
      </c>
      <c r="D82" s="4">
        <f t="shared" si="12"/>
        <v>8</v>
      </c>
      <c r="E82" s="4" t="str">
        <f>TEXT(Table1[[#This Row],[Order_Date]],"dddd")</f>
        <v>Monday</v>
      </c>
      <c r="F82" s="4">
        <f t="shared" si="13"/>
        <v>2</v>
      </c>
      <c r="G82" t="str">
        <f t="shared" si="16"/>
        <v>February</v>
      </c>
      <c r="H82">
        <f t="shared" si="17"/>
        <v>2023</v>
      </c>
      <c r="I82" t="str">
        <f t="shared" si="18"/>
        <v>2023-Q1</v>
      </c>
      <c r="J82" t="s">
        <v>55</v>
      </c>
      <c r="K82" t="s">
        <v>6091</v>
      </c>
      <c r="L82" t="s">
        <v>6092</v>
      </c>
      <c r="M82" t="s">
        <v>47</v>
      </c>
      <c r="N82" t="s">
        <v>25</v>
      </c>
      <c r="O82" t="s">
        <v>201</v>
      </c>
      <c r="P82" t="s">
        <v>113</v>
      </c>
      <c r="Q82" t="s">
        <v>28</v>
      </c>
      <c r="R82" t="s">
        <v>6093</v>
      </c>
      <c r="S82" t="s">
        <v>51</v>
      </c>
      <c r="T82" t="s">
        <v>52</v>
      </c>
      <c r="U82" t="s">
        <v>6094</v>
      </c>
      <c r="V82" s="3">
        <v>4691.97</v>
      </c>
      <c r="W82" s="4">
        <v>9</v>
      </c>
      <c r="X82" s="2">
        <v>0.4</v>
      </c>
      <c r="Y82" s="3">
        <v>-671.23</v>
      </c>
      <c r="Z82" t="str">
        <f t="shared" si="14"/>
        <v>Normal</v>
      </c>
      <c r="AA82" t="str">
        <f t="shared" si="15"/>
        <v>High</v>
      </c>
      <c r="AB82" t="str">
        <f t="shared" si="19"/>
        <v>Loss</v>
      </c>
      <c r="AC82" s="3">
        <f t="shared" si="20"/>
        <v>-0.14305931197343547</v>
      </c>
      <c r="AD82" s="3">
        <f t="shared" si="21"/>
        <v>521.33000000000004</v>
      </c>
      <c r="AE82" s="3">
        <f t="shared" si="22"/>
        <v>-74.581111111111113</v>
      </c>
      <c r="AF82" t="str">
        <f t="shared" si="23"/>
        <v>Regular</v>
      </c>
    </row>
    <row r="83" spans="1:32" x14ac:dyDescent="0.25">
      <c r="A83" t="s">
        <v>1434</v>
      </c>
      <c r="B83" s="1">
        <v>44963</v>
      </c>
      <c r="C83" s="1">
        <v>44970</v>
      </c>
      <c r="D83" s="4">
        <f t="shared" si="12"/>
        <v>7</v>
      </c>
      <c r="E83" s="4" t="str">
        <f>TEXT(Table1[[#This Row],[Order_Date]],"dddd")</f>
        <v>Monday</v>
      </c>
      <c r="F83" s="4">
        <f t="shared" si="13"/>
        <v>2</v>
      </c>
      <c r="G83" t="str">
        <f t="shared" si="16"/>
        <v>February</v>
      </c>
      <c r="H83">
        <f t="shared" si="17"/>
        <v>2023</v>
      </c>
      <c r="I83" t="str">
        <f t="shared" si="18"/>
        <v>2023-Q1</v>
      </c>
      <c r="J83" t="s">
        <v>44</v>
      </c>
      <c r="K83" t="s">
        <v>1435</v>
      </c>
      <c r="L83" t="s">
        <v>1436</v>
      </c>
      <c r="M83" t="s">
        <v>36</v>
      </c>
      <c r="N83" t="s">
        <v>25</v>
      </c>
      <c r="O83" t="s">
        <v>451</v>
      </c>
      <c r="P83" t="s">
        <v>38</v>
      </c>
      <c r="Q83" t="s">
        <v>39</v>
      </c>
      <c r="R83" t="s">
        <v>1437</v>
      </c>
      <c r="S83" t="s">
        <v>51</v>
      </c>
      <c r="T83" t="s">
        <v>127</v>
      </c>
      <c r="U83" t="s">
        <v>1438</v>
      </c>
      <c r="V83" s="3">
        <v>25.39</v>
      </c>
      <c r="W83" s="4">
        <v>7</v>
      </c>
      <c r="X83" s="2">
        <v>0.1</v>
      </c>
      <c r="Y83" s="3">
        <v>-4.75</v>
      </c>
      <c r="Z83" t="str">
        <f t="shared" si="14"/>
        <v>Normal</v>
      </c>
      <c r="AA83" t="str">
        <f t="shared" si="15"/>
        <v>Medium</v>
      </c>
      <c r="AB83" t="str">
        <f t="shared" si="19"/>
        <v>Loss</v>
      </c>
      <c r="AC83" s="3">
        <f t="shared" si="20"/>
        <v>-0.18708152816069318</v>
      </c>
      <c r="AD83" s="3">
        <f t="shared" si="21"/>
        <v>3.6271428571428572</v>
      </c>
      <c r="AE83" s="3">
        <f t="shared" si="22"/>
        <v>-0.6785714285714286</v>
      </c>
      <c r="AF83" t="str">
        <f t="shared" si="23"/>
        <v>Regular</v>
      </c>
    </row>
    <row r="84" spans="1:32" x14ac:dyDescent="0.25">
      <c r="A84" t="s">
        <v>4362</v>
      </c>
      <c r="B84" s="1">
        <v>44964</v>
      </c>
      <c r="C84" s="1">
        <v>44971</v>
      </c>
      <c r="D84" s="4">
        <f t="shared" si="12"/>
        <v>7</v>
      </c>
      <c r="E84" s="4" t="str">
        <f>TEXT(Table1[[#This Row],[Order_Date]],"dddd")</f>
        <v>Tuesday</v>
      </c>
      <c r="F84" s="4">
        <f t="shared" si="13"/>
        <v>2</v>
      </c>
      <c r="G84" t="str">
        <f t="shared" si="16"/>
        <v>February</v>
      </c>
      <c r="H84">
        <f t="shared" si="17"/>
        <v>2023</v>
      </c>
      <c r="I84" t="str">
        <f t="shared" si="18"/>
        <v>2023-Q1</v>
      </c>
      <c r="J84" t="s">
        <v>44</v>
      </c>
      <c r="K84" t="s">
        <v>4363</v>
      </c>
      <c r="L84" t="s">
        <v>4364</v>
      </c>
      <c r="M84" t="s">
        <v>36</v>
      </c>
      <c r="N84" t="s">
        <v>25</v>
      </c>
      <c r="O84" t="s">
        <v>26</v>
      </c>
      <c r="P84" t="s">
        <v>27</v>
      </c>
      <c r="Q84" t="s">
        <v>87</v>
      </c>
      <c r="R84" t="s">
        <v>4365</v>
      </c>
      <c r="S84" t="s">
        <v>51</v>
      </c>
      <c r="T84" t="s">
        <v>52</v>
      </c>
      <c r="U84" t="s">
        <v>4366</v>
      </c>
      <c r="V84" s="3">
        <v>996.15</v>
      </c>
      <c r="W84" s="4">
        <v>1</v>
      </c>
      <c r="X84" s="2">
        <v>0.4</v>
      </c>
      <c r="Y84" s="3">
        <v>182.72</v>
      </c>
      <c r="Z84" t="str">
        <f t="shared" si="14"/>
        <v>Normal</v>
      </c>
      <c r="AA84" t="str">
        <f t="shared" si="15"/>
        <v>High</v>
      </c>
      <c r="AB84" t="str">
        <f t="shared" si="19"/>
        <v>Low Profit</v>
      </c>
      <c r="AC84" s="3">
        <f t="shared" si="20"/>
        <v>0.18342619083471365</v>
      </c>
      <c r="AD84" s="3">
        <f t="shared" si="21"/>
        <v>996.15</v>
      </c>
      <c r="AE84" s="3">
        <f t="shared" si="22"/>
        <v>182.72</v>
      </c>
      <c r="AF84" t="str">
        <f t="shared" si="23"/>
        <v>Regular</v>
      </c>
    </row>
    <row r="85" spans="1:32" x14ac:dyDescent="0.25">
      <c r="A85" t="s">
        <v>6358</v>
      </c>
      <c r="B85" s="1">
        <v>44964</v>
      </c>
      <c r="C85" s="1">
        <v>44967</v>
      </c>
      <c r="D85" s="4">
        <f t="shared" si="12"/>
        <v>3</v>
      </c>
      <c r="E85" s="4" t="str">
        <f>TEXT(Table1[[#This Row],[Order_Date]],"dddd")</f>
        <v>Tuesday</v>
      </c>
      <c r="F85" s="4">
        <f t="shared" si="13"/>
        <v>2</v>
      </c>
      <c r="G85" t="str">
        <f t="shared" si="16"/>
        <v>February</v>
      </c>
      <c r="H85">
        <f t="shared" si="17"/>
        <v>2023</v>
      </c>
      <c r="I85" t="str">
        <f t="shared" si="18"/>
        <v>2023-Q1</v>
      </c>
      <c r="J85" t="s">
        <v>21</v>
      </c>
      <c r="K85" t="s">
        <v>6359</v>
      </c>
      <c r="L85" t="s">
        <v>6360</v>
      </c>
      <c r="M85" t="s">
        <v>36</v>
      </c>
      <c r="N85" t="s">
        <v>25</v>
      </c>
      <c r="O85" t="s">
        <v>179</v>
      </c>
      <c r="P85" t="s">
        <v>27</v>
      </c>
      <c r="Q85" t="s">
        <v>87</v>
      </c>
      <c r="R85" t="s">
        <v>6361</v>
      </c>
      <c r="S85" t="s">
        <v>59</v>
      </c>
      <c r="T85" t="s">
        <v>60</v>
      </c>
      <c r="U85" t="s">
        <v>1251</v>
      </c>
      <c r="V85" s="3">
        <v>2544.23</v>
      </c>
      <c r="W85" s="4">
        <v>4</v>
      </c>
      <c r="X85" s="2">
        <v>0.3</v>
      </c>
      <c r="Y85" s="3">
        <v>233.9</v>
      </c>
      <c r="Z85" t="str">
        <f t="shared" si="14"/>
        <v>Normal</v>
      </c>
      <c r="AA85" t="str">
        <f t="shared" si="15"/>
        <v>High</v>
      </c>
      <c r="AB85" t="str">
        <f t="shared" si="19"/>
        <v>Low Profit</v>
      </c>
      <c r="AC85" s="3">
        <f t="shared" si="20"/>
        <v>9.1933512300381645E-2</v>
      </c>
      <c r="AD85" s="3">
        <f t="shared" si="21"/>
        <v>636.0575</v>
      </c>
      <c r="AE85" s="3">
        <f t="shared" si="22"/>
        <v>58.475000000000001</v>
      </c>
      <c r="AF85" t="str">
        <f t="shared" si="23"/>
        <v>Regular</v>
      </c>
    </row>
    <row r="86" spans="1:32" x14ac:dyDescent="0.25">
      <c r="A86" t="s">
        <v>6022</v>
      </c>
      <c r="B86" s="1">
        <v>44964</v>
      </c>
      <c r="C86" s="1">
        <v>44971</v>
      </c>
      <c r="D86" s="4">
        <f t="shared" si="12"/>
        <v>7</v>
      </c>
      <c r="E86" s="4" t="str">
        <f>TEXT(Table1[[#This Row],[Order_Date]],"dddd")</f>
        <v>Tuesday</v>
      </c>
      <c r="F86" s="4">
        <f t="shared" si="13"/>
        <v>2</v>
      </c>
      <c r="G86" t="str">
        <f t="shared" si="16"/>
        <v>February</v>
      </c>
      <c r="H86">
        <f t="shared" si="17"/>
        <v>2023</v>
      </c>
      <c r="I86" t="str">
        <f t="shared" si="18"/>
        <v>2023-Q1</v>
      </c>
      <c r="J86" t="s">
        <v>44</v>
      </c>
      <c r="K86" t="s">
        <v>6023</v>
      </c>
      <c r="L86" t="s">
        <v>6024</v>
      </c>
      <c r="M86" t="s">
        <v>36</v>
      </c>
      <c r="N86" t="s">
        <v>25</v>
      </c>
      <c r="O86" t="s">
        <v>119</v>
      </c>
      <c r="P86" t="s">
        <v>120</v>
      </c>
      <c r="Q86" t="s">
        <v>66</v>
      </c>
      <c r="R86" t="s">
        <v>6025</v>
      </c>
      <c r="S86" t="s">
        <v>59</v>
      </c>
      <c r="T86" t="s">
        <v>60</v>
      </c>
      <c r="U86" t="s">
        <v>6026</v>
      </c>
      <c r="V86" s="3">
        <v>3070.78</v>
      </c>
      <c r="W86" s="4">
        <v>10</v>
      </c>
      <c r="X86" s="2">
        <v>0</v>
      </c>
      <c r="Y86" s="3">
        <v>557.19000000000005</v>
      </c>
      <c r="Z86" t="str">
        <f t="shared" si="14"/>
        <v>Normal</v>
      </c>
      <c r="AA86" t="str">
        <f t="shared" si="15"/>
        <v>Low</v>
      </c>
      <c r="AB86" t="str">
        <f t="shared" si="19"/>
        <v>High Profit</v>
      </c>
      <c r="AC86" s="3">
        <f t="shared" si="20"/>
        <v>0.18144901295436339</v>
      </c>
      <c r="AD86" s="3">
        <f t="shared" si="21"/>
        <v>307.07800000000003</v>
      </c>
      <c r="AE86" s="3">
        <f t="shared" si="22"/>
        <v>55.719000000000008</v>
      </c>
      <c r="AF86" t="str">
        <f t="shared" si="23"/>
        <v>Regular</v>
      </c>
    </row>
    <row r="87" spans="1:32" x14ac:dyDescent="0.25">
      <c r="A87" t="s">
        <v>3888</v>
      </c>
      <c r="B87" s="1">
        <v>44964</v>
      </c>
      <c r="C87" s="1">
        <v>44972</v>
      </c>
      <c r="D87" s="4">
        <f t="shared" si="12"/>
        <v>8</v>
      </c>
      <c r="E87" s="4" t="str">
        <f>TEXT(Table1[[#This Row],[Order_Date]],"dddd")</f>
        <v>Tuesday</v>
      </c>
      <c r="F87" s="4">
        <f t="shared" si="13"/>
        <v>2</v>
      </c>
      <c r="G87" t="str">
        <f t="shared" si="16"/>
        <v>February</v>
      </c>
      <c r="H87">
        <f t="shared" si="17"/>
        <v>2023</v>
      </c>
      <c r="I87" t="str">
        <f t="shared" si="18"/>
        <v>2023-Q1</v>
      </c>
      <c r="J87" t="s">
        <v>44</v>
      </c>
      <c r="K87" t="s">
        <v>3889</v>
      </c>
      <c r="L87" t="s">
        <v>3890</v>
      </c>
      <c r="M87" t="s">
        <v>36</v>
      </c>
      <c r="N87" t="s">
        <v>25</v>
      </c>
      <c r="O87" t="s">
        <v>113</v>
      </c>
      <c r="P87" t="s">
        <v>113</v>
      </c>
      <c r="Q87" t="s">
        <v>28</v>
      </c>
      <c r="R87" t="s">
        <v>3891</v>
      </c>
      <c r="S87" t="s">
        <v>59</v>
      </c>
      <c r="T87" t="s">
        <v>101</v>
      </c>
      <c r="U87" t="s">
        <v>1853</v>
      </c>
      <c r="V87" s="3">
        <v>4303.5</v>
      </c>
      <c r="W87" s="4">
        <v>1</v>
      </c>
      <c r="X87" s="2">
        <v>0.3</v>
      </c>
      <c r="Y87" s="3">
        <v>-157.46</v>
      </c>
      <c r="Z87" t="str">
        <f t="shared" si="14"/>
        <v>Normal</v>
      </c>
      <c r="AA87" t="str">
        <f t="shared" si="15"/>
        <v>High</v>
      </c>
      <c r="AB87" t="str">
        <f t="shared" si="19"/>
        <v>Loss</v>
      </c>
      <c r="AC87" s="3">
        <f t="shared" si="20"/>
        <v>-3.6588823051004998E-2</v>
      </c>
      <c r="AD87" s="3">
        <f t="shared" si="21"/>
        <v>4303.5</v>
      </c>
      <c r="AE87" s="3">
        <f t="shared" si="22"/>
        <v>-157.46</v>
      </c>
      <c r="AF87" t="str">
        <f t="shared" si="23"/>
        <v>Regular</v>
      </c>
    </row>
    <row r="88" spans="1:32" x14ac:dyDescent="0.25">
      <c r="A88" t="s">
        <v>6846</v>
      </c>
      <c r="B88" s="1">
        <v>44966</v>
      </c>
      <c r="C88" s="1">
        <v>44975</v>
      </c>
      <c r="D88" s="4">
        <f t="shared" si="12"/>
        <v>9</v>
      </c>
      <c r="E88" s="4" t="str">
        <f>TEXT(Table1[[#This Row],[Order_Date]],"dddd")</f>
        <v>Thursday</v>
      </c>
      <c r="F88" s="4">
        <f t="shared" si="13"/>
        <v>2</v>
      </c>
      <c r="G88" t="str">
        <f t="shared" si="16"/>
        <v>February</v>
      </c>
      <c r="H88">
        <f t="shared" si="17"/>
        <v>2023</v>
      </c>
      <c r="I88" t="str">
        <f t="shared" si="18"/>
        <v>2023-Q1</v>
      </c>
      <c r="J88" t="s">
        <v>21</v>
      </c>
      <c r="K88" t="s">
        <v>6847</v>
      </c>
      <c r="L88" t="s">
        <v>6848</v>
      </c>
      <c r="M88" t="s">
        <v>47</v>
      </c>
      <c r="N88" t="s">
        <v>25</v>
      </c>
      <c r="O88" t="s">
        <v>37</v>
      </c>
      <c r="P88" t="s">
        <v>38</v>
      </c>
      <c r="Q88" t="s">
        <v>39</v>
      </c>
      <c r="R88" t="s">
        <v>6849</v>
      </c>
      <c r="S88" t="s">
        <v>51</v>
      </c>
      <c r="T88" t="s">
        <v>94</v>
      </c>
      <c r="U88" t="s">
        <v>6850</v>
      </c>
      <c r="V88" s="3">
        <v>475.58</v>
      </c>
      <c r="W88" s="4">
        <v>2</v>
      </c>
      <c r="X88" s="2">
        <v>0</v>
      </c>
      <c r="Y88" s="3">
        <v>36.71</v>
      </c>
      <c r="Z88" t="str">
        <f t="shared" si="14"/>
        <v>Normal</v>
      </c>
      <c r="AA88" t="str">
        <f t="shared" si="15"/>
        <v>Low</v>
      </c>
      <c r="AB88" t="str">
        <f t="shared" si="19"/>
        <v>Low Profit</v>
      </c>
      <c r="AC88" s="3">
        <f t="shared" si="20"/>
        <v>7.7189957525547762E-2</v>
      </c>
      <c r="AD88" s="3">
        <f t="shared" si="21"/>
        <v>237.79</v>
      </c>
      <c r="AE88" s="3">
        <f t="shared" si="22"/>
        <v>18.355</v>
      </c>
      <c r="AF88" t="str">
        <f t="shared" si="23"/>
        <v>Regular</v>
      </c>
    </row>
    <row r="89" spans="1:32" x14ac:dyDescent="0.25">
      <c r="A89" t="s">
        <v>698</v>
      </c>
      <c r="B89" s="1">
        <v>44966</v>
      </c>
      <c r="C89" s="1">
        <v>44967</v>
      </c>
      <c r="D89" s="4">
        <f t="shared" si="12"/>
        <v>1</v>
      </c>
      <c r="E89" s="4" t="str">
        <f>TEXT(Table1[[#This Row],[Order_Date]],"dddd")</f>
        <v>Thursday</v>
      </c>
      <c r="F89" s="4">
        <f t="shared" si="13"/>
        <v>2</v>
      </c>
      <c r="G89" t="str">
        <f t="shared" si="16"/>
        <v>February</v>
      </c>
      <c r="H89">
        <f t="shared" si="17"/>
        <v>2023</v>
      </c>
      <c r="I89" t="str">
        <f t="shared" si="18"/>
        <v>2023-Q1</v>
      </c>
      <c r="J89" t="s">
        <v>44</v>
      </c>
      <c r="K89" t="s">
        <v>699</v>
      </c>
      <c r="L89" t="s">
        <v>700</v>
      </c>
      <c r="M89" t="s">
        <v>36</v>
      </c>
      <c r="N89" t="s">
        <v>25</v>
      </c>
      <c r="O89" t="s">
        <v>162</v>
      </c>
      <c r="P89" t="s">
        <v>163</v>
      </c>
      <c r="Q89" t="s">
        <v>28</v>
      </c>
      <c r="R89" t="s">
        <v>701</v>
      </c>
      <c r="S89" t="s">
        <v>30</v>
      </c>
      <c r="T89" t="s">
        <v>31</v>
      </c>
      <c r="U89" t="s">
        <v>702</v>
      </c>
      <c r="V89" s="3">
        <v>2283.37</v>
      </c>
      <c r="W89" s="4">
        <v>8</v>
      </c>
      <c r="X89" s="2">
        <v>0.3</v>
      </c>
      <c r="Y89" s="3">
        <v>-192.15</v>
      </c>
      <c r="Z89" t="str">
        <f t="shared" si="14"/>
        <v>Normal</v>
      </c>
      <c r="AA89" t="str">
        <f t="shared" si="15"/>
        <v>High</v>
      </c>
      <c r="AB89" t="str">
        <f t="shared" si="19"/>
        <v>Loss</v>
      </c>
      <c r="AC89" s="3">
        <f t="shared" si="20"/>
        <v>-8.415193332661812E-2</v>
      </c>
      <c r="AD89" s="3">
        <f t="shared" si="21"/>
        <v>285.42124999999999</v>
      </c>
      <c r="AE89" s="3">
        <f t="shared" si="22"/>
        <v>-24.018750000000001</v>
      </c>
      <c r="AF89" t="str">
        <f t="shared" si="23"/>
        <v>Regular</v>
      </c>
    </row>
    <row r="90" spans="1:32" x14ac:dyDescent="0.25">
      <c r="A90" t="s">
        <v>1543</v>
      </c>
      <c r="B90" s="1">
        <v>44966</v>
      </c>
      <c r="C90" s="1">
        <v>44971</v>
      </c>
      <c r="D90" s="4">
        <f t="shared" si="12"/>
        <v>5</v>
      </c>
      <c r="E90" s="4" t="str">
        <f>TEXT(Table1[[#This Row],[Order_Date]],"dddd")</f>
        <v>Thursday</v>
      </c>
      <c r="F90" s="4">
        <f t="shared" si="13"/>
        <v>2</v>
      </c>
      <c r="G90" t="str">
        <f t="shared" si="16"/>
        <v>February</v>
      </c>
      <c r="H90">
        <f t="shared" si="17"/>
        <v>2023</v>
      </c>
      <c r="I90" t="str">
        <f t="shared" si="18"/>
        <v>2023-Q1</v>
      </c>
      <c r="J90" t="s">
        <v>104</v>
      </c>
      <c r="K90" t="s">
        <v>1544</v>
      </c>
      <c r="L90" t="s">
        <v>1545</v>
      </c>
      <c r="M90" t="s">
        <v>36</v>
      </c>
      <c r="N90" t="s">
        <v>25</v>
      </c>
      <c r="O90" t="s">
        <v>48</v>
      </c>
      <c r="P90" t="s">
        <v>49</v>
      </c>
      <c r="Q90" t="s">
        <v>39</v>
      </c>
      <c r="R90" t="s">
        <v>1546</v>
      </c>
      <c r="S90" t="s">
        <v>59</v>
      </c>
      <c r="T90" t="s">
        <v>303</v>
      </c>
      <c r="U90" t="s">
        <v>1547</v>
      </c>
      <c r="V90" s="3">
        <v>2514.16</v>
      </c>
      <c r="W90" s="4">
        <v>2</v>
      </c>
      <c r="X90" s="2">
        <v>0</v>
      </c>
      <c r="Y90" s="3">
        <v>-37.68</v>
      </c>
      <c r="Z90" t="str">
        <f t="shared" si="14"/>
        <v>Normal</v>
      </c>
      <c r="AA90" t="str">
        <f t="shared" si="15"/>
        <v>Low</v>
      </c>
      <c r="AB90" t="str">
        <f t="shared" si="19"/>
        <v>Loss</v>
      </c>
      <c r="AC90" s="3">
        <f t="shared" si="20"/>
        <v>-1.4987112992013238E-2</v>
      </c>
      <c r="AD90" s="3">
        <f t="shared" si="21"/>
        <v>1257.08</v>
      </c>
      <c r="AE90" s="3">
        <f t="shared" si="22"/>
        <v>-18.84</v>
      </c>
      <c r="AF90" t="str">
        <f t="shared" si="23"/>
        <v>Regular</v>
      </c>
    </row>
    <row r="91" spans="1:32" x14ac:dyDescent="0.25">
      <c r="A91" t="s">
        <v>5000</v>
      </c>
      <c r="B91" s="1">
        <v>44967</v>
      </c>
      <c r="C91" s="1">
        <v>44968</v>
      </c>
      <c r="D91" s="4">
        <f t="shared" si="12"/>
        <v>1</v>
      </c>
      <c r="E91" s="4" t="str">
        <f>TEXT(Table1[[#This Row],[Order_Date]],"dddd")</f>
        <v>Friday</v>
      </c>
      <c r="F91" s="4">
        <f t="shared" si="13"/>
        <v>2</v>
      </c>
      <c r="G91" t="str">
        <f t="shared" si="16"/>
        <v>February</v>
      </c>
      <c r="H91">
        <f t="shared" si="17"/>
        <v>2023</v>
      </c>
      <c r="I91" t="str">
        <f t="shared" si="18"/>
        <v>2023-Q1</v>
      </c>
      <c r="J91" t="s">
        <v>44</v>
      </c>
      <c r="K91" t="s">
        <v>7402</v>
      </c>
      <c r="L91" t="s">
        <v>5001</v>
      </c>
      <c r="M91" t="s">
        <v>47</v>
      </c>
      <c r="N91" t="s">
        <v>25</v>
      </c>
      <c r="O91" t="s">
        <v>73</v>
      </c>
      <c r="P91" t="s">
        <v>74</v>
      </c>
      <c r="Q91" t="s">
        <v>28</v>
      </c>
      <c r="R91" t="s">
        <v>5002</v>
      </c>
      <c r="S91" t="s">
        <v>30</v>
      </c>
      <c r="T91" t="s">
        <v>41</v>
      </c>
      <c r="U91" t="s">
        <v>5003</v>
      </c>
      <c r="V91" s="3">
        <v>386.19</v>
      </c>
      <c r="W91" s="4">
        <v>6</v>
      </c>
      <c r="X91" s="2">
        <v>0.4</v>
      </c>
      <c r="Y91" s="3">
        <v>32.130000000000003</v>
      </c>
      <c r="Z91" t="str">
        <f t="shared" si="14"/>
        <v>Normal</v>
      </c>
      <c r="AA91" t="str">
        <f t="shared" si="15"/>
        <v>High</v>
      </c>
      <c r="AB91" t="str">
        <f t="shared" si="19"/>
        <v>Low Profit</v>
      </c>
      <c r="AC91" s="3">
        <f t="shared" si="20"/>
        <v>8.3197389885807507E-2</v>
      </c>
      <c r="AD91" s="3">
        <f t="shared" si="21"/>
        <v>64.364999999999995</v>
      </c>
      <c r="AE91" s="3">
        <f t="shared" si="22"/>
        <v>5.3550000000000004</v>
      </c>
      <c r="AF91" t="str">
        <f t="shared" si="23"/>
        <v>Regular</v>
      </c>
    </row>
    <row r="92" spans="1:32" x14ac:dyDescent="0.25">
      <c r="A92" t="s">
        <v>5357</v>
      </c>
      <c r="B92" s="1">
        <v>44968</v>
      </c>
      <c r="C92" s="1">
        <v>44975</v>
      </c>
      <c r="D92" s="4">
        <f t="shared" si="12"/>
        <v>7</v>
      </c>
      <c r="E92" s="4" t="str">
        <f>TEXT(Table1[[#This Row],[Order_Date]],"dddd")</f>
        <v>Saturday</v>
      </c>
      <c r="F92" s="4">
        <f t="shared" si="13"/>
        <v>2</v>
      </c>
      <c r="G92" t="str">
        <f t="shared" si="16"/>
        <v>February</v>
      </c>
      <c r="H92">
        <f t="shared" si="17"/>
        <v>2023</v>
      </c>
      <c r="I92" t="str">
        <f t="shared" si="18"/>
        <v>2023-Q1</v>
      </c>
      <c r="J92" t="s">
        <v>21</v>
      </c>
      <c r="K92" t="s">
        <v>5358</v>
      </c>
      <c r="L92" t="s">
        <v>5359</v>
      </c>
      <c r="M92" t="s">
        <v>36</v>
      </c>
      <c r="N92" t="s">
        <v>25</v>
      </c>
      <c r="O92" t="s">
        <v>179</v>
      </c>
      <c r="P92" t="s">
        <v>27</v>
      </c>
      <c r="Q92" t="s">
        <v>39</v>
      </c>
      <c r="R92" t="s">
        <v>5360</v>
      </c>
      <c r="S92" t="s">
        <v>59</v>
      </c>
      <c r="T92" t="s">
        <v>60</v>
      </c>
      <c r="U92" t="s">
        <v>5361</v>
      </c>
      <c r="V92" s="3">
        <v>1464.26</v>
      </c>
      <c r="W92" s="4">
        <v>10</v>
      </c>
      <c r="X92" s="2">
        <v>0.1</v>
      </c>
      <c r="Y92" s="3">
        <v>299.02</v>
      </c>
      <c r="Z92" t="str">
        <f t="shared" si="14"/>
        <v>Normal</v>
      </c>
      <c r="AA92" t="str">
        <f t="shared" si="15"/>
        <v>Medium</v>
      </c>
      <c r="AB92" t="str">
        <f t="shared" si="19"/>
        <v>Low Profit</v>
      </c>
      <c r="AC92" s="3">
        <f t="shared" si="20"/>
        <v>0.20421236665619494</v>
      </c>
      <c r="AD92" s="3">
        <f t="shared" si="21"/>
        <v>146.42599999999999</v>
      </c>
      <c r="AE92" s="3">
        <f t="shared" si="22"/>
        <v>29.901999999999997</v>
      </c>
      <c r="AF92" t="str">
        <f t="shared" si="23"/>
        <v>Regular</v>
      </c>
    </row>
    <row r="93" spans="1:32" x14ac:dyDescent="0.25">
      <c r="A93" t="s">
        <v>3683</v>
      </c>
      <c r="B93" s="1">
        <v>44970</v>
      </c>
      <c r="C93" s="1">
        <v>44978</v>
      </c>
      <c r="D93" s="4">
        <f t="shared" si="12"/>
        <v>8</v>
      </c>
      <c r="E93" s="4" t="str">
        <f>TEXT(Table1[[#This Row],[Order_Date]],"dddd")</f>
        <v>Monday</v>
      </c>
      <c r="F93" s="4">
        <f t="shared" si="13"/>
        <v>2</v>
      </c>
      <c r="G93" t="str">
        <f t="shared" si="16"/>
        <v>February</v>
      </c>
      <c r="H93">
        <f t="shared" si="17"/>
        <v>2023</v>
      </c>
      <c r="I93" t="str">
        <f t="shared" si="18"/>
        <v>2023-Q1</v>
      </c>
      <c r="J93" t="s">
        <v>21</v>
      </c>
      <c r="K93" t="s">
        <v>3684</v>
      </c>
      <c r="L93" t="s">
        <v>3685</v>
      </c>
      <c r="M93" t="s">
        <v>36</v>
      </c>
      <c r="N93" t="s">
        <v>25</v>
      </c>
      <c r="O93" t="s">
        <v>190</v>
      </c>
      <c r="P93" t="s">
        <v>120</v>
      </c>
      <c r="Q93" t="s">
        <v>87</v>
      </c>
      <c r="R93" t="s">
        <v>3686</v>
      </c>
      <c r="S93" t="s">
        <v>30</v>
      </c>
      <c r="T93" t="s">
        <v>68</v>
      </c>
      <c r="U93" t="s">
        <v>3687</v>
      </c>
      <c r="V93" s="3">
        <v>1746.21</v>
      </c>
      <c r="W93" s="4">
        <v>1</v>
      </c>
      <c r="X93" s="2">
        <v>0</v>
      </c>
      <c r="Y93" s="3">
        <v>81.400000000000006</v>
      </c>
      <c r="Z93" t="str">
        <f t="shared" si="14"/>
        <v>Normal</v>
      </c>
      <c r="AA93" t="str">
        <f t="shared" si="15"/>
        <v>Low</v>
      </c>
      <c r="AB93" t="str">
        <f t="shared" si="19"/>
        <v>Low Profit</v>
      </c>
      <c r="AC93" s="3">
        <f t="shared" si="20"/>
        <v>4.6615241007668035E-2</v>
      </c>
      <c r="AD93" s="3">
        <f t="shared" si="21"/>
        <v>1746.21</v>
      </c>
      <c r="AE93" s="3">
        <f t="shared" si="22"/>
        <v>81.400000000000006</v>
      </c>
      <c r="AF93" t="str">
        <f t="shared" si="23"/>
        <v>Regular</v>
      </c>
    </row>
    <row r="94" spans="1:32" x14ac:dyDescent="0.25">
      <c r="A94" t="s">
        <v>5248</v>
      </c>
      <c r="B94" s="1">
        <v>44970</v>
      </c>
      <c r="C94" s="1">
        <v>44978</v>
      </c>
      <c r="D94" s="4">
        <f t="shared" si="12"/>
        <v>8</v>
      </c>
      <c r="E94" s="4" t="str">
        <f>TEXT(Table1[[#This Row],[Order_Date]],"dddd")</f>
        <v>Monday</v>
      </c>
      <c r="F94" s="4">
        <f t="shared" si="13"/>
        <v>2</v>
      </c>
      <c r="G94" t="str">
        <f t="shared" si="16"/>
        <v>February</v>
      </c>
      <c r="H94">
        <f t="shared" si="17"/>
        <v>2023</v>
      </c>
      <c r="I94" t="str">
        <f t="shared" si="18"/>
        <v>2023-Q1</v>
      </c>
      <c r="J94" t="s">
        <v>55</v>
      </c>
      <c r="K94" t="s">
        <v>5249</v>
      </c>
      <c r="L94" t="s">
        <v>5250</v>
      </c>
      <c r="M94" t="s">
        <v>24</v>
      </c>
      <c r="N94" t="s">
        <v>25</v>
      </c>
      <c r="O94" t="s">
        <v>80</v>
      </c>
      <c r="P94" t="s">
        <v>49</v>
      </c>
      <c r="Q94" t="s">
        <v>87</v>
      </c>
      <c r="R94" t="s">
        <v>5251</v>
      </c>
      <c r="S94" t="s">
        <v>51</v>
      </c>
      <c r="T94" t="s">
        <v>52</v>
      </c>
      <c r="U94" t="s">
        <v>5252</v>
      </c>
      <c r="V94" s="3">
        <v>4653.34</v>
      </c>
      <c r="W94" s="4">
        <v>6</v>
      </c>
      <c r="X94" s="2">
        <v>0</v>
      </c>
      <c r="Y94" s="3">
        <v>988.53</v>
      </c>
      <c r="Z94" t="str">
        <f t="shared" si="14"/>
        <v>Normal</v>
      </c>
      <c r="AA94" t="str">
        <f t="shared" si="15"/>
        <v>Low</v>
      </c>
      <c r="AB94" t="str">
        <f t="shared" si="19"/>
        <v>High Profit</v>
      </c>
      <c r="AC94" s="3">
        <f t="shared" si="20"/>
        <v>0.21243450940614697</v>
      </c>
      <c r="AD94" s="3">
        <f t="shared" si="21"/>
        <v>775.55666666666673</v>
      </c>
      <c r="AE94" s="3">
        <f t="shared" si="22"/>
        <v>164.755</v>
      </c>
      <c r="AF94" t="str">
        <f t="shared" si="23"/>
        <v>Regular</v>
      </c>
    </row>
    <row r="95" spans="1:32" x14ac:dyDescent="0.25">
      <c r="A95" t="s">
        <v>6678</v>
      </c>
      <c r="B95" s="1">
        <v>44971</v>
      </c>
      <c r="C95" s="1">
        <v>44974</v>
      </c>
      <c r="D95" s="4">
        <f t="shared" si="12"/>
        <v>3</v>
      </c>
      <c r="E95" s="4" t="str">
        <f>TEXT(Table1[[#This Row],[Order_Date]],"dddd")</f>
        <v>Tuesday</v>
      </c>
      <c r="F95" s="4">
        <f t="shared" si="13"/>
        <v>2</v>
      </c>
      <c r="G95" t="str">
        <f t="shared" si="16"/>
        <v>February</v>
      </c>
      <c r="H95">
        <f t="shared" si="17"/>
        <v>2023</v>
      </c>
      <c r="I95" t="str">
        <f t="shared" si="18"/>
        <v>2023-Q1</v>
      </c>
      <c r="J95" t="s">
        <v>104</v>
      </c>
      <c r="K95" t="s">
        <v>6679</v>
      </c>
      <c r="L95" t="s">
        <v>6680</v>
      </c>
      <c r="M95" t="s">
        <v>24</v>
      </c>
      <c r="N95" t="s">
        <v>25</v>
      </c>
      <c r="O95" t="s">
        <v>119</v>
      </c>
      <c r="P95" t="s">
        <v>120</v>
      </c>
      <c r="Q95" t="s">
        <v>39</v>
      </c>
      <c r="R95" t="s">
        <v>6681</v>
      </c>
      <c r="S95" t="s">
        <v>59</v>
      </c>
      <c r="T95" t="s">
        <v>277</v>
      </c>
      <c r="U95" t="s">
        <v>6682</v>
      </c>
      <c r="V95" s="3">
        <v>3284</v>
      </c>
      <c r="W95" s="4">
        <v>8</v>
      </c>
      <c r="X95" s="2">
        <v>0.3</v>
      </c>
      <c r="Y95" s="3">
        <v>906.45</v>
      </c>
      <c r="Z95" t="str">
        <f t="shared" si="14"/>
        <v>Normal</v>
      </c>
      <c r="AA95" t="str">
        <f t="shared" si="15"/>
        <v>High</v>
      </c>
      <c r="AB95" t="str">
        <f t="shared" si="19"/>
        <v>High Profit</v>
      </c>
      <c r="AC95" s="3">
        <f t="shared" si="20"/>
        <v>0.27602009744214373</v>
      </c>
      <c r="AD95" s="3">
        <f t="shared" si="21"/>
        <v>410.5</v>
      </c>
      <c r="AE95" s="3">
        <f t="shared" si="22"/>
        <v>113.30625000000001</v>
      </c>
      <c r="AF95" t="str">
        <f t="shared" si="23"/>
        <v>Regular</v>
      </c>
    </row>
    <row r="96" spans="1:32" x14ac:dyDescent="0.25">
      <c r="A96" t="s">
        <v>6367</v>
      </c>
      <c r="B96" s="1">
        <v>44971</v>
      </c>
      <c r="C96" s="1">
        <v>44974</v>
      </c>
      <c r="D96" s="4">
        <f t="shared" si="12"/>
        <v>3</v>
      </c>
      <c r="E96" s="4" t="str">
        <f>TEXT(Table1[[#This Row],[Order_Date]],"dddd")</f>
        <v>Tuesday</v>
      </c>
      <c r="F96" s="4">
        <f t="shared" si="13"/>
        <v>2</v>
      </c>
      <c r="G96" t="str">
        <f t="shared" si="16"/>
        <v>February</v>
      </c>
      <c r="H96">
        <f t="shared" si="17"/>
        <v>2023</v>
      </c>
      <c r="I96" t="str">
        <f t="shared" si="18"/>
        <v>2023-Q1</v>
      </c>
      <c r="J96" t="s">
        <v>44</v>
      </c>
      <c r="K96" t="s">
        <v>6368</v>
      </c>
      <c r="L96" t="s">
        <v>6369</v>
      </c>
      <c r="M96" t="s">
        <v>36</v>
      </c>
      <c r="N96" t="s">
        <v>25</v>
      </c>
      <c r="O96" t="s">
        <v>113</v>
      </c>
      <c r="P96" t="s">
        <v>113</v>
      </c>
      <c r="Q96" t="s">
        <v>66</v>
      </c>
      <c r="R96" t="s">
        <v>6370</v>
      </c>
      <c r="S96" t="s">
        <v>51</v>
      </c>
      <c r="T96" t="s">
        <v>94</v>
      </c>
      <c r="U96" t="s">
        <v>6371</v>
      </c>
      <c r="V96" s="3">
        <v>1655.4</v>
      </c>
      <c r="W96" s="4">
        <v>1</v>
      </c>
      <c r="X96" s="2">
        <v>0.4</v>
      </c>
      <c r="Y96" s="3">
        <v>-129.93</v>
      </c>
      <c r="Z96" t="str">
        <f t="shared" si="14"/>
        <v>Normal</v>
      </c>
      <c r="AA96" t="str">
        <f t="shared" si="15"/>
        <v>High</v>
      </c>
      <c r="AB96" t="str">
        <f t="shared" si="19"/>
        <v>Loss</v>
      </c>
      <c r="AC96" s="3">
        <f t="shared" si="20"/>
        <v>-7.8488582819862263E-2</v>
      </c>
      <c r="AD96" s="3">
        <f t="shared" si="21"/>
        <v>1655.4</v>
      </c>
      <c r="AE96" s="3">
        <f t="shared" si="22"/>
        <v>-129.93</v>
      </c>
      <c r="AF96" t="str">
        <f t="shared" si="23"/>
        <v>Regular</v>
      </c>
    </row>
    <row r="97" spans="1:32" x14ac:dyDescent="0.25">
      <c r="A97" t="s">
        <v>6495</v>
      </c>
      <c r="B97" s="1">
        <v>44972</v>
      </c>
      <c r="C97" s="1">
        <v>44978</v>
      </c>
      <c r="D97" s="4">
        <f t="shared" si="12"/>
        <v>6</v>
      </c>
      <c r="E97" s="4" t="str">
        <f>TEXT(Table1[[#This Row],[Order_Date]],"dddd")</f>
        <v>Wednesday</v>
      </c>
      <c r="F97" s="4">
        <f t="shared" si="13"/>
        <v>2</v>
      </c>
      <c r="G97" t="str">
        <f t="shared" si="16"/>
        <v>February</v>
      </c>
      <c r="H97">
        <f t="shared" si="17"/>
        <v>2023</v>
      </c>
      <c r="I97" t="str">
        <f t="shared" si="18"/>
        <v>2023-Q1</v>
      </c>
      <c r="J97" t="s">
        <v>104</v>
      </c>
      <c r="K97" t="s">
        <v>6496</v>
      </c>
      <c r="L97" t="s">
        <v>6497</v>
      </c>
      <c r="M97" t="s">
        <v>36</v>
      </c>
      <c r="N97" t="s">
        <v>25</v>
      </c>
      <c r="O97" t="s">
        <v>149</v>
      </c>
      <c r="P97" t="s">
        <v>113</v>
      </c>
      <c r="Q97" t="s">
        <v>87</v>
      </c>
      <c r="R97" t="s">
        <v>6498</v>
      </c>
      <c r="S97" t="s">
        <v>59</v>
      </c>
      <c r="T97" t="s">
        <v>303</v>
      </c>
      <c r="U97" t="s">
        <v>6499</v>
      </c>
      <c r="V97" s="3">
        <v>3070.31</v>
      </c>
      <c r="W97" s="4">
        <v>9</v>
      </c>
      <c r="X97" s="2">
        <v>0</v>
      </c>
      <c r="Y97" s="3">
        <v>715.98</v>
      </c>
      <c r="Z97" t="str">
        <f t="shared" si="14"/>
        <v>Normal</v>
      </c>
      <c r="AA97" t="str">
        <f t="shared" si="15"/>
        <v>Low</v>
      </c>
      <c r="AB97" t="str">
        <f t="shared" si="19"/>
        <v>High Profit</v>
      </c>
      <c r="AC97" s="3">
        <f t="shared" si="20"/>
        <v>0.23319469369542489</v>
      </c>
      <c r="AD97" s="3">
        <f t="shared" si="21"/>
        <v>341.14555555555557</v>
      </c>
      <c r="AE97" s="3">
        <f t="shared" si="22"/>
        <v>79.553333333333342</v>
      </c>
      <c r="AF97" t="str">
        <f t="shared" si="23"/>
        <v>Regular</v>
      </c>
    </row>
    <row r="98" spans="1:32" x14ac:dyDescent="0.25">
      <c r="A98" t="s">
        <v>2423</v>
      </c>
      <c r="B98" s="1">
        <v>44973</v>
      </c>
      <c r="C98" s="1">
        <v>44981</v>
      </c>
      <c r="D98" s="4">
        <f t="shared" si="12"/>
        <v>8</v>
      </c>
      <c r="E98" s="4" t="str">
        <f>TEXT(Table1[[#This Row],[Order_Date]],"dddd")</f>
        <v>Thursday</v>
      </c>
      <c r="F98" s="4">
        <f t="shared" si="13"/>
        <v>2</v>
      </c>
      <c r="G98" t="str">
        <f t="shared" si="16"/>
        <v>February</v>
      </c>
      <c r="H98">
        <f t="shared" si="17"/>
        <v>2023</v>
      </c>
      <c r="I98" t="str">
        <f t="shared" si="18"/>
        <v>2023-Q1</v>
      </c>
      <c r="J98" t="s">
        <v>44</v>
      </c>
      <c r="K98" t="s">
        <v>2424</v>
      </c>
      <c r="L98" t="s">
        <v>2425</v>
      </c>
      <c r="M98" t="s">
        <v>36</v>
      </c>
      <c r="N98" t="s">
        <v>25</v>
      </c>
      <c r="O98" t="s">
        <v>73</v>
      </c>
      <c r="P98" t="s">
        <v>74</v>
      </c>
      <c r="Q98" t="s">
        <v>39</v>
      </c>
      <c r="R98" t="s">
        <v>2426</v>
      </c>
      <c r="S98" t="s">
        <v>59</v>
      </c>
      <c r="T98" t="s">
        <v>303</v>
      </c>
      <c r="U98" t="s">
        <v>2427</v>
      </c>
      <c r="V98" s="3">
        <v>1130.92</v>
      </c>
      <c r="W98" s="4">
        <v>2</v>
      </c>
      <c r="X98" s="2">
        <v>0</v>
      </c>
      <c r="Y98" s="3">
        <v>337.92</v>
      </c>
      <c r="Z98" t="str">
        <f t="shared" si="14"/>
        <v>Normal</v>
      </c>
      <c r="AA98" t="str">
        <f t="shared" si="15"/>
        <v>Low</v>
      </c>
      <c r="AB98" t="str">
        <f t="shared" si="19"/>
        <v>Low Profit</v>
      </c>
      <c r="AC98" s="3">
        <f t="shared" si="20"/>
        <v>0.29880097619637108</v>
      </c>
      <c r="AD98" s="3">
        <f t="shared" si="21"/>
        <v>565.46</v>
      </c>
      <c r="AE98" s="3">
        <f t="shared" si="22"/>
        <v>168.96</v>
      </c>
      <c r="AF98" t="str">
        <f t="shared" si="23"/>
        <v>Regular</v>
      </c>
    </row>
    <row r="99" spans="1:32" x14ac:dyDescent="0.25">
      <c r="A99" t="s">
        <v>5342</v>
      </c>
      <c r="B99" s="1">
        <v>44973</v>
      </c>
      <c r="C99" s="1">
        <v>44983</v>
      </c>
      <c r="D99" s="4">
        <f t="shared" si="12"/>
        <v>10</v>
      </c>
      <c r="E99" s="4" t="str">
        <f>TEXT(Table1[[#This Row],[Order_Date]],"dddd")</f>
        <v>Thursday</v>
      </c>
      <c r="F99" s="4">
        <f t="shared" si="13"/>
        <v>2</v>
      </c>
      <c r="G99" t="str">
        <f t="shared" si="16"/>
        <v>February</v>
      </c>
      <c r="H99">
        <f t="shared" si="17"/>
        <v>2023</v>
      </c>
      <c r="I99" t="str">
        <f t="shared" si="18"/>
        <v>2023-Q1</v>
      </c>
      <c r="J99" t="s">
        <v>21</v>
      </c>
      <c r="K99" t="s">
        <v>5343</v>
      </c>
      <c r="L99" t="s">
        <v>5344</v>
      </c>
      <c r="M99" t="s">
        <v>36</v>
      </c>
      <c r="N99" t="s">
        <v>25</v>
      </c>
      <c r="O99" t="s">
        <v>99</v>
      </c>
      <c r="P99" t="s">
        <v>74</v>
      </c>
      <c r="Q99" t="s">
        <v>28</v>
      </c>
      <c r="R99" t="s">
        <v>5345</v>
      </c>
      <c r="S99" t="s">
        <v>30</v>
      </c>
      <c r="T99" t="s">
        <v>41</v>
      </c>
      <c r="U99" t="s">
        <v>5346</v>
      </c>
      <c r="V99" s="3">
        <v>3407.59</v>
      </c>
      <c r="W99" s="4">
        <v>4</v>
      </c>
      <c r="X99" s="2">
        <v>0.1</v>
      </c>
      <c r="Y99" s="3">
        <v>-667.26</v>
      </c>
      <c r="Z99" t="str">
        <f t="shared" si="14"/>
        <v>Normal</v>
      </c>
      <c r="AA99" t="str">
        <f t="shared" si="15"/>
        <v>Medium</v>
      </c>
      <c r="AB99" t="str">
        <f t="shared" si="19"/>
        <v>Loss</v>
      </c>
      <c r="AC99" s="3">
        <f t="shared" si="20"/>
        <v>-0.19581581117446639</v>
      </c>
      <c r="AD99" s="3">
        <f t="shared" si="21"/>
        <v>851.89750000000004</v>
      </c>
      <c r="AE99" s="3">
        <f t="shared" si="22"/>
        <v>-166.815</v>
      </c>
      <c r="AF99" t="str">
        <f t="shared" si="23"/>
        <v>Regular</v>
      </c>
    </row>
    <row r="100" spans="1:32" x14ac:dyDescent="0.25">
      <c r="A100" t="s">
        <v>568</v>
      </c>
      <c r="B100" s="1">
        <v>44974</v>
      </c>
      <c r="C100" s="1">
        <v>44984</v>
      </c>
      <c r="D100" s="4">
        <f t="shared" si="12"/>
        <v>10</v>
      </c>
      <c r="E100" s="4" t="str">
        <f>TEXT(Table1[[#This Row],[Order_Date]],"dddd")</f>
        <v>Friday</v>
      </c>
      <c r="F100" s="4">
        <f t="shared" si="13"/>
        <v>2</v>
      </c>
      <c r="G100" t="str">
        <f t="shared" si="16"/>
        <v>February</v>
      </c>
      <c r="H100">
        <f t="shared" si="17"/>
        <v>2023</v>
      </c>
      <c r="I100" t="str">
        <f t="shared" si="18"/>
        <v>2023-Q1</v>
      </c>
      <c r="J100" t="s">
        <v>21</v>
      </c>
      <c r="K100" t="s">
        <v>569</v>
      </c>
      <c r="L100" t="s">
        <v>570</v>
      </c>
      <c r="M100" t="s">
        <v>47</v>
      </c>
      <c r="N100" t="s">
        <v>25</v>
      </c>
      <c r="O100" t="s">
        <v>179</v>
      </c>
      <c r="P100" t="s">
        <v>27</v>
      </c>
      <c r="Q100" t="s">
        <v>28</v>
      </c>
      <c r="R100" t="s">
        <v>571</v>
      </c>
      <c r="S100" t="s">
        <v>51</v>
      </c>
      <c r="T100" t="s">
        <v>52</v>
      </c>
      <c r="U100" t="s">
        <v>572</v>
      </c>
      <c r="V100" s="3">
        <v>3740.92</v>
      </c>
      <c r="W100" s="4">
        <v>10</v>
      </c>
      <c r="X100" s="2">
        <v>0</v>
      </c>
      <c r="Y100" s="3">
        <v>437.48</v>
      </c>
      <c r="Z100" t="str">
        <f t="shared" si="14"/>
        <v>Normal</v>
      </c>
      <c r="AA100" t="str">
        <f t="shared" si="15"/>
        <v>Low</v>
      </c>
      <c r="AB100" t="str">
        <f t="shared" si="19"/>
        <v>Low Profit</v>
      </c>
      <c r="AC100" s="3">
        <f t="shared" si="20"/>
        <v>0.1169444949370743</v>
      </c>
      <c r="AD100" s="3">
        <f t="shared" si="21"/>
        <v>374.09199999999998</v>
      </c>
      <c r="AE100" s="3">
        <f t="shared" si="22"/>
        <v>43.748000000000005</v>
      </c>
      <c r="AF100" t="str">
        <f t="shared" si="23"/>
        <v>Regular</v>
      </c>
    </row>
    <row r="101" spans="1:32" x14ac:dyDescent="0.25">
      <c r="A101" t="s">
        <v>4584</v>
      </c>
      <c r="B101" s="1">
        <v>44974</v>
      </c>
      <c r="C101" s="1">
        <v>44981</v>
      </c>
      <c r="D101" s="4">
        <f t="shared" si="12"/>
        <v>7</v>
      </c>
      <c r="E101" s="4" t="str">
        <f>TEXT(Table1[[#This Row],[Order_Date]],"dddd")</f>
        <v>Friday</v>
      </c>
      <c r="F101" s="4">
        <f t="shared" si="13"/>
        <v>2</v>
      </c>
      <c r="G101" t="str">
        <f t="shared" si="16"/>
        <v>February</v>
      </c>
      <c r="H101">
        <f t="shared" si="17"/>
        <v>2023</v>
      </c>
      <c r="I101" t="str">
        <f t="shared" si="18"/>
        <v>2023-Q1</v>
      </c>
      <c r="J101" t="s">
        <v>44</v>
      </c>
      <c r="K101" t="s">
        <v>4585</v>
      </c>
      <c r="L101" t="s">
        <v>4586</v>
      </c>
      <c r="M101" t="s">
        <v>24</v>
      </c>
      <c r="N101" t="s">
        <v>25</v>
      </c>
      <c r="O101" t="s">
        <v>156</v>
      </c>
      <c r="P101" t="s">
        <v>143</v>
      </c>
      <c r="Q101" t="s">
        <v>28</v>
      </c>
      <c r="R101" t="s">
        <v>4587</v>
      </c>
      <c r="S101" t="s">
        <v>51</v>
      </c>
      <c r="T101" t="s">
        <v>151</v>
      </c>
      <c r="U101" t="s">
        <v>4588</v>
      </c>
      <c r="V101" s="3">
        <v>2940.69</v>
      </c>
      <c r="W101" s="4">
        <v>3</v>
      </c>
      <c r="X101" s="2">
        <v>0</v>
      </c>
      <c r="Y101" s="3">
        <v>-284.88</v>
      </c>
      <c r="Z101" t="str">
        <f t="shared" si="14"/>
        <v>Normal</v>
      </c>
      <c r="AA101" t="str">
        <f t="shared" si="15"/>
        <v>Low</v>
      </c>
      <c r="AB101" t="str">
        <f t="shared" si="19"/>
        <v>Loss</v>
      </c>
      <c r="AC101" s="3">
        <f t="shared" si="20"/>
        <v>-9.6875223161910981E-2</v>
      </c>
      <c r="AD101" s="3">
        <f t="shared" si="21"/>
        <v>980.23</v>
      </c>
      <c r="AE101" s="3">
        <f t="shared" si="22"/>
        <v>-94.96</v>
      </c>
      <c r="AF101" t="str">
        <f t="shared" si="23"/>
        <v>Regular</v>
      </c>
    </row>
    <row r="102" spans="1:32" x14ac:dyDescent="0.25">
      <c r="A102" t="s">
        <v>3411</v>
      </c>
      <c r="B102" s="1">
        <v>44974</v>
      </c>
      <c r="C102" s="1">
        <v>44979</v>
      </c>
      <c r="D102" s="4">
        <f t="shared" si="12"/>
        <v>5</v>
      </c>
      <c r="E102" s="4" t="str">
        <f>TEXT(Table1[[#This Row],[Order_Date]],"dddd")</f>
        <v>Friday</v>
      </c>
      <c r="F102" s="4">
        <f t="shared" si="13"/>
        <v>2</v>
      </c>
      <c r="G102" t="str">
        <f t="shared" si="16"/>
        <v>February</v>
      </c>
      <c r="H102">
        <f t="shared" si="17"/>
        <v>2023</v>
      </c>
      <c r="I102" t="str">
        <f t="shared" si="18"/>
        <v>2023-Q1</v>
      </c>
      <c r="J102" t="s">
        <v>44</v>
      </c>
      <c r="K102" t="s">
        <v>3412</v>
      </c>
      <c r="L102" t="s">
        <v>3413</v>
      </c>
      <c r="M102" t="s">
        <v>36</v>
      </c>
      <c r="N102" t="s">
        <v>25</v>
      </c>
      <c r="O102" t="s">
        <v>190</v>
      </c>
      <c r="P102" t="s">
        <v>120</v>
      </c>
      <c r="Q102" t="s">
        <v>39</v>
      </c>
      <c r="R102" t="s">
        <v>3414</v>
      </c>
      <c r="S102" t="s">
        <v>30</v>
      </c>
      <c r="T102" t="s">
        <v>82</v>
      </c>
      <c r="U102" t="s">
        <v>3415</v>
      </c>
      <c r="V102" s="3">
        <v>329.73</v>
      </c>
      <c r="W102" s="4">
        <v>4</v>
      </c>
      <c r="X102" s="2">
        <v>0.1</v>
      </c>
      <c r="Y102" s="3">
        <v>49.37</v>
      </c>
      <c r="Z102" t="str">
        <f t="shared" si="14"/>
        <v>Normal</v>
      </c>
      <c r="AA102" t="str">
        <f t="shared" si="15"/>
        <v>Medium</v>
      </c>
      <c r="AB102" t="str">
        <f t="shared" si="19"/>
        <v>Low Profit</v>
      </c>
      <c r="AC102" s="3">
        <f t="shared" si="20"/>
        <v>0.14972856579625754</v>
      </c>
      <c r="AD102" s="3">
        <f t="shared" si="21"/>
        <v>82.432500000000005</v>
      </c>
      <c r="AE102" s="3">
        <f t="shared" si="22"/>
        <v>12.342499999999999</v>
      </c>
      <c r="AF102" t="str">
        <f t="shared" si="23"/>
        <v>Regular</v>
      </c>
    </row>
    <row r="103" spans="1:32" x14ac:dyDescent="0.25">
      <c r="A103" t="s">
        <v>4671</v>
      </c>
      <c r="B103" s="1">
        <v>44974</v>
      </c>
      <c r="C103" s="1">
        <v>44981</v>
      </c>
      <c r="D103" s="4">
        <f t="shared" si="12"/>
        <v>7</v>
      </c>
      <c r="E103" s="4" t="str">
        <f>TEXT(Table1[[#This Row],[Order_Date]],"dddd")</f>
        <v>Friday</v>
      </c>
      <c r="F103" s="4">
        <f t="shared" si="13"/>
        <v>2</v>
      </c>
      <c r="G103" t="str">
        <f t="shared" si="16"/>
        <v>February</v>
      </c>
      <c r="H103">
        <f t="shared" si="17"/>
        <v>2023</v>
      </c>
      <c r="I103" t="str">
        <f t="shared" si="18"/>
        <v>2023-Q1</v>
      </c>
      <c r="J103" t="s">
        <v>104</v>
      </c>
      <c r="K103" t="s">
        <v>4672</v>
      </c>
      <c r="L103" t="s">
        <v>4673</v>
      </c>
      <c r="M103" t="s">
        <v>24</v>
      </c>
      <c r="N103" t="s">
        <v>25</v>
      </c>
      <c r="O103" t="s">
        <v>80</v>
      </c>
      <c r="P103" t="s">
        <v>49</v>
      </c>
      <c r="Q103" t="s">
        <v>39</v>
      </c>
      <c r="R103" t="s">
        <v>4674</v>
      </c>
      <c r="S103" t="s">
        <v>30</v>
      </c>
      <c r="T103" t="s">
        <v>41</v>
      </c>
      <c r="U103" t="s">
        <v>4675</v>
      </c>
      <c r="V103" s="3">
        <v>3478.1</v>
      </c>
      <c r="W103" s="4">
        <v>10</v>
      </c>
      <c r="X103" s="2">
        <v>0.4</v>
      </c>
      <c r="Y103" s="3">
        <v>343.67</v>
      </c>
      <c r="Z103" t="str">
        <f t="shared" si="14"/>
        <v>Normal</v>
      </c>
      <c r="AA103" t="str">
        <f t="shared" si="15"/>
        <v>High</v>
      </c>
      <c r="AB103" t="str">
        <f t="shared" si="19"/>
        <v>Low Profit</v>
      </c>
      <c r="AC103" s="3">
        <f t="shared" si="20"/>
        <v>9.8809694948391369E-2</v>
      </c>
      <c r="AD103" s="3">
        <f t="shared" si="21"/>
        <v>347.81</v>
      </c>
      <c r="AE103" s="3">
        <f t="shared" si="22"/>
        <v>34.367000000000004</v>
      </c>
      <c r="AF103" t="str">
        <f t="shared" si="23"/>
        <v>Regular</v>
      </c>
    </row>
    <row r="104" spans="1:32" x14ac:dyDescent="0.25">
      <c r="A104" t="s">
        <v>1238</v>
      </c>
      <c r="B104" s="1">
        <v>44974</v>
      </c>
      <c r="C104" s="1">
        <v>44984</v>
      </c>
      <c r="D104" s="4">
        <f t="shared" si="12"/>
        <v>10</v>
      </c>
      <c r="E104" s="4" t="str">
        <f>TEXT(Table1[[#This Row],[Order_Date]],"dddd")</f>
        <v>Friday</v>
      </c>
      <c r="F104" s="4">
        <f t="shared" si="13"/>
        <v>2</v>
      </c>
      <c r="G104" t="str">
        <f t="shared" si="16"/>
        <v>February</v>
      </c>
      <c r="H104">
        <f t="shared" si="17"/>
        <v>2023</v>
      </c>
      <c r="I104" t="str">
        <f t="shared" si="18"/>
        <v>2023-Q1</v>
      </c>
      <c r="J104" t="s">
        <v>55</v>
      </c>
      <c r="K104" t="s">
        <v>1239</v>
      </c>
      <c r="L104" t="s">
        <v>1240</v>
      </c>
      <c r="M104" t="s">
        <v>24</v>
      </c>
      <c r="N104" t="s">
        <v>25</v>
      </c>
      <c r="O104" t="s">
        <v>149</v>
      </c>
      <c r="P104" t="s">
        <v>113</v>
      </c>
      <c r="Q104" t="s">
        <v>28</v>
      </c>
      <c r="R104" t="s">
        <v>1241</v>
      </c>
      <c r="S104" t="s">
        <v>30</v>
      </c>
      <c r="T104" t="s">
        <v>82</v>
      </c>
      <c r="U104" t="s">
        <v>1242</v>
      </c>
      <c r="V104" s="3">
        <v>2514.16</v>
      </c>
      <c r="W104" s="4">
        <v>1</v>
      </c>
      <c r="X104" s="2">
        <v>0.4</v>
      </c>
      <c r="Y104" s="3">
        <v>454.63</v>
      </c>
      <c r="Z104" t="str">
        <f t="shared" si="14"/>
        <v>Normal</v>
      </c>
      <c r="AA104" t="str">
        <f t="shared" si="15"/>
        <v>High</v>
      </c>
      <c r="AB104" t="str">
        <f t="shared" si="19"/>
        <v>Low Profit</v>
      </c>
      <c r="AC104" s="3">
        <f t="shared" si="20"/>
        <v>0.18082779138956948</v>
      </c>
      <c r="AD104" s="3">
        <f t="shared" si="21"/>
        <v>2514.16</v>
      </c>
      <c r="AE104" s="3">
        <f t="shared" si="22"/>
        <v>454.63</v>
      </c>
      <c r="AF104" t="str">
        <f t="shared" si="23"/>
        <v>Regular</v>
      </c>
    </row>
    <row r="105" spans="1:32" x14ac:dyDescent="0.25">
      <c r="A105" t="s">
        <v>3945</v>
      </c>
      <c r="B105" s="1">
        <v>44975</v>
      </c>
      <c r="C105" s="1">
        <v>44983</v>
      </c>
      <c r="D105" s="4">
        <f t="shared" si="12"/>
        <v>8</v>
      </c>
      <c r="E105" s="4" t="str">
        <f>TEXT(Table1[[#This Row],[Order_Date]],"dddd")</f>
        <v>Saturday</v>
      </c>
      <c r="F105" s="4">
        <f t="shared" si="13"/>
        <v>2</v>
      </c>
      <c r="G105" t="str">
        <f t="shared" si="16"/>
        <v>February</v>
      </c>
      <c r="H105">
        <f t="shared" si="17"/>
        <v>2023</v>
      </c>
      <c r="I105" t="str">
        <f t="shared" si="18"/>
        <v>2023-Q1</v>
      </c>
      <c r="J105" t="s">
        <v>55</v>
      </c>
      <c r="K105" t="s">
        <v>3946</v>
      </c>
      <c r="L105" t="s">
        <v>3947</v>
      </c>
      <c r="M105" t="s">
        <v>24</v>
      </c>
      <c r="N105" t="s">
        <v>25</v>
      </c>
      <c r="O105" t="s">
        <v>511</v>
      </c>
      <c r="P105" t="s">
        <v>120</v>
      </c>
      <c r="Q105" t="s">
        <v>28</v>
      </c>
      <c r="R105" t="s">
        <v>3948</v>
      </c>
      <c r="S105" t="s">
        <v>59</v>
      </c>
      <c r="T105" t="s">
        <v>303</v>
      </c>
      <c r="U105" t="s">
        <v>3949</v>
      </c>
      <c r="V105" s="3">
        <v>259.48</v>
      </c>
      <c r="W105" s="4">
        <v>2</v>
      </c>
      <c r="X105" s="2">
        <v>0.3</v>
      </c>
      <c r="Y105" s="3">
        <v>59.04</v>
      </c>
      <c r="Z105" t="str">
        <f t="shared" si="14"/>
        <v>Normal</v>
      </c>
      <c r="AA105" t="str">
        <f t="shared" si="15"/>
        <v>High</v>
      </c>
      <c r="AB105" t="str">
        <f t="shared" si="19"/>
        <v>Low Profit</v>
      </c>
      <c r="AC105" s="3">
        <f t="shared" si="20"/>
        <v>0.22753198705102512</v>
      </c>
      <c r="AD105" s="3">
        <f t="shared" si="21"/>
        <v>129.74</v>
      </c>
      <c r="AE105" s="3">
        <f t="shared" si="22"/>
        <v>29.52</v>
      </c>
      <c r="AF105" t="str">
        <f t="shared" si="23"/>
        <v>Regular</v>
      </c>
    </row>
    <row r="106" spans="1:32" x14ac:dyDescent="0.25">
      <c r="A106" t="s">
        <v>2384</v>
      </c>
      <c r="B106" s="1">
        <v>44975</v>
      </c>
      <c r="C106" s="1">
        <v>44983</v>
      </c>
      <c r="D106" s="4">
        <f t="shared" si="12"/>
        <v>8</v>
      </c>
      <c r="E106" s="4" t="str">
        <f>TEXT(Table1[[#This Row],[Order_Date]],"dddd")</f>
        <v>Saturday</v>
      </c>
      <c r="F106" s="4">
        <f t="shared" si="13"/>
        <v>2</v>
      </c>
      <c r="G106" t="str">
        <f t="shared" si="16"/>
        <v>February</v>
      </c>
      <c r="H106">
        <f t="shared" si="17"/>
        <v>2023</v>
      </c>
      <c r="I106" t="str">
        <f t="shared" si="18"/>
        <v>2023-Q1</v>
      </c>
      <c r="J106" t="s">
        <v>55</v>
      </c>
      <c r="K106" t="s">
        <v>2385</v>
      </c>
      <c r="L106" t="s">
        <v>2386</v>
      </c>
      <c r="M106" t="s">
        <v>47</v>
      </c>
      <c r="N106" t="s">
        <v>25</v>
      </c>
      <c r="O106" t="s">
        <v>26</v>
      </c>
      <c r="P106" t="s">
        <v>27</v>
      </c>
      <c r="Q106" t="s">
        <v>28</v>
      </c>
      <c r="R106" t="s">
        <v>2387</v>
      </c>
      <c r="S106" t="s">
        <v>30</v>
      </c>
      <c r="T106" t="s">
        <v>82</v>
      </c>
      <c r="U106" t="s">
        <v>2388</v>
      </c>
      <c r="V106" s="3">
        <v>3555.2</v>
      </c>
      <c r="W106" s="4">
        <v>8</v>
      </c>
      <c r="X106" s="2">
        <v>0.4</v>
      </c>
      <c r="Y106" s="3">
        <v>213.16</v>
      </c>
      <c r="Z106" t="str">
        <f t="shared" si="14"/>
        <v>Normal</v>
      </c>
      <c r="AA106" t="str">
        <f t="shared" si="15"/>
        <v>High</v>
      </c>
      <c r="AB106" t="str">
        <f t="shared" si="19"/>
        <v>Low Profit</v>
      </c>
      <c r="AC106" s="3">
        <f t="shared" si="20"/>
        <v>5.9957245724572457E-2</v>
      </c>
      <c r="AD106" s="3">
        <f t="shared" si="21"/>
        <v>444.4</v>
      </c>
      <c r="AE106" s="3">
        <f t="shared" si="22"/>
        <v>26.645</v>
      </c>
      <c r="AF106" t="str">
        <f t="shared" si="23"/>
        <v>Regular</v>
      </c>
    </row>
    <row r="107" spans="1:32" x14ac:dyDescent="0.25">
      <c r="A107" t="s">
        <v>7107</v>
      </c>
      <c r="B107" s="1">
        <v>44975</v>
      </c>
      <c r="C107" s="1">
        <v>44981</v>
      </c>
      <c r="D107" s="4">
        <f t="shared" si="12"/>
        <v>6</v>
      </c>
      <c r="E107" s="4" t="str">
        <f>TEXT(Table1[[#This Row],[Order_Date]],"dddd")</f>
        <v>Saturday</v>
      </c>
      <c r="F107" s="4">
        <f t="shared" si="13"/>
        <v>2</v>
      </c>
      <c r="G107" t="str">
        <f t="shared" si="16"/>
        <v>February</v>
      </c>
      <c r="H107">
        <f t="shared" si="17"/>
        <v>2023</v>
      </c>
      <c r="I107" t="str">
        <f t="shared" si="18"/>
        <v>2023-Q1</v>
      </c>
      <c r="J107" t="s">
        <v>44</v>
      </c>
      <c r="K107" t="s">
        <v>7108</v>
      </c>
      <c r="L107" t="s">
        <v>7109</v>
      </c>
      <c r="M107" t="s">
        <v>47</v>
      </c>
      <c r="N107" t="s">
        <v>25</v>
      </c>
      <c r="O107" t="s">
        <v>80</v>
      </c>
      <c r="P107" t="s">
        <v>49</v>
      </c>
      <c r="Q107" t="s">
        <v>39</v>
      </c>
      <c r="R107" t="s">
        <v>7110</v>
      </c>
      <c r="S107" t="s">
        <v>59</v>
      </c>
      <c r="T107" t="s">
        <v>60</v>
      </c>
      <c r="U107" t="s">
        <v>7111</v>
      </c>
      <c r="V107" s="3">
        <v>1512.62</v>
      </c>
      <c r="W107" s="4">
        <v>3</v>
      </c>
      <c r="X107" s="2">
        <v>0.1</v>
      </c>
      <c r="Y107" s="3">
        <v>68.69</v>
      </c>
      <c r="Z107" t="str">
        <f t="shared" si="14"/>
        <v>Normal</v>
      </c>
      <c r="AA107" t="str">
        <f t="shared" si="15"/>
        <v>Medium</v>
      </c>
      <c r="AB107" t="str">
        <f t="shared" si="19"/>
        <v>Low Profit</v>
      </c>
      <c r="AC107" s="3">
        <f t="shared" si="20"/>
        <v>4.5411273155187691E-2</v>
      </c>
      <c r="AD107" s="3">
        <f t="shared" si="21"/>
        <v>504.20666666666665</v>
      </c>
      <c r="AE107" s="3">
        <f t="shared" si="22"/>
        <v>22.896666666666665</v>
      </c>
      <c r="AF107" t="str">
        <f t="shared" si="23"/>
        <v>Regular</v>
      </c>
    </row>
    <row r="108" spans="1:32" x14ac:dyDescent="0.25">
      <c r="A108" t="s">
        <v>1893</v>
      </c>
      <c r="B108" s="1">
        <v>44976</v>
      </c>
      <c r="C108" s="1">
        <v>44977</v>
      </c>
      <c r="D108" s="4">
        <f t="shared" si="12"/>
        <v>1</v>
      </c>
      <c r="E108" s="4" t="str">
        <f>TEXT(Table1[[#This Row],[Order_Date]],"dddd")</f>
        <v>Sunday</v>
      </c>
      <c r="F108" s="4">
        <f t="shared" si="13"/>
        <v>2</v>
      </c>
      <c r="G108" t="str">
        <f t="shared" si="16"/>
        <v>February</v>
      </c>
      <c r="H108">
        <f t="shared" si="17"/>
        <v>2023</v>
      </c>
      <c r="I108" t="str">
        <f t="shared" si="18"/>
        <v>2023-Q1</v>
      </c>
      <c r="J108" t="s">
        <v>55</v>
      </c>
      <c r="K108" t="s">
        <v>1894</v>
      </c>
      <c r="L108" t="s">
        <v>1895</v>
      </c>
      <c r="M108" t="s">
        <v>36</v>
      </c>
      <c r="N108" t="s">
        <v>25</v>
      </c>
      <c r="O108" t="s">
        <v>65</v>
      </c>
      <c r="P108" t="s">
        <v>27</v>
      </c>
      <c r="Q108" t="s">
        <v>28</v>
      </c>
      <c r="R108" t="s">
        <v>1896</v>
      </c>
      <c r="S108" t="s">
        <v>51</v>
      </c>
      <c r="T108" t="s">
        <v>108</v>
      </c>
      <c r="U108" t="s">
        <v>832</v>
      </c>
      <c r="V108" s="3">
        <v>2302.81</v>
      </c>
      <c r="W108" s="4">
        <v>3</v>
      </c>
      <c r="X108" s="2">
        <v>0.2</v>
      </c>
      <c r="Y108" s="3">
        <v>443.25</v>
      </c>
      <c r="Z108" t="str">
        <f t="shared" si="14"/>
        <v>Normal</v>
      </c>
      <c r="AA108" t="str">
        <f t="shared" si="15"/>
        <v>High</v>
      </c>
      <c r="AB108" t="str">
        <f t="shared" si="19"/>
        <v>Low Profit</v>
      </c>
      <c r="AC108" s="3">
        <f t="shared" si="20"/>
        <v>0.19248222823420083</v>
      </c>
      <c r="AD108" s="3">
        <f t="shared" si="21"/>
        <v>767.60333333333335</v>
      </c>
      <c r="AE108" s="3">
        <f t="shared" si="22"/>
        <v>147.75</v>
      </c>
      <c r="AF108" t="str">
        <f t="shared" si="23"/>
        <v>Regular</v>
      </c>
    </row>
    <row r="109" spans="1:32" x14ac:dyDescent="0.25">
      <c r="A109" t="s">
        <v>5677</v>
      </c>
      <c r="B109" s="1">
        <v>44976</v>
      </c>
      <c r="C109" s="1">
        <v>44980</v>
      </c>
      <c r="D109" s="4">
        <f t="shared" si="12"/>
        <v>4</v>
      </c>
      <c r="E109" s="4" t="str">
        <f>TEXT(Table1[[#This Row],[Order_Date]],"dddd")</f>
        <v>Sunday</v>
      </c>
      <c r="F109" s="4">
        <f t="shared" si="13"/>
        <v>2</v>
      </c>
      <c r="G109" t="str">
        <f t="shared" si="16"/>
        <v>February</v>
      </c>
      <c r="H109">
        <f t="shared" si="17"/>
        <v>2023</v>
      </c>
      <c r="I109" t="str">
        <f t="shared" si="18"/>
        <v>2023-Q1</v>
      </c>
      <c r="J109" t="s">
        <v>55</v>
      </c>
      <c r="K109" t="s">
        <v>5678</v>
      </c>
      <c r="L109" t="s">
        <v>5679</v>
      </c>
      <c r="M109" t="s">
        <v>24</v>
      </c>
      <c r="N109" t="s">
        <v>25</v>
      </c>
      <c r="O109" t="s">
        <v>149</v>
      </c>
      <c r="P109" t="s">
        <v>113</v>
      </c>
      <c r="Q109" t="s">
        <v>87</v>
      </c>
      <c r="R109" t="s">
        <v>5680</v>
      </c>
      <c r="S109" t="s">
        <v>30</v>
      </c>
      <c r="T109" t="s">
        <v>68</v>
      </c>
      <c r="U109" t="s">
        <v>5681</v>
      </c>
      <c r="V109" s="3">
        <v>2119.84</v>
      </c>
      <c r="W109" s="4">
        <v>5</v>
      </c>
      <c r="X109" s="2">
        <v>0</v>
      </c>
      <c r="Y109" s="3">
        <v>-89.51</v>
      </c>
      <c r="Z109" t="str">
        <f t="shared" si="14"/>
        <v>Normal</v>
      </c>
      <c r="AA109" t="str">
        <f t="shared" si="15"/>
        <v>Low</v>
      </c>
      <c r="AB109" t="str">
        <f t="shared" si="19"/>
        <v>Loss</v>
      </c>
      <c r="AC109" s="3">
        <f t="shared" si="20"/>
        <v>-4.2224884896973354E-2</v>
      </c>
      <c r="AD109" s="3">
        <f t="shared" si="21"/>
        <v>423.96800000000002</v>
      </c>
      <c r="AE109" s="3">
        <f t="shared" si="22"/>
        <v>-17.902000000000001</v>
      </c>
      <c r="AF109" t="str">
        <f t="shared" si="23"/>
        <v>Regular</v>
      </c>
    </row>
    <row r="110" spans="1:32" x14ac:dyDescent="0.25">
      <c r="A110" t="s">
        <v>4184</v>
      </c>
      <c r="B110" s="1">
        <v>44977</v>
      </c>
      <c r="C110" s="1">
        <v>44984</v>
      </c>
      <c r="D110" s="4">
        <f t="shared" si="12"/>
        <v>7</v>
      </c>
      <c r="E110" s="4" t="str">
        <f>TEXT(Table1[[#This Row],[Order_Date]],"dddd")</f>
        <v>Monday</v>
      </c>
      <c r="F110" s="4">
        <f t="shared" si="13"/>
        <v>2</v>
      </c>
      <c r="G110" t="str">
        <f t="shared" si="16"/>
        <v>February</v>
      </c>
      <c r="H110">
        <f t="shared" si="17"/>
        <v>2023</v>
      </c>
      <c r="I110" t="str">
        <f t="shared" si="18"/>
        <v>2023-Q1</v>
      </c>
      <c r="J110" t="s">
        <v>44</v>
      </c>
      <c r="K110" t="s">
        <v>4185</v>
      </c>
      <c r="L110" t="s">
        <v>4186</v>
      </c>
      <c r="M110" t="s">
        <v>24</v>
      </c>
      <c r="N110" t="s">
        <v>25</v>
      </c>
      <c r="O110" t="s">
        <v>119</v>
      </c>
      <c r="P110" t="s">
        <v>120</v>
      </c>
      <c r="Q110" t="s">
        <v>39</v>
      </c>
      <c r="R110" t="s">
        <v>7403</v>
      </c>
      <c r="S110" t="s">
        <v>51</v>
      </c>
      <c r="T110" t="s">
        <v>108</v>
      </c>
      <c r="U110" t="s">
        <v>4187</v>
      </c>
      <c r="V110" s="3">
        <v>3664.17</v>
      </c>
      <c r="W110" s="4">
        <v>4</v>
      </c>
      <c r="X110" s="2">
        <v>0</v>
      </c>
      <c r="Y110" s="3">
        <v>-212.59</v>
      </c>
      <c r="Z110" t="str">
        <f t="shared" si="14"/>
        <v>Normal</v>
      </c>
      <c r="AA110" t="str">
        <f t="shared" si="15"/>
        <v>Low</v>
      </c>
      <c r="AB110" t="str">
        <f t="shared" si="19"/>
        <v>Loss</v>
      </c>
      <c r="AC110" s="3">
        <f t="shared" si="20"/>
        <v>-5.8018596298752514E-2</v>
      </c>
      <c r="AD110" s="3">
        <f t="shared" si="21"/>
        <v>916.04250000000002</v>
      </c>
      <c r="AE110" s="3">
        <f t="shared" si="22"/>
        <v>-53.147500000000001</v>
      </c>
      <c r="AF110" t="str">
        <f t="shared" si="23"/>
        <v>Regular</v>
      </c>
    </row>
    <row r="111" spans="1:32" x14ac:dyDescent="0.25">
      <c r="A111" t="s">
        <v>3342</v>
      </c>
      <c r="B111" s="1">
        <v>44977</v>
      </c>
      <c r="C111" s="1">
        <v>44986</v>
      </c>
      <c r="D111" s="4">
        <f t="shared" si="12"/>
        <v>9</v>
      </c>
      <c r="E111" s="4" t="str">
        <f>TEXT(Table1[[#This Row],[Order_Date]],"dddd")</f>
        <v>Monday</v>
      </c>
      <c r="F111" s="4">
        <f t="shared" si="13"/>
        <v>2</v>
      </c>
      <c r="G111" t="str">
        <f t="shared" si="16"/>
        <v>February</v>
      </c>
      <c r="H111">
        <f t="shared" si="17"/>
        <v>2023</v>
      </c>
      <c r="I111" t="str">
        <f t="shared" si="18"/>
        <v>2023-Q1</v>
      </c>
      <c r="J111" t="s">
        <v>104</v>
      </c>
      <c r="K111" t="s">
        <v>3343</v>
      </c>
      <c r="L111" t="s">
        <v>3344</v>
      </c>
      <c r="M111" t="s">
        <v>36</v>
      </c>
      <c r="N111" t="s">
        <v>25</v>
      </c>
      <c r="O111" t="s">
        <v>37</v>
      </c>
      <c r="P111" t="s">
        <v>38</v>
      </c>
      <c r="Q111" t="s">
        <v>87</v>
      </c>
      <c r="R111" t="s">
        <v>3345</v>
      </c>
      <c r="S111" t="s">
        <v>30</v>
      </c>
      <c r="T111" t="s">
        <v>82</v>
      </c>
      <c r="U111" t="s">
        <v>3346</v>
      </c>
      <c r="V111" s="3">
        <v>3648.72</v>
      </c>
      <c r="W111" s="4">
        <v>1</v>
      </c>
      <c r="X111" s="2">
        <v>0.4</v>
      </c>
      <c r="Y111" s="3">
        <v>-385.96</v>
      </c>
      <c r="Z111" t="str">
        <f t="shared" si="14"/>
        <v>Normal</v>
      </c>
      <c r="AA111" t="str">
        <f t="shared" si="15"/>
        <v>High</v>
      </c>
      <c r="AB111" t="str">
        <f t="shared" si="19"/>
        <v>Loss</v>
      </c>
      <c r="AC111" s="3">
        <f t="shared" si="20"/>
        <v>-0.10577956105154684</v>
      </c>
      <c r="AD111" s="3">
        <f t="shared" si="21"/>
        <v>3648.72</v>
      </c>
      <c r="AE111" s="3">
        <f t="shared" si="22"/>
        <v>-385.96</v>
      </c>
      <c r="AF111" t="str">
        <f t="shared" si="23"/>
        <v>Regular</v>
      </c>
    </row>
    <row r="112" spans="1:32" x14ac:dyDescent="0.25">
      <c r="A112" t="s">
        <v>279</v>
      </c>
      <c r="B112" s="1">
        <v>44978</v>
      </c>
      <c r="C112" s="1">
        <v>44988</v>
      </c>
      <c r="D112" s="4">
        <f t="shared" si="12"/>
        <v>10</v>
      </c>
      <c r="E112" s="4" t="str">
        <f>TEXT(Table1[[#This Row],[Order_Date]],"dddd")</f>
        <v>Tuesday</v>
      </c>
      <c r="F112" s="4">
        <f t="shared" si="13"/>
        <v>2</v>
      </c>
      <c r="G112" t="str">
        <f t="shared" si="16"/>
        <v>February</v>
      </c>
      <c r="H112">
        <f t="shared" si="17"/>
        <v>2023</v>
      </c>
      <c r="I112" t="str">
        <f t="shared" si="18"/>
        <v>2023-Q1</v>
      </c>
      <c r="J112" t="s">
        <v>55</v>
      </c>
      <c r="K112" t="s">
        <v>280</v>
      </c>
      <c r="L112" t="s">
        <v>281</v>
      </c>
      <c r="M112" t="s">
        <v>24</v>
      </c>
      <c r="N112" t="s">
        <v>25</v>
      </c>
      <c r="O112" t="s">
        <v>233</v>
      </c>
      <c r="P112" t="s">
        <v>163</v>
      </c>
      <c r="Q112" t="s">
        <v>39</v>
      </c>
      <c r="R112" t="s">
        <v>282</v>
      </c>
      <c r="S112" t="s">
        <v>30</v>
      </c>
      <c r="T112" t="s">
        <v>41</v>
      </c>
      <c r="U112" t="s">
        <v>283</v>
      </c>
      <c r="V112" s="3">
        <v>4672.51</v>
      </c>
      <c r="W112" s="4">
        <v>9</v>
      </c>
      <c r="X112" s="2">
        <v>0.3</v>
      </c>
      <c r="Y112" s="3">
        <v>1055.69</v>
      </c>
      <c r="Z112" t="str">
        <f t="shared" si="14"/>
        <v>Outlier</v>
      </c>
      <c r="AA112" t="str">
        <f t="shared" si="15"/>
        <v>High</v>
      </c>
      <c r="AB112" t="str">
        <f t="shared" si="19"/>
        <v>High Profit</v>
      </c>
      <c r="AC112" s="3">
        <f t="shared" si="20"/>
        <v>0.225936381088537</v>
      </c>
      <c r="AD112" s="3">
        <f t="shared" si="21"/>
        <v>519.16777777777781</v>
      </c>
      <c r="AE112" s="3">
        <f t="shared" si="22"/>
        <v>117.2988888888889</v>
      </c>
      <c r="AF112" t="str">
        <f t="shared" si="23"/>
        <v>Regular</v>
      </c>
    </row>
    <row r="113" spans="1:32" x14ac:dyDescent="0.25">
      <c r="A113" t="s">
        <v>1419</v>
      </c>
      <c r="B113" s="1">
        <v>44978</v>
      </c>
      <c r="C113" s="1">
        <v>44982</v>
      </c>
      <c r="D113" s="4">
        <f t="shared" si="12"/>
        <v>4</v>
      </c>
      <c r="E113" s="4" t="str">
        <f>TEXT(Table1[[#This Row],[Order_Date]],"dddd")</f>
        <v>Tuesday</v>
      </c>
      <c r="F113" s="4">
        <f t="shared" si="13"/>
        <v>2</v>
      </c>
      <c r="G113" t="str">
        <f t="shared" si="16"/>
        <v>February</v>
      </c>
      <c r="H113">
        <f t="shared" si="17"/>
        <v>2023</v>
      </c>
      <c r="I113" t="str">
        <f t="shared" si="18"/>
        <v>2023-Q1</v>
      </c>
      <c r="J113" t="s">
        <v>21</v>
      </c>
      <c r="K113" t="s">
        <v>1420</v>
      </c>
      <c r="L113" t="s">
        <v>1421</v>
      </c>
      <c r="M113" t="s">
        <v>36</v>
      </c>
      <c r="N113" t="s">
        <v>25</v>
      </c>
      <c r="O113" t="s">
        <v>382</v>
      </c>
      <c r="P113" t="s">
        <v>38</v>
      </c>
      <c r="Q113" t="s">
        <v>39</v>
      </c>
      <c r="R113" t="s">
        <v>1422</v>
      </c>
      <c r="S113" t="s">
        <v>51</v>
      </c>
      <c r="T113" t="s">
        <v>52</v>
      </c>
      <c r="U113" t="s">
        <v>1423</v>
      </c>
      <c r="V113" s="3">
        <v>358.51</v>
      </c>
      <c r="W113" s="4">
        <v>7</v>
      </c>
      <c r="X113" s="2">
        <v>0.4</v>
      </c>
      <c r="Y113" s="3">
        <v>3.02</v>
      </c>
      <c r="Z113" t="str">
        <f t="shared" si="14"/>
        <v>Normal</v>
      </c>
      <c r="AA113" t="str">
        <f t="shared" si="15"/>
        <v>High</v>
      </c>
      <c r="AB113" t="str">
        <f t="shared" si="19"/>
        <v>Low Profit</v>
      </c>
      <c r="AC113" s="3">
        <f t="shared" si="20"/>
        <v>8.4237538701849319E-3</v>
      </c>
      <c r="AD113" s="3">
        <f t="shared" si="21"/>
        <v>51.215714285714284</v>
      </c>
      <c r="AE113" s="3">
        <f t="shared" si="22"/>
        <v>0.43142857142857144</v>
      </c>
      <c r="AF113" t="str">
        <f t="shared" si="23"/>
        <v>Regular</v>
      </c>
    </row>
    <row r="114" spans="1:32" x14ac:dyDescent="0.25">
      <c r="A114" t="s">
        <v>3352</v>
      </c>
      <c r="B114" s="1">
        <v>44979</v>
      </c>
      <c r="C114" s="1">
        <v>44980</v>
      </c>
      <c r="D114" s="4">
        <f t="shared" si="12"/>
        <v>1</v>
      </c>
      <c r="E114" s="4" t="str">
        <f>TEXT(Table1[[#This Row],[Order_Date]],"dddd")</f>
        <v>Wednesday</v>
      </c>
      <c r="F114" s="4">
        <f t="shared" si="13"/>
        <v>2</v>
      </c>
      <c r="G114" t="str">
        <f t="shared" si="16"/>
        <v>February</v>
      </c>
      <c r="H114">
        <f t="shared" si="17"/>
        <v>2023</v>
      </c>
      <c r="I114" t="str">
        <f t="shared" si="18"/>
        <v>2023-Q1</v>
      </c>
      <c r="J114" t="s">
        <v>55</v>
      </c>
      <c r="K114" t="s">
        <v>3353</v>
      </c>
      <c r="L114" t="s">
        <v>3354</v>
      </c>
      <c r="M114" t="s">
        <v>36</v>
      </c>
      <c r="N114" t="s">
        <v>25</v>
      </c>
      <c r="O114" t="s">
        <v>156</v>
      </c>
      <c r="P114" t="s">
        <v>143</v>
      </c>
      <c r="Q114" t="s">
        <v>87</v>
      </c>
      <c r="R114" t="s">
        <v>3355</v>
      </c>
      <c r="S114" t="s">
        <v>30</v>
      </c>
      <c r="T114" t="s">
        <v>68</v>
      </c>
      <c r="U114" t="s">
        <v>3356</v>
      </c>
      <c r="V114" s="3">
        <v>2890.17</v>
      </c>
      <c r="W114" s="4">
        <v>10</v>
      </c>
      <c r="X114" s="2">
        <v>0.2</v>
      </c>
      <c r="Y114" s="3">
        <v>381.51</v>
      </c>
      <c r="Z114" t="str">
        <f t="shared" si="14"/>
        <v>Normal</v>
      </c>
      <c r="AA114" t="str">
        <f t="shared" si="15"/>
        <v>High</v>
      </c>
      <c r="AB114" t="str">
        <f t="shared" si="19"/>
        <v>Low Profit</v>
      </c>
      <c r="AC114" s="3">
        <f t="shared" si="20"/>
        <v>0.13200261576308658</v>
      </c>
      <c r="AD114" s="3">
        <f t="shared" si="21"/>
        <v>289.017</v>
      </c>
      <c r="AE114" s="3">
        <f t="shared" si="22"/>
        <v>38.150999999999996</v>
      </c>
      <c r="AF114" t="str">
        <f t="shared" si="23"/>
        <v>Regular</v>
      </c>
    </row>
    <row r="115" spans="1:32" x14ac:dyDescent="0.25">
      <c r="A115" t="s">
        <v>5549</v>
      </c>
      <c r="B115" s="1">
        <v>44979</v>
      </c>
      <c r="C115" s="1">
        <v>44988</v>
      </c>
      <c r="D115" s="4">
        <f t="shared" si="12"/>
        <v>9</v>
      </c>
      <c r="E115" s="4" t="str">
        <f>TEXT(Table1[[#This Row],[Order_Date]],"dddd")</f>
        <v>Wednesday</v>
      </c>
      <c r="F115" s="4">
        <f t="shared" si="13"/>
        <v>2</v>
      </c>
      <c r="G115" t="str">
        <f t="shared" si="16"/>
        <v>February</v>
      </c>
      <c r="H115">
        <f t="shared" si="17"/>
        <v>2023</v>
      </c>
      <c r="I115" t="str">
        <f t="shared" si="18"/>
        <v>2023-Q1</v>
      </c>
      <c r="J115" t="s">
        <v>55</v>
      </c>
      <c r="K115" t="s">
        <v>5550</v>
      </c>
      <c r="L115" t="s">
        <v>5551</v>
      </c>
      <c r="M115" t="s">
        <v>36</v>
      </c>
      <c r="N115" t="s">
        <v>25</v>
      </c>
      <c r="O115" t="s">
        <v>113</v>
      </c>
      <c r="P115" t="s">
        <v>113</v>
      </c>
      <c r="Q115" t="s">
        <v>87</v>
      </c>
      <c r="R115" t="s">
        <v>5552</v>
      </c>
      <c r="S115" t="s">
        <v>30</v>
      </c>
      <c r="T115" t="s">
        <v>31</v>
      </c>
      <c r="U115" t="s">
        <v>5553</v>
      </c>
      <c r="V115" s="3">
        <v>2861.53</v>
      </c>
      <c r="W115" s="4">
        <v>5</v>
      </c>
      <c r="X115" s="2">
        <v>0.2</v>
      </c>
      <c r="Y115" s="3">
        <v>-202.87</v>
      </c>
      <c r="Z115" t="str">
        <f t="shared" si="14"/>
        <v>Normal</v>
      </c>
      <c r="AA115" t="str">
        <f t="shared" si="15"/>
        <v>High</v>
      </c>
      <c r="AB115" t="str">
        <f t="shared" si="19"/>
        <v>Loss</v>
      </c>
      <c r="AC115" s="3">
        <f t="shared" si="20"/>
        <v>-7.0895639745171282E-2</v>
      </c>
      <c r="AD115" s="3">
        <f t="shared" si="21"/>
        <v>572.30600000000004</v>
      </c>
      <c r="AE115" s="3">
        <f t="shared" si="22"/>
        <v>-40.573999999999998</v>
      </c>
      <c r="AF115" t="str">
        <f t="shared" si="23"/>
        <v>Regular</v>
      </c>
    </row>
    <row r="116" spans="1:32" x14ac:dyDescent="0.25">
      <c r="A116" t="s">
        <v>1673</v>
      </c>
      <c r="B116" s="1">
        <v>44979</v>
      </c>
      <c r="C116" s="1">
        <v>44981</v>
      </c>
      <c r="D116" s="4">
        <f t="shared" si="12"/>
        <v>2</v>
      </c>
      <c r="E116" s="4" t="str">
        <f>TEXT(Table1[[#This Row],[Order_Date]],"dddd")</f>
        <v>Wednesday</v>
      </c>
      <c r="F116" s="4">
        <f t="shared" si="13"/>
        <v>2</v>
      </c>
      <c r="G116" t="str">
        <f t="shared" si="16"/>
        <v>February</v>
      </c>
      <c r="H116">
        <f t="shared" si="17"/>
        <v>2023</v>
      </c>
      <c r="I116" t="str">
        <f t="shared" si="18"/>
        <v>2023-Q1</v>
      </c>
      <c r="J116" t="s">
        <v>21</v>
      </c>
      <c r="K116" t="s">
        <v>1674</v>
      </c>
      <c r="L116" t="s">
        <v>1675</v>
      </c>
      <c r="M116" t="s">
        <v>24</v>
      </c>
      <c r="N116" t="s">
        <v>25</v>
      </c>
      <c r="O116" t="s">
        <v>162</v>
      </c>
      <c r="P116" t="s">
        <v>163</v>
      </c>
      <c r="Q116" t="s">
        <v>28</v>
      </c>
      <c r="R116" t="s">
        <v>1676</v>
      </c>
      <c r="S116" t="s">
        <v>59</v>
      </c>
      <c r="T116" t="s">
        <v>60</v>
      </c>
      <c r="U116" t="s">
        <v>1677</v>
      </c>
      <c r="V116" s="3">
        <v>4039.4</v>
      </c>
      <c r="W116" s="4">
        <v>3</v>
      </c>
      <c r="X116" s="2">
        <v>0</v>
      </c>
      <c r="Y116" s="3">
        <v>378.04</v>
      </c>
      <c r="Z116" t="str">
        <f t="shared" si="14"/>
        <v>Normal</v>
      </c>
      <c r="AA116" t="str">
        <f t="shared" si="15"/>
        <v>Low</v>
      </c>
      <c r="AB116" t="str">
        <f t="shared" si="19"/>
        <v>Low Profit</v>
      </c>
      <c r="AC116" s="3">
        <f t="shared" si="20"/>
        <v>9.3588156656929253E-2</v>
      </c>
      <c r="AD116" s="3">
        <f t="shared" si="21"/>
        <v>1346.4666666666667</v>
      </c>
      <c r="AE116" s="3">
        <f t="shared" si="22"/>
        <v>126.01333333333334</v>
      </c>
      <c r="AF116" t="str">
        <f t="shared" si="23"/>
        <v>Regular</v>
      </c>
    </row>
    <row r="117" spans="1:32" x14ac:dyDescent="0.25">
      <c r="A117" t="s">
        <v>4814</v>
      </c>
      <c r="B117" s="1">
        <v>44979</v>
      </c>
      <c r="C117" s="1">
        <v>44980</v>
      </c>
      <c r="D117" s="4">
        <f t="shared" si="12"/>
        <v>1</v>
      </c>
      <c r="E117" s="4" t="str">
        <f>TEXT(Table1[[#This Row],[Order_Date]],"dddd")</f>
        <v>Wednesday</v>
      </c>
      <c r="F117" s="4">
        <f t="shared" si="13"/>
        <v>2</v>
      </c>
      <c r="G117" t="str">
        <f t="shared" si="16"/>
        <v>February</v>
      </c>
      <c r="H117">
        <f t="shared" si="17"/>
        <v>2023</v>
      </c>
      <c r="I117" t="str">
        <f t="shared" si="18"/>
        <v>2023-Q1</v>
      </c>
      <c r="J117" t="s">
        <v>44</v>
      </c>
      <c r="K117" t="s">
        <v>4815</v>
      </c>
      <c r="L117" t="s">
        <v>4816</v>
      </c>
      <c r="M117" t="s">
        <v>36</v>
      </c>
      <c r="N117" t="s">
        <v>25</v>
      </c>
      <c r="O117" t="s">
        <v>382</v>
      </c>
      <c r="P117" t="s">
        <v>38</v>
      </c>
      <c r="Q117" t="s">
        <v>66</v>
      </c>
      <c r="R117" t="s">
        <v>4817</v>
      </c>
      <c r="S117" t="s">
        <v>59</v>
      </c>
      <c r="T117" t="s">
        <v>101</v>
      </c>
      <c r="U117" t="s">
        <v>4818</v>
      </c>
      <c r="V117" s="3">
        <v>1994.48</v>
      </c>
      <c r="W117" s="4">
        <v>8</v>
      </c>
      <c r="X117" s="2">
        <v>0.4</v>
      </c>
      <c r="Y117" s="3">
        <v>295.27</v>
      </c>
      <c r="Z117" t="str">
        <f t="shared" si="14"/>
        <v>Normal</v>
      </c>
      <c r="AA117" t="str">
        <f t="shared" si="15"/>
        <v>High</v>
      </c>
      <c r="AB117" t="str">
        <f t="shared" si="19"/>
        <v>Low Profit</v>
      </c>
      <c r="AC117" s="3">
        <f t="shared" si="20"/>
        <v>0.14804360033692993</v>
      </c>
      <c r="AD117" s="3">
        <f t="shared" si="21"/>
        <v>249.31</v>
      </c>
      <c r="AE117" s="3">
        <f t="shared" si="22"/>
        <v>36.908749999999998</v>
      </c>
      <c r="AF117" t="str">
        <f t="shared" si="23"/>
        <v>Regular</v>
      </c>
    </row>
    <row r="118" spans="1:32" x14ac:dyDescent="0.25">
      <c r="A118" t="s">
        <v>6110</v>
      </c>
      <c r="B118" s="1">
        <v>44980</v>
      </c>
      <c r="C118" s="1">
        <v>44982</v>
      </c>
      <c r="D118" s="4">
        <f t="shared" si="12"/>
        <v>2</v>
      </c>
      <c r="E118" s="4" t="str">
        <f>TEXT(Table1[[#This Row],[Order_Date]],"dddd")</f>
        <v>Thursday</v>
      </c>
      <c r="F118" s="4">
        <f t="shared" si="13"/>
        <v>2</v>
      </c>
      <c r="G118" t="str">
        <f t="shared" si="16"/>
        <v>February</v>
      </c>
      <c r="H118">
        <f t="shared" si="17"/>
        <v>2023</v>
      </c>
      <c r="I118" t="str">
        <f t="shared" si="18"/>
        <v>2023-Q1</v>
      </c>
      <c r="J118" t="s">
        <v>44</v>
      </c>
      <c r="K118" t="s">
        <v>6111</v>
      </c>
      <c r="L118" t="s">
        <v>6112</v>
      </c>
      <c r="M118" t="s">
        <v>47</v>
      </c>
      <c r="N118" t="s">
        <v>25</v>
      </c>
      <c r="O118" t="s">
        <v>26</v>
      </c>
      <c r="P118" t="s">
        <v>27</v>
      </c>
      <c r="Q118" t="s">
        <v>66</v>
      </c>
      <c r="R118" t="s">
        <v>6113</v>
      </c>
      <c r="S118" t="s">
        <v>59</v>
      </c>
      <c r="T118" t="s">
        <v>277</v>
      </c>
      <c r="U118" t="s">
        <v>6114</v>
      </c>
      <c r="V118" s="3">
        <v>1044.07</v>
      </c>
      <c r="W118" s="4">
        <v>5</v>
      </c>
      <c r="X118" s="2">
        <v>0.1</v>
      </c>
      <c r="Y118" s="3">
        <v>274.66000000000003</v>
      </c>
      <c r="Z118" t="str">
        <f t="shared" si="14"/>
        <v>Normal</v>
      </c>
      <c r="AA118" t="str">
        <f t="shared" si="15"/>
        <v>Medium</v>
      </c>
      <c r="AB118" t="str">
        <f t="shared" si="19"/>
        <v>Low Profit</v>
      </c>
      <c r="AC118" s="3">
        <f t="shared" si="20"/>
        <v>0.2630666526190773</v>
      </c>
      <c r="AD118" s="3">
        <f t="shared" si="21"/>
        <v>208.81399999999999</v>
      </c>
      <c r="AE118" s="3">
        <f t="shared" si="22"/>
        <v>54.932000000000002</v>
      </c>
      <c r="AF118" t="str">
        <f t="shared" si="23"/>
        <v>Regular</v>
      </c>
    </row>
    <row r="119" spans="1:32" x14ac:dyDescent="0.25">
      <c r="A119" t="s">
        <v>6480</v>
      </c>
      <c r="B119" s="1">
        <v>44980</v>
      </c>
      <c r="C119" s="1">
        <v>44983</v>
      </c>
      <c r="D119" s="4">
        <f t="shared" si="12"/>
        <v>3</v>
      </c>
      <c r="E119" s="4" t="str">
        <f>TEXT(Table1[[#This Row],[Order_Date]],"dddd")</f>
        <v>Thursday</v>
      </c>
      <c r="F119" s="4">
        <f t="shared" si="13"/>
        <v>2</v>
      </c>
      <c r="G119" t="str">
        <f t="shared" si="16"/>
        <v>February</v>
      </c>
      <c r="H119">
        <f t="shared" si="17"/>
        <v>2023</v>
      </c>
      <c r="I119" t="str">
        <f t="shared" si="18"/>
        <v>2023-Q1</v>
      </c>
      <c r="J119" t="s">
        <v>55</v>
      </c>
      <c r="K119" t="s">
        <v>6481</v>
      </c>
      <c r="L119" t="s">
        <v>6482</v>
      </c>
      <c r="M119" t="s">
        <v>36</v>
      </c>
      <c r="N119" t="s">
        <v>25</v>
      </c>
      <c r="O119" t="s">
        <v>48</v>
      </c>
      <c r="P119" t="s">
        <v>49</v>
      </c>
      <c r="Q119" t="s">
        <v>66</v>
      </c>
      <c r="R119" t="s">
        <v>6483</v>
      </c>
      <c r="S119" t="s">
        <v>51</v>
      </c>
      <c r="T119" t="s">
        <v>94</v>
      </c>
      <c r="U119" t="s">
        <v>6484</v>
      </c>
      <c r="V119" s="3">
        <v>3102.17</v>
      </c>
      <c r="W119" s="4">
        <v>9</v>
      </c>
      <c r="X119" s="2">
        <v>0.4</v>
      </c>
      <c r="Y119" s="3">
        <v>386.3</v>
      </c>
      <c r="Z119" t="str">
        <f t="shared" si="14"/>
        <v>Normal</v>
      </c>
      <c r="AA119" t="str">
        <f t="shared" si="15"/>
        <v>High</v>
      </c>
      <c r="AB119" t="str">
        <f t="shared" si="19"/>
        <v>Low Profit</v>
      </c>
      <c r="AC119" s="3">
        <f t="shared" si="20"/>
        <v>0.12452573521115864</v>
      </c>
      <c r="AD119" s="3">
        <f t="shared" si="21"/>
        <v>344.68555555555554</v>
      </c>
      <c r="AE119" s="3">
        <f t="shared" si="22"/>
        <v>42.922222222222224</v>
      </c>
      <c r="AF119" t="str">
        <f t="shared" si="23"/>
        <v>Regular</v>
      </c>
    </row>
    <row r="120" spans="1:32" x14ac:dyDescent="0.25">
      <c r="A120" t="s">
        <v>4342</v>
      </c>
      <c r="B120" s="1">
        <v>44981</v>
      </c>
      <c r="C120" s="1">
        <v>44982</v>
      </c>
      <c r="D120" s="4">
        <f t="shared" si="12"/>
        <v>1</v>
      </c>
      <c r="E120" s="4" t="str">
        <f>TEXT(Table1[[#This Row],[Order_Date]],"dddd")</f>
        <v>Friday</v>
      </c>
      <c r="F120" s="4">
        <f t="shared" si="13"/>
        <v>2</v>
      </c>
      <c r="G120" t="str">
        <f t="shared" si="16"/>
        <v>February</v>
      </c>
      <c r="H120">
        <f t="shared" si="17"/>
        <v>2023</v>
      </c>
      <c r="I120" t="str">
        <f t="shared" si="18"/>
        <v>2023-Q1</v>
      </c>
      <c r="J120" t="s">
        <v>104</v>
      </c>
      <c r="K120" t="s">
        <v>4343</v>
      </c>
      <c r="L120" t="s">
        <v>4344</v>
      </c>
      <c r="M120" t="s">
        <v>36</v>
      </c>
      <c r="N120" t="s">
        <v>25</v>
      </c>
      <c r="O120" t="s">
        <v>119</v>
      </c>
      <c r="P120" t="s">
        <v>120</v>
      </c>
      <c r="Q120" t="s">
        <v>39</v>
      </c>
      <c r="R120" t="s">
        <v>4345</v>
      </c>
      <c r="S120" t="s">
        <v>51</v>
      </c>
      <c r="T120" t="s">
        <v>108</v>
      </c>
      <c r="U120" t="s">
        <v>4346</v>
      </c>
      <c r="V120" s="3">
        <v>3578.14</v>
      </c>
      <c r="W120" s="4">
        <v>8</v>
      </c>
      <c r="X120" s="2">
        <v>0</v>
      </c>
      <c r="Y120" s="3">
        <v>975.93</v>
      </c>
      <c r="Z120" t="str">
        <f t="shared" si="14"/>
        <v>Normal</v>
      </c>
      <c r="AA120" t="str">
        <f t="shared" si="15"/>
        <v>Low</v>
      </c>
      <c r="AB120" t="str">
        <f t="shared" si="19"/>
        <v>High Profit</v>
      </c>
      <c r="AC120" s="3">
        <f t="shared" si="20"/>
        <v>0.27274785223607795</v>
      </c>
      <c r="AD120" s="3">
        <f t="shared" si="21"/>
        <v>447.26749999999998</v>
      </c>
      <c r="AE120" s="3">
        <f t="shared" si="22"/>
        <v>121.99124999999999</v>
      </c>
      <c r="AF120" t="str">
        <f t="shared" si="23"/>
        <v>Regular</v>
      </c>
    </row>
    <row r="121" spans="1:32" x14ac:dyDescent="0.25">
      <c r="A121" t="s">
        <v>6970</v>
      </c>
      <c r="B121" s="1">
        <v>44981</v>
      </c>
      <c r="C121" s="1">
        <v>44989</v>
      </c>
      <c r="D121" s="4">
        <f t="shared" si="12"/>
        <v>8</v>
      </c>
      <c r="E121" s="4" t="str">
        <f>TEXT(Table1[[#This Row],[Order_Date]],"dddd")</f>
        <v>Friday</v>
      </c>
      <c r="F121" s="4">
        <f t="shared" si="13"/>
        <v>2</v>
      </c>
      <c r="G121" t="str">
        <f t="shared" si="16"/>
        <v>February</v>
      </c>
      <c r="H121">
        <f t="shared" si="17"/>
        <v>2023</v>
      </c>
      <c r="I121" t="str">
        <f t="shared" si="18"/>
        <v>2023-Q1</v>
      </c>
      <c r="J121" t="s">
        <v>44</v>
      </c>
      <c r="K121" t="s">
        <v>6971</v>
      </c>
      <c r="L121" t="s">
        <v>6972</v>
      </c>
      <c r="M121" t="s">
        <v>47</v>
      </c>
      <c r="N121" t="s">
        <v>25</v>
      </c>
      <c r="O121" t="s">
        <v>119</v>
      </c>
      <c r="P121" t="s">
        <v>120</v>
      </c>
      <c r="Q121" t="s">
        <v>39</v>
      </c>
      <c r="R121" t="s">
        <v>6973</v>
      </c>
      <c r="S121" t="s">
        <v>59</v>
      </c>
      <c r="T121" t="s">
        <v>303</v>
      </c>
      <c r="U121" t="s">
        <v>6974</v>
      </c>
      <c r="V121" s="3">
        <v>2445.6999999999998</v>
      </c>
      <c r="W121" s="4">
        <v>10</v>
      </c>
      <c r="X121" s="2">
        <v>0.1</v>
      </c>
      <c r="Y121" s="3">
        <v>-47.84</v>
      </c>
      <c r="Z121" t="str">
        <f t="shared" si="14"/>
        <v>Normal</v>
      </c>
      <c r="AA121" t="str">
        <f t="shared" si="15"/>
        <v>Medium</v>
      </c>
      <c r="AB121" t="str">
        <f t="shared" si="19"/>
        <v>Loss</v>
      </c>
      <c r="AC121" s="3">
        <f t="shared" si="20"/>
        <v>-1.9560861920922438E-2</v>
      </c>
      <c r="AD121" s="3">
        <f t="shared" si="21"/>
        <v>244.57</v>
      </c>
      <c r="AE121" s="3">
        <f t="shared" si="22"/>
        <v>-4.7840000000000007</v>
      </c>
      <c r="AF121" t="str">
        <f t="shared" si="23"/>
        <v>Regular</v>
      </c>
    </row>
    <row r="122" spans="1:32" x14ac:dyDescent="0.25">
      <c r="A122" t="s">
        <v>4696</v>
      </c>
      <c r="B122" s="1">
        <v>44981</v>
      </c>
      <c r="C122" s="1">
        <v>44991</v>
      </c>
      <c r="D122" s="4">
        <f t="shared" si="12"/>
        <v>10</v>
      </c>
      <c r="E122" s="4" t="str">
        <f>TEXT(Table1[[#This Row],[Order_Date]],"dddd")</f>
        <v>Friday</v>
      </c>
      <c r="F122" s="4">
        <f t="shared" si="13"/>
        <v>2</v>
      </c>
      <c r="G122" t="str">
        <f t="shared" si="16"/>
        <v>February</v>
      </c>
      <c r="H122">
        <f t="shared" si="17"/>
        <v>2023</v>
      </c>
      <c r="I122" t="str">
        <f t="shared" si="18"/>
        <v>2023-Q1</v>
      </c>
      <c r="J122" t="s">
        <v>44</v>
      </c>
      <c r="K122" t="s">
        <v>4697</v>
      </c>
      <c r="L122" t="s">
        <v>4698</v>
      </c>
      <c r="M122" t="s">
        <v>47</v>
      </c>
      <c r="N122" t="s">
        <v>25</v>
      </c>
      <c r="O122" t="s">
        <v>80</v>
      </c>
      <c r="P122" t="s">
        <v>49</v>
      </c>
      <c r="Q122" t="s">
        <v>66</v>
      </c>
      <c r="R122" t="s">
        <v>4699</v>
      </c>
      <c r="S122" t="s">
        <v>59</v>
      </c>
      <c r="T122" t="s">
        <v>60</v>
      </c>
      <c r="U122" t="s">
        <v>4700</v>
      </c>
      <c r="V122" s="3">
        <v>2229.63</v>
      </c>
      <c r="W122" s="4">
        <v>9</v>
      </c>
      <c r="X122" s="2">
        <v>0</v>
      </c>
      <c r="Y122" s="3">
        <v>-276.97000000000003</v>
      </c>
      <c r="Z122" t="str">
        <f t="shared" si="14"/>
        <v>Normal</v>
      </c>
      <c r="AA122" t="str">
        <f t="shared" si="15"/>
        <v>Low</v>
      </c>
      <c r="AB122" t="str">
        <f t="shared" si="19"/>
        <v>Loss</v>
      </c>
      <c r="AC122" s="3">
        <f t="shared" si="20"/>
        <v>-0.1242224046142185</v>
      </c>
      <c r="AD122" s="3">
        <f t="shared" si="21"/>
        <v>247.73666666666668</v>
      </c>
      <c r="AE122" s="3">
        <f t="shared" si="22"/>
        <v>-30.774444444444448</v>
      </c>
      <c r="AF122" t="str">
        <f t="shared" si="23"/>
        <v>Regular</v>
      </c>
    </row>
    <row r="123" spans="1:32" x14ac:dyDescent="0.25">
      <c r="A123" t="s">
        <v>103</v>
      </c>
      <c r="B123" s="1">
        <v>44981</v>
      </c>
      <c r="C123" s="1">
        <v>44982</v>
      </c>
      <c r="D123" s="4">
        <f t="shared" si="12"/>
        <v>1</v>
      </c>
      <c r="E123" s="4" t="str">
        <f>TEXT(Table1[[#This Row],[Order_Date]],"dddd")</f>
        <v>Friday</v>
      </c>
      <c r="F123" s="4">
        <f t="shared" si="13"/>
        <v>2</v>
      </c>
      <c r="G123" t="str">
        <f t="shared" si="16"/>
        <v>February</v>
      </c>
      <c r="H123">
        <f t="shared" si="17"/>
        <v>2023</v>
      </c>
      <c r="I123" t="str">
        <f t="shared" si="18"/>
        <v>2023-Q1</v>
      </c>
      <c r="J123" t="s">
        <v>104</v>
      </c>
      <c r="K123" t="s">
        <v>105</v>
      </c>
      <c r="L123" t="s">
        <v>106</v>
      </c>
      <c r="M123" t="s">
        <v>36</v>
      </c>
      <c r="N123" t="s">
        <v>25</v>
      </c>
      <c r="O123" t="s">
        <v>48</v>
      </c>
      <c r="P123" t="s">
        <v>49</v>
      </c>
      <c r="Q123" t="s">
        <v>87</v>
      </c>
      <c r="R123" t="s">
        <v>107</v>
      </c>
      <c r="S123" t="s">
        <v>51</v>
      </c>
      <c r="T123" t="s">
        <v>108</v>
      </c>
      <c r="U123" t="s">
        <v>109</v>
      </c>
      <c r="V123" s="3">
        <v>3836.54</v>
      </c>
      <c r="W123" s="4">
        <v>4</v>
      </c>
      <c r="X123" s="2">
        <v>0.1</v>
      </c>
      <c r="Y123" s="3">
        <v>-575.22</v>
      </c>
      <c r="Z123" t="str">
        <f t="shared" si="14"/>
        <v>Normal</v>
      </c>
      <c r="AA123" t="str">
        <f t="shared" si="15"/>
        <v>Medium</v>
      </c>
      <c r="AB123" t="str">
        <f t="shared" si="19"/>
        <v>Loss</v>
      </c>
      <c r="AC123" s="3">
        <f t="shared" si="20"/>
        <v>-0.14993196995209226</v>
      </c>
      <c r="AD123" s="3">
        <f t="shared" si="21"/>
        <v>959.13499999999999</v>
      </c>
      <c r="AE123" s="3">
        <f t="shared" si="22"/>
        <v>-143.80500000000001</v>
      </c>
      <c r="AF123" t="str">
        <f t="shared" si="23"/>
        <v>Regular</v>
      </c>
    </row>
    <row r="124" spans="1:32" x14ac:dyDescent="0.25">
      <c r="A124" t="s">
        <v>4882</v>
      </c>
      <c r="B124" s="1">
        <v>44982</v>
      </c>
      <c r="C124" s="1">
        <v>44988</v>
      </c>
      <c r="D124" s="4">
        <f t="shared" si="12"/>
        <v>6</v>
      </c>
      <c r="E124" s="4" t="str">
        <f>TEXT(Table1[[#This Row],[Order_Date]],"dddd")</f>
        <v>Saturday</v>
      </c>
      <c r="F124" s="4">
        <f t="shared" si="13"/>
        <v>2</v>
      </c>
      <c r="G124" t="str">
        <f t="shared" si="16"/>
        <v>February</v>
      </c>
      <c r="H124">
        <f t="shared" si="17"/>
        <v>2023</v>
      </c>
      <c r="I124" t="str">
        <f t="shared" si="18"/>
        <v>2023-Q1</v>
      </c>
      <c r="J124" t="s">
        <v>104</v>
      </c>
      <c r="K124" t="s">
        <v>4883</v>
      </c>
      <c r="L124" t="s">
        <v>4884</v>
      </c>
      <c r="M124" t="s">
        <v>47</v>
      </c>
      <c r="N124" t="s">
        <v>25</v>
      </c>
      <c r="O124" t="s">
        <v>511</v>
      </c>
      <c r="P124" t="s">
        <v>120</v>
      </c>
      <c r="Q124" t="s">
        <v>28</v>
      </c>
      <c r="R124" t="s">
        <v>4885</v>
      </c>
      <c r="S124" t="s">
        <v>51</v>
      </c>
      <c r="T124" t="s">
        <v>108</v>
      </c>
      <c r="U124" t="s">
        <v>4886</v>
      </c>
      <c r="V124" s="3">
        <v>3192.43</v>
      </c>
      <c r="W124" s="4">
        <v>1</v>
      </c>
      <c r="X124" s="2">
        <v>0.4</v>
      </c>
      <c r="Y124" s="3">
        <v>-190.64</v>
      </c>
      <c r="Z124" t="str">
        <f t="shared" si="14"/>
        <v>Normal</v>
      </c>
      <c r="AA124" t="str">
        <f t="shared" si="15"/>
        <v>High</v>
      </c>
      <c r="AB124" t="str">
        <f t="shared" si="19"/>
        <v>Loss</v>
      </c>
      <c r="AC124" s="3">
        <f t="shared" si="20"/>
        <v>-5.971626629244807E-2</v>
      </c>
      <c r="AD124" s="3">
        <f t="shared" si="21"/>
        <v>3192.43</v>
      </c>
      <c r="AE124" s="3">
        <f t="shared" si="22"/>
        <v>-190.64</v>
      </c>
      <c r="AF124" t="str">
        <f t="shared" si="23"/>
        <v>Regular</v>
      </c>
    </row>
    <row r="125" spans="1:32" x14ac:dyDescent="0.25">
      <c r="A125" t="s">
        <v>494</v>
      </c>
      <c r="B125" s="1">
        <v>44983</v>
      </c>
      <c r="C125" s="1">
        <v>44992</v>
      </c>
      <c r="D125" s="4">
        <f t="shared" si="12"/>
        <v>9</v>
      </c>
      <c r="E125" s="4" t="str">
        <f>TEXT(Table1[[#This Row],[Order_Date]],"dddd")</f>
        <v>Sunday</v>
      </c>
      <c r="F125" s="4">
        <f t="shared" si="13"/>
        <v>2</v>
      </c>
      <c r="G125" t="str">
        <f t="shared" si="16"/>
        <v>February</v>
      </c>
      <c r="H125">
        <f t="shared" si="17"/>
        <v>2023</v>
      </c>
      <c r="I125" t="str">
        <f t="shared" si="18"/>
        <v>2023-Q1</v>
      </c>
      <c r="J125" t="s">
        <v>21</v>
      </c>
      <c r="K125" t="s">
        <v>7402</v>
      </c>
      <c r="L125" t="s">
        <v>495</v>
      </c>
      <c r="M125" t="s">
        <v>24</v>
      </c>
      <c r="N125" t="s">
        <v>25</v>
      </c>
      <c r="O125" t="s">
        <v>65</v>
      </c>
      <c r="P125" t="s">
        <v>27</v>
      </c>
      <c r="Q125" t="s">
        <v>66</v>
      </c>
      <c r="R125" t="s">
        <v>496</v>
      </c>
      <c r="S125" t="s">
        <v>30</v>
      </c>
      <c r="T125" t="s">
        <v>41</v>
      </c>
      <c r="U125" t="s">
        <v>497</v>
      </c>
      <c r="V125" s="3">
        <v>1546.26</v>
      </c>
      <c r="W125" s="4">
        <v>7</v>
      </c>
      <c r="X125" s="2">
        <v>0.2</v>
      </c>
      <c r="Y125" s="3">
        <v>-188.86</v>
      </c>
      <c r="Z125" t="str">
        <f t="shared" si="14"/>
        <v>Normal</v>
      </c>
      <c r="AA125" t="str">
        <f t="shared" si="15"/>
        <v>High</v>
      </c>
      <c r="AB125" t="str">
        <f t="shared" si="19"/>
        <v>Loss</v>
      </c>
      <c r="AC125" s="3">
        <f t="shared" si="20"/>
        <v>-0.1221398729838449</v>
      </c>
      <c r="AD125" s="3">
        <f t="shared" si="21"/>
        <v>220.8942857142857</v>
      </c>
      <c r="AE125" s="3">
        <f t="shared" si="22"/>
        <v>-26.98</v>
      </c>
      <c r="AF125" t="str">
        <f t="shared" si="23"/>
        <v>Regular</v>
      </c>
    </row>
    <row r="126" spans="1:32" x14ac:dyDescent="0.25">
      <c r="A126" t="s">
        <v>6871</v>
      </c>
      <c r="B126" s="1">
        <v>44983</v>
      </c>
      <c r="C126" s="1">
        <v>44985</v>
      </c>
      <c r="D126" s="4">
        <f t="shared" si="12"/>
        <v>2</v>
      </c>
      <c r="E126" s="4" t="str">
        <f>TEXT(Table1[[#This Row],[Order_Date]],"dddd")</f>
        <v>Sunday</v>
      </c>
      <c r="F126" s="4">
        <f t="shared" si="13"/>
        <v>2</v>
      </c>
      <c r="G126" t="str">
        <f t="shared" si="16"/>
        <v>February</v>
      </c>
      <c r="H126">
        <f t="shared" si="17"/>
        <v>2023</v>
      </c>
      <c r="I126" t="str">
        <f t="shared" si="18"/>
        <v>2023-Q1</v>
      </c>
      <c r="J126" t="s">
        <v>44</v>
      </c>
      <c r="K126" t="s">
        <v>6872</v>
      </c>
      <c r="L126" t="s">
        <v>6873</v>
      </c>
      <c r="M126" t="s">
        <v>47</v>
      </c>
      <c r="N126" t="s">
        <v>25</v>
      </c>
      <c r="O126" t="s">
        <v>244</v>
      </c>
      <c r="P126" t="s">
        <v>163</v>
      </c>
      <c r="Q126" t="s">
        <v>39</v>
      </c>
      <c r="R126" t="s">
        <v>6874</v>
      </c>
      <c r="S126" t="s">
        <v>30</v>
      </c>
      <c r="T126" t="s">
        <v>82</v>
      </c>
      <c r="U126" t="s">
        <v>6875</v>
      </c>
      <c r="V126" s="3">
        <v>2037.12</v>
      </c>
      <c r="W126" s="4">
        <v>7</v>
      </c>
      <c r="X126" s="2">
        <v>0.4</v>
      </c>
      <c r="Y126" s="3">
        <v>-320.26</v>
      </c>
      <c r="Z126" t="str">
        <f t="shared" si="14"/>
        <v>Normal</v>
      </c>
      <c r="AA126" t="str">
        <f t="shared" si="15"/>
        <v>High</v>
      </c>
      <c r="AB126" t="str">
        <f t="shared" si="19"/>
        <v>Loss</v>
      </c>
      <c r="AC126" s="3">
        <f t="shared" si="20"/>
        <v>-0.15721214263273642</v>
      </c>
      <c r="AD126" s="3">
        <f t="shared" si="21"/>
        <v>291.01714285714286</v>
      </c>
      <c r="AE126" s="3">
        <f t="shared" si="22"/>
        <v>-45.751428571428569</v>
      </c>
      <c r="AF126" t="str">
        <f t="shared" si="23"/>
        <v>Regular</v>
      </c>
    </row>
    <row r="127" spans="1:32" x14ac:dyDescent="0.25">
      <c r="A127" t="s">
        <v>5188</v>
      </c>
      <c r="B127" s="1">
        <v>44985</v>
      </c>
      <c r="C127" s="1">
        <f>B127+5</f>
        <v>44990</v>
      </c>
      <c r="D127" s="4">
        <f t="shared" si="12"/>
        <v>5</v>
      </c>
      <c r="E127" s="4" t="str">
        <f>TEXT(Table1[[#This Row],[Order_Date]],"dddd")</f>
        <v>Tuesday</v>
      </c>
      <c r="F127" s="4">
        <f t="shared" si="13"/>
        <v>2</v>
      </c>
      <c r="G127" t="str">
        <f t="shared" si="16"/>
        <v>February</v>
      </c>
      <c r="H127">
        <f t="shared" si="17"/>
        <v>2023</v>
      </c>
      <c r="I127" t="str">
        <f t="shared" si="18"/>
        <v>2023-Q1</v>
      </c>
      <c r="J127" t="s">
        <v>104</v>
      </c>
      <c r="K127" t="s">
        <v>5189</v>
      </c>
      <c r="L127" t="s">
        <v>5190</v>
      </c>
      <c r="M127" t="s">
        <v>24</v>
      </c>
      <c r="N127" t="s">
        <v>25</v>
      </c>
      <c r="O127" t="s">
        <v>73</v>
      </c>
      <c r="P127" t="s">
        <v>74</v>
      </c>
      <c r="Q127" t="s">
        <v>39</v>
      </c>
      <c r="R127" t="s">
        <v>5191</v>
      </c>
      <c r="S127" t="s">
        <v>51</v>
      </c>
      <c r="T127" t="s">
        <v>127</v>
      </c>
      <c r="U127" t="s">
        <v>5192</v>
      </c>
      <c r="V127" s="3">
        <v>3391.62</v>
      </c>
      <c r="W127" s="4">
        <v>2</v>
      </c>
      <c r="X127" s="2">
        <v>0</v>
      </c>
      <c r="Y127" s="3">
        <v>458</v>
      </c>
      <c r="Z127" t="str">
        <f t="shared" si="14"/>
        <v>Normal</v>
      </c>
      <c r="AA127" t="str">
        <f t="shared" si="15"/>
        <v>Low</v>
      </c>
      <c r="AB127" t="str">
        <f t="shared" si="19"/>
        <v>Low Profit</v>
      </c>
      <c r="AC127" s="3">
        <f t="shared" si="20"/>
        <v>0.13503871306337384</v>
      </c>
      <c r="AD127" s="3">
        <f t="shared" si="21"/>
        <v>1695.81</v>
      </c>
      <c r="AE127" s="3">
        <f t="shared" si="22"/>
        <v>229</v>
      </c>
      <c r="AF127" t="str">
        <f t="shared" si="23"/>
        <v>Regular</v>
      </c>
    </row>
    <row r="128" spans="1:32" x14ac:dyDescent="0.25">
      <c r="A128" t="s">
        <v>6490</v>
      </c>
      <c r="B128" s="1">
        <v>44985</v>
      </c>
      <c r="C128" s="1">
        <v>44989</v>
      </c>
      <c r="D128" s="4">
        <f t="shared" si="12"/>
        <v>4</v>
      </c>
      <c r="E128" s="4" t="str">
        <f>TEXT(Table1[[#This Row],[Order_Date]],"dddd")</f>
        <v>Tuesday</v>
      </c>
      <c r="F128" s="4">
        <f t="shared" si="13"/>
        <v>2</v>
      </c>
      <c r="G128" t="str">
        <f t="shared" si="16"/>
        <v>February</v>
      </c>
      <c r="H128">
        <f t="shared" si="17"/>
        <v>2023</v>
      </c>
      <c r="I128" t="str">
        <f t="shared" si="18"/>
        <v>2023-Q1</v>
      </c>
      <c r="J128" t="s">
        <v>104</v>
      </c>
      <c r="K128" t="s">
        <v>6491</v>
      </c>
      <c r="L128" t="s">
        <v>6492</v>
      </c>
      <c r="M128" t="s">
        <v>47</v>
      </c>
      <c r="N128" t="s">
        <v>25</v>
      </c>
      <c r="O128" t="s">
        <v>179</v>
      </c>
      <c r="P128" t="s">
        <v>27</v>
      </c>
      <c r="Q128" t="s">
        <v>28</v>
      </c>
      <c r="R128" t="s">
        <v>6493</v>
      </c>
      <c r="S128" t="s">
        <v>59</v>
      </c>
      <c r="T128" t="s">
        <v>277</v>
      </c>
      <c r="U128" t="s">
        <v>6494</v>
      </c>
      <c r="V128" s="3">
        <v>2397.8000000000002</v>
      </c>
      <c r="W128" s="4">
        <v>4</v>
      </c>
      <c r="X128" s="2">
        <v>0.3</v>
      </c>
      <c r="Y128" s="3">
        <v>382.17</v>
      </c>
      <c r="Z128" t="str">
        <f t="shared" si="14"/>
        <v>Normal</v>
      </c>
      <c r="AA128" t="str">
        <f t="shared" si="15"/>
        <v>High</v>
      </c>
      <c r="AB128" t="str">
        <f t="shared" si="19"/>
        <v>Low Profit</v>
      </c>
      <c r="AC128" s="3">
        <f t="shared" si="20"/>
        <v>0.15938360163483192</v>
      </c>
      <c r="AD128" s="3">
        <f t="shared" si="21"/>
        <v>599.45000000000005</v>
      </c>
      <c r="AE128" s="3">
        <f t="shared" si="22"/>
        <v>95.542500000000004</v>
      </c>
      <c r="AF128" t="str">
        <f t="shared" si="23"/>
        <v>Regular</v>
      </c>
    </row>
    <row r="129" spans="1:32" x14ac:dyDescent="0.25">
      <c r="A129" t="s">
        <v>5178</v>
      </c>
      <c r="B129" s="1">
        <v>44985</v>
      </c>
      <c r="C129" s="1">
        <v>44993</v>
      </c>
      <c r="D129" s="4">
        <f t="shared" si="12"/>
        <v>8</v>
      </c>
      <c r="E129" s="4" t="str">
        <f>TEXT(Table1[[#This Row],[Order_Date]],"dddd")</f>
        <v>Tuesday</v>
      </c>
      <c r="F129" s="4">
        <f t="shared" si="13"/>
        <v>2</v>
      </c>
      <c r="G129" t="str">
        <f t="shared" si="16"/>
        <v>February</v>
      </c>
      <c r="H129">
        <f t="shared" si="17"/>
        <v>2023</v>
      </c>
      <c r="I129" t="str">
        <f t="shared" si="18"/>
        <v>2023-Q1</v>
      </c>
      <c r="J129" t="s">
        <v>104</v>
      </c>
      <c r="K129" t="s">
        <v>5179</v>
      </c>
      <c r="L129" t="s">
        <v>5180</v>
      </c>
      <c r="M129" t="s">
        <v>24</v>
      </c>
      <c r="N129" t="s">
        <v>25</v>
      </c>
      <c r="O129" t="s">
        <v>119</v>
      </c>
      <c r="P129" t="s">
        <v>120</v>
      </c>
      <c r="Q129" t="s">
        <v>28</v>
      </c>
      <c r="R129" t="s">
        <v>5181</v>
      </c>
      <c r="S129" t="s">
        <v>30</v>
      </c>
      <c r="T129" t="s">
        <v>68</v>
      </c>
      <c r="U129" t="s">
        <v>5182</v>
      </c>
      <c r="V129" s="3">
        <v>3243.68</v>
      </c>
      <c r="W129" s="4">
        <v>7</v>
      </c>
      <c r="X129" s="2">
        <v>0</v>
      </c>
      <c r="Y129" s="3">
        <v>-37.65</v>
      </c>
      <c r="Z129" t="str">
        <f t="shared" si="14"/>
        <v>Normal</v>
      </c>
      <c r="AA129" t="str">
        <f t="shared" si="15"/>
        <v>Low</v>
      </c>
      <c r="AB129" t="str">
        <f t="shared" si="19"/>
        <v>Loss</v>
      </c>
      <c r="AC129" s="3">
        <f t="shared" si="20"/>
        <v>-1.1607186898830958E-2</v>
      </c>
      <c r="AD129" s="3">
        <f t="shared" si="21"/>
        <v>463.38285714285712</v>
      </c>
      <c r="AE129" s="3">
        <f t="shared" si="22"/>
        <v>-5.3785714285714281</v>
      </c>
      <c r="AF129" t="str">
        <f t="shared" si="23"/>
        <v>Regular</v>
      </c>
    </row>
    <row r="130" spans="1:32" x14ac:dyDescent="0.25">
      <c r="A130" t="s">
        <v>395</v>
      </c>
      <c r="B130" s="1">
        <v>44985</v>
      </c>
      <c r="C130" s="1">
        <v>44990</v>
      </c>
      <c r="D130" s="4">
        <f t="shared" ref="D130:D193" si="24">C130-B130</f>
        <v>5</v>
      </c>
      <c r="E130" s="4" t="str">
        <f>TEXT(Table1[[#This Row],[Order_Date]],"dddd")</f>
        <v>Tuesday</v>
      </c>
      <c r="F130" s="4">
        <f t="shared" ref="F130:F193" si="25">MONTH(B130)</f>
        <v>2</v>
      </c>
      <c r="G130" t="str">
        <f t="shared" si="16"/>
        <v>February</v>
      </c>
      <c r="H130">
        <f t="shared" si="17"/>
        <v>2023</v>
      </c>
      <c r="I130" t="str">
        <f t="shared" si="18"/>
        <v>2023-Q1</v>
      </c>
      <c r="J130" t="s">
        <v>55</v>
      </c>
      <c r="K130" t="s">
        <v>396</v>
      </c>
      <c r="L130" t="s">
        <v>397</v>
      </c>
      <c r="M130" t="s">
        <v>47</v>
      </c>
      <c r="N130" t="s">
        <v>25</v>
      </c>
      <c r="O130" t="s">
        <v>190</v>
      </c>
      <c r="P130" t="s">
        <v>120</v>
      </c>
      <c r="Q130" t="s">
        <v>87</v>
      </c>
      <c r="R130" t="s">
        <v>398</v>
      </c>
      <c r="S130" t="s">
        <v>30</v>
      </c>
      <c r="T130" t="s">
        <v>68</v>
      </c>
      <c r="U130" t="s">
        <v>399</v>
      </c>
      <c r="V130" s="3">
        <v>648.15</v>
      </c>
      <c r="W130" s="4">
        <v>10</v>
      </c>
      <c r="X130" s="2">
        <v>0.1</v>
      </c>
      <c r="Y130" s="3">
        <v>-85.97</v>
      </c>
      <c r="Z130" t="str">
        <f t="shared" ref="Z130:Z193" si="26">IF(OR(Y130&lt;-800.884,Y130&gt;1030.126),"Outlier","Normal")</f>
        <v>Normal</v>
      </c>
      <c r="AA130" t="str">
        <f t="shared" ref="AA130:AA193" si="27">IF(X130&lt;10%,"Low",IF(X130&lt;0.2,"Medium","High"))</f>
        <v>Medium</v>
      </c>
      <c r="AB130" t="str">
        <f t="shared" si="19"/>
        <v>Loss</v>
      </c>
      <c r="AC130" s="3">
        <f t="shared" si="20"/>
        <v>-0.13263904960271541</v>
      </c>
      <c r="AD130" s="3">
        <f t="shared" si="21"/>
        <v>64.814999999999998</v>
      </c>
      <c r="AE130" s="3">
        <f t="shared" si="22"/>
        <v>-8.5969999999999995</v>
      </c>
      <c r="AF130" t="str">
        <f t="shared" si="23"/>
        <v>Regular</v>
      </c>
    </row>
    <row r="131" spans="1:32" x14ac:dyDescent="0.25">
      <c r="A131" t="s">
        <v>7043</v>
      </c>
      <c r="B131" s="1">
        <v>44986</v>
      </c>
      <c r="C131" s="1">
        <v>44989</v>
      </c>
      <c r="D131" s="4">
        <f t="shared" si="24"/>
        <v>3</v>
      </c>
      <c r="E131" s="4" t="str">
        <f>TEXT(Table1[[#This Row],[Order_Date]],"dddd")</f>
        <v>Wednesday</v>
      </c>
      <c r="F131" s="4">
        <f t="shared" si="25"/>
        <v>3</v>
      </c>
      <c r="G131" t="str">
        <f t="shared" ref="G131:G194" si="28">TEXT(B131,"mmmm")</f>
        <v>March</v>
      </c>
      <c r="H131">
        <f t="shared" ref="H131:H194" si="29">YEAR(B131)</f>
        <v>2023</v>
      </c>
      <c r="I131" t="str">
        <f t="shared" ref="I131:I194" si="30">H131 &amp; "-Q" &amp; INT((MONTH(B131)+2)/3)</f>
        <v>2023-Q1</v>
      </c>
      <c r="J131" t="s">
        <v>104</v>
      </c>
      <c r="K131" t="s">
        <v>7044</v>
      </c>
      <c r="L131" t="s">
        <v>7045</v>
      </c>
      <c r="M131" t="s">
        <v>24</v>
      </c>
      <c r="N131" t="s">
        <v>25</v>
      </c>
      <c r="O131" t="s">
        <v>113</v>
      </c>
      <c r="P131" t="s">
        <v>113</v>
      </c>
      <c r="Q131" t="s">
        <v>39</v>
      </c>
      <c r="R131" t="s">
        <v>7046</v>
      </c>
      <c r="S131" t="s">
        <v>30</v>
      </c>
      <c r="T131" t="s">
        <v>68</v>
      </c>
      <c r="U131" t="s">
        <v>7047</v>
      </c>
      <c r="V131" s="3">
        <v>2465</v>
      </c>
      <c r="W131" s="4">
        <v>5</v>
      </c>
      <c r="X131" s="2">
        <v>0.2</v>
      </c>
      <c r="Y131" s="3">
        <v>244.31</v>
      </c>
      <c r="Z131" t="str">
        <f t="shared" si="26"/>
        <v>Normal</v>
      </c>
      <c r="AA131" t="str">
        <f t="shared" si="27"/>
        <v>High</v>
      </c>
      <c r="AB131" t="str">
        <f t="shared" ref="AB131:AB194" si="31">IF(Y131&lt;0, "Loss", IF(Y131&lt;500,"Low Profit", "High Profit"))</f>
        <v>Low Profit</v>
      </c>
      <c r="AC131" s="3">
        <f t="shared" ref="AC131:AC194" si="32">Y131/V131</f>
        <v>9.9111561866125755E-2</v>
      </c>
      <c r="AD131" s="3">
        <f t="shared" ref="AD131:AD194" si="33">V131/W131</f>
        <v>493</v>
      </c>
      <c r="AE131" s="3">
        <f t="shared" ref="AE131:AE194" si="34">Y131/W131</f>
        <v>48.862000000000002</v>
      </c>
      <c r="AF131" t="str">
        <f t="shared" ref="AF131:AF194" si="35">IF(V131&gt;5000,"High value", "Regular")</f>
        <v>Regular</v>
      </c>
    </row>
    <row r="132" spans="1:32" x14ac:dyDescent="0.25">
      <c r="A132" t="s">
        <v>1001</v>
      </c>
      <c r="B132" s="1">
        <v>44986</v>
      </c>
      <c r="C132" s="1">
        <v>44993</v>
      </c>
      <c r="D132" s="4">
        <f t="shared" si="24"/>
        <v>7</v>
      </c>
      <c r="E132" s="4" t="str">
        <f>TEXT(Table1[[#This Row],[Order_Date]],"dddd")</f>
        <v>Wednesday</v>
      </c>
      <c r="F132" s="4">
        <f t="shared" si="25"/>
        <v>3</v>
      </c>
      <c r="G132" t="str">
        <f t="shared" si="28"/>
        <v>March</v>
      </c>
      <c r="H132">
        <f t="shared" si="29"/>
        <v>2023</v>
      </c>
      <c r="I132" t="str">
        <f t="shared" si="30"/>
        <v>2023-Q1</v>
      </c>
      <c r="J132" t="s">
        <v>55</v>
      </c>
      <c r="K132" t="s">
        <v>1002</v>
      </c>
      <c r="L132" t="s">
        <v>1003</v>
      </c>
      <c r="M132" t="s">
        <v>36</v>
      </c>
      <c r="N132" t="s">
        <v>25</v>
      </c>
      <c r="O132" t="s">
        <v>451</v>
      </c>
      <c r="P132" t="s">
        <v>38</v>
      </c>
      <c r="Q132" t="s">
        <v>39</v>
      </c>
      <c r="R132" t="s">
        <v>1004</v>
      </c>
      <c r="S132" t="s">
        <v>59</v>
      </c>
      <c r="T132" t="s">
        <v>277</v>
      </c>
      <c r="U132" t="s">
        <v>1005</v>
      </c>
      <c r="V132" s="3">
        <v>2057.1999999999998</v>
      </c>
      <c r="W132" s="4">
        <v>2</v>
      </c>
      <c r="X132" s="2">
        <v>0.1</v>
      </c>
      <c r="Y132" s="3">
        <v>458.72</v>
      </c>
      <c r="Z132" t="str">
        <f t="shared" si="26"/>
        <v>Normal</v>
      </c>
      <c r="AA132" t="str">
        <f t="shared" si="27"/>
        <v>Medium</v>
      </c>
      <c r="AB132" t="str">
        <f t="shared" si="31"/>
        <v>Low Profit</v>
      </c>
      <c r="AC132" s="3">
        <f t="shared" si="32"/>
        <v>0.222982694925141</v>
      </c>
      <c r="AD132" s="3">
        <f t="shared" si="33"/>
        <v>1028.5999999999999</v>
      </c>
      <c r="AE132" s="3">
        <f t="shared" si="34"/>
        <v>229.36</v>
      </c>
      <c r="AF132" t="str">
        <f t="shared" si="35"/>
        <v>Regular</v>
      </c>
    </row>
    <row r="133" spans="1:32" x14ac:dyDescent="0.25">
      <c r="A133" t="s">
        <v>299</v>
      </c>
      <c r="B133" s="1">
        <v>44987</v>
      </c>
      <c r="C133" s="1">
        <v>44990</v>
      </c>
      <c r="D133" s="4">
        <f t="shared" si="24"/>
        <v>3</v>
      </c>
      <c r="E133" s="4" t="str">
        <f>TEXT(Table1[[#This Row],[Order_Date]],"dddd")</f>
        <v>Thursday</v>
      </c>
      <c r="F133" s="4">
        <f t="shared" si="25"/>
        <v>3</v>
      </c>
      <c r="G133" t="str">
        <f t="shared" si="28"/>
        <v>March</v>
      </c>
      <c r="H133">
        <f t="shared" si="29"/>
        <v>2023</v>
      </c>
      <c r="I133" t="str">
        <f t="shared" si="30"/>
        <v>2023-Q1</v>
      </c>
      <c r="J133" t="s">
        <v>104</v>
      </c>
      <c r="K133" t="s">
        <v>300</v>
      </c>
      <c r="L133" t="s">
        <v>301</v>
      </c>
      <c r="M133" t="s">
        <v>47</v>
      </c>
      <c r="N133" t="s">
        <v>25</v>
      </c>
      <c r="O133" t="s">
        <v>201</v>
      </c>
      <c r="P133" t="s">
        <v>113</v>
      </c>
      <c r="Q133" t="s">
        <v>28</v>
      </c>
      <c r="R133" t="s">
        <v>302</v>
      </c>
      <c r="S133" t="s">
        <v>59</v>
      </c>
      <c r="T133" t="s">
        <v>303</v>
      </c>
      <c r="U133" t="s">
        <v>304</v>
      </c>
      <c r="V133" s="3">
        <v>3907.6</v>
      </c>
      <c r="W133" s="4">
        <v>3</v>
      </c>
      <c r="X133" s="2">
        <v>0.4</v>
      </c>
      <c r="Y133" s="3">
        <v>-442.24</v>
      </c>
      <c r="Z133" t="str">
        <f t="shared" si="26"/>
        <v>Normal</v>
      </c>
      <c r="AA133" t="str">
        <f t="shared" si="27"/>
        <v>High</v>
      </c>
      <c r="AB133" t="str">
        <f t="shared" si="31"/>
        <v>Loss</v>
      </c>
      <c r="AC133" s="3">
        <f t="shared" si="32"/>
        <v>-0.11317432695260518</v>
      </c>
      <c r="AD133" s="3">
        <f t="shared" si="33"/>
        <v>1302.5333333333333</v>
      </c>
      <c r="AE133" s="3">
        <f t="shared" si="34"/>
        <v>-147.41333333333333</v>
      </c>
      <c r="AF133" t="str">
        <f t="shared" si="35"/>
        <v>Regular</v>
      </c>
    </row>
    <row r="134" spans="1:32" x14ac:dyDescent="0.25">
      <c r="A134" t="s">
        <v>6283</v>
      </c>
      <c r="B134" s="1">
        <v>44987</v>
      </c>
      <c r="C134" s="1">
        <v>44993</v>
      </c>
      <c r="D134" s="4">
        <f t="shared" si="24"/>
        <v>6</v>
      </c>
      <c r="E134" s="4" t="str">
        <f>TEXT(Table1[[#This Row],[Order_Date]],"dddd")</f>
        <v>Thursday</v>
      </c>
      <c r="F134" s="4">
        <f t="shared" si="25"/>
        <v>3</v>
      </c>
      <c r="G134" t="str">
        <f t="shared" si="28"/>
        <v>March</v>
      </c>
      <c r="H134">
        <f t="shared" si="29"/>
        <v>2023</v>
      </c>
      <c r="I134" t="str">
        <f t="shared" si="30"/>
        <v>2023-Q1</v>
      </c>
      <c r="J134" t="s">
        <v>55</v>
      </c>
      <c r="K134" t="s">
        <v>6284</v>
      </c>
      <c r="L134" t="s">
        <v>6285</v>
      </c>
      <c r="M134" t="s">
        <v>24</v>
      </c>
      <c r="N134" t="s">
        <v>25</v>
      </c>
      <c r="O134" t="s">
        <v>26</v>
      </c>
      <c r="P134" t="s">
        <v>27</v>
      </c>
      <c r="Q134" t="s">
        <v>28</v>
      </c>
      <c r="R134" t="s">
        <v>6286</v>
      </c>
      <c r="S134" t="s">
        <v>59</v>
      </c>
      <c r="T134" t="s">
        <v>277</v>
      </c>
      <c r="U134" t="s">
        <v>6287</v>
      </c>
      <c r="V134" s="3">
        <v>1666.76</v>
      </c>
      <c r="W134" s="4">
        <v>1</v>
      </c>
      <c r="X134" s="2">
        <v>0</v>
      </c>
      <c r="Y134" s="3">
        <v>464.19</v>
      </c>
      <c r="Z134" t="str">
        <f t="shared" si="26"/>
        <v>Normal</v>
      </c>
      <c r="AA134" t="str">
        <f t="shared" si="27"/>
        <v>Low</v>
      </c>
      <c r="AB134" t="str">
        <f t="shared" si="31"/>
        <v>Low Profit</v>
      </c>
      <c r="AC134" s="3">
        <f t="shared" si="32"/>
        <v>0.27849840408937099</v>
      </c>
      <c r="AD134" s="3">
        <f t="shared" si="33"/>
        <v>1666.76</v>
      </c>
      <c r="AE134" s="3">
        <f t="shared" si="34"/>
        <v>464.19</v>
      </c>
      <c r="AF134" t="str">
        <f t="shared" si="35"/>
        <v>Regular</v>
      </c>
    </row>
    <row r="135" spans="1:32" x14ac:dyDescent="0.25">
      <c r="A135" t="s">
        <v>1016</v>
      </c>
      <c r="B135" s="1">
        <v>44988</v>
      </c>
      <c r="C135" s="1">
        <v>44989</v>
      </c>
      <c r="D135" s="4">
        <f t="shared" si="24"/>
        <v>1</v>
      </c>
      <c r="E135" s="4" t="str">
        <f>TEXT(Table1[[#This Row],[Order_Date]],"dddd")</f>
        <v>Friday</v>
      </c>
      <c r="F135" s="4">
        <f t="shared" si="25"/>
        <v>3</v>
      </c>
      <c r="G135" t="str">
        <f t="shared" si="28"/>
        <v>March</v>
      </c>
      <c r="H135">
        <f t="shared" si="29"/>
        <v>2023</v>
      </c>
      <c r="I135" t="str">
        <f t="shared" si="30"/>
        <v>2023-Q1</v>
      </c>
      <c r="J135" t="s">
        <v>21</v>
      </c>
      <c r="K135" t="s">
        <v>1017</v>
      </c>
      <c r="L135" t="s">
        <v>1018</v>
      </c>
      <c r="M135" t="s">
        <v>24</v>
      </c>
      <c r="N135" t="s">
        <v>25</v>
      </c>
      <c r="O135" t="s">
        <v>382</v>
      </c>
      <c r="P135" t="s">
        <v>38</v>
      </c>
      <c r="Q135" t="s">
        <v>28</v>
      </c>
      <c r="R135" t="s">
        <v>1019</v>
      </c>
      <c r="S135" t="s">
        <v>59</v>
      </c>
      <c r="T135" t="s">
        <v>303</v>
      </c>
      <c r="U135" t="s">
        <v>1020</v>
      </c>
      <c r="V135" s="3">
        <v>4678.1499999999996</v>
      </c>
      <c r="W135" s="4">
        <v>4</v>
      </c>
      <c r="X135" s="2">
        <v>0.1</v>
      </c>
      <c r="Y135" s="3">
        <v>-685.78</v>
      </c>
      <c r="Z135" t="str">
        <f t="shared" si="26"/>
        <v>Normal</v>
      </c>
      <c r="AA135" t="str">
        <f t="shared" si="27"/>
        <v>Medium</v>
      </c>
      <c r="AB135" t="str">
        <f t="shared" si="31"/>
        <v>Loss</v>
      </c>
      <c r="AC135" s="3">
        <f t="shared" si="32"/>
        <v>-0.14659213578016952</v>
      </c>
      <c r="AD135" s="3">
        <f t="shared" si="33"/>
        <v>1169.5374999999999</v>
      </c>
      <c r="AE135" s="3">
        <f t="shared" si="34"/>
        <v>-171.44499999999999</v>
      </c>
      <c r="AF135" t="str">
        <f t="shared" si="35"/>
        <v>Regular</v>
      </c>
    </row>
    <row r="136" spans="1:32" x14ac:dyDescent="0.25">
      <c r="A136" t="s">
        <v>6525</v>
      </c>
      <c r="B136" s="1">
        <v>44989</v>
      </c>
      <c r="C136" s="1">
        <v>44992</v>
      </c>
      <c r="D136" s="4">
        <f t="shared" si="24"/>
        <v>3</v>
      </c>
      <c r="E136" s="4" t="str">
        <f>TEXT(Table1[[#This Row],[Order_Date]],"dddd")</f>
        <v>Saturday</v>
      </c>
      <c r="F136" s="4">
        <f t="shared" si="25"/>
        <v>3</v>
      </c>
      <c r="G136" t="str">
        <f t="shared" si="28"/>
        <v>March</v>
      </c>
      <c r="H136">
        <f t="shared" si="29"/>
        <v>2023</v>
      </c>
      <c r="I136" t="str">
        <f t="shared" si="30"/>
        <v>2023-Q1</v>
      </c>
      <c r="J136" t="s">
        <v>21</v>
      </c>
      <c r="K136" t="s">
        <v>6526</v>
      </c>
      <c r="L136" t="s">
        <v>2727</v>
      </c>
      <c r="M136" t="s">
        <v>24</v>
      </c>
      <c r="N136" t="s">
        <v>25</v>
      </c>
      <c r="O136" t="s">
        <v>37</v>
      </c>
      <c r="P136" t="s">
        <v>38</v>
      </c>
      <c r="Q136" t="s">
        <v>66</v>
      </c>
      <c r="R136" t="s">
        <v>6527</v>
      </c>
      <c r="S136" t="s">
        <v>51</v>
      </c>
      <c r="T136" t="s">
        <v>94</v>
      </c>
      <c r="U136" t="s">
        <v>2631</v>
      </c>
      <c r="V136" s="3">
        <v>1717.19</v>
      </c>
      <c r="W136" s="4">
        <v>7</v>
      </c>
      <c r="X136" s="2">
        <v>0.1</v>
      </c>
      <c r="Y136" s="3">
        <v>-177.83</v>
      </c>
      <c r="Z136" t="str">
        <f t="shared" si="26"/>
        <v>Normal</v>
      </c>
      <c r="AA136" t="str">
        <f t="shared" si="27"/>
        <v>Medium</v>
      </c>
      <c r="AB136" t="str">
        <f t="shared" si="31"/>
        <v>Loss</v>
      </c>
      <c r="AC136" s="3">
        <f t="shared" si="32"/>
        <v>-0.1035587209336183</v>
      </c>
      <c r="AD136" s="3">
        <f t="shared" si="33"/>
        <v>245.31285714285715</v>
      </c>
      <c r="AE136" s="3">
        <f t="shared" si="34"/>
        <v>-25.404285714285717</v>
      </c>
      <c r="AF136" t="str">
        <f t="shared" si="35"/>
        <v>Regular</v>
      </c>
    </row>
    <row r="137" spans="1:32" x14ac:dyDescent="0.25">
      <c r="A137" t="s">
        <v>2256</v>
      </c>
      <c r="B137" s="1">
        <v>44991</v>
      </c>
      <c r="C137" s="1">
        <v>44999</v>
      </c>
      <c r="D137" s="4">
        <f t="shared" si="24"/>
        <v>8</v>
      </c>
      <c r="E137" s="4" t="str">
        <f>TEXT(Table1[[#This Row],[Order_Date]],"dddd")</f>
        <v>Monday</v>
      </c>
      <c r="F137" s="4">
        <f t="shared" si="25"/>
        <v>3</v>
      </c>
      <c r="G137" t="str">
        <f t="shared" si="28"/>
        <v>March</v>
      </c>
      <c r="H137">
        <f t="shared" si="29"/>
        <v>2023</v>
      </c>
      <c r="I137" t="str">
        <f t="shared" si="30"/>
        <v>2023-Q1</v>
      </c>
      <c r="J137" t="s">
        <v>104</v>
      </c>
      <c r="K137" t="s">
        <v>2257</v>
      </c>
      <c r="L137" t="s">
        <v>2258</v>
      </c>
      <c r="M137" t="s">
        <v>47</v>
      </c>
      <c r="N137" t="s">
        <v>25</v>
      </c>
      <c r="O137" t="s">
        <v>48</v>
      </c>
      <c r="P137" t="s">
        <v>49</v>
      </c>
      <c r="Q137" t="s">
        <v>39</v>
      </c>
      <c r="R137" t="s">
        <v>2259</v>
      </c>
      <c r="S137" t="s">
        <v>59</v>
      </c>
      <c r="T137" t="s">
        <v>303</v>
      </c>
      <c r="U137" t="s">
        <v>2260</v>
      </c>
      <c r="V137" s="3">
        <v>3939.24</v>
      </c>
      <c r="W137" s="4">
        <v>2</v>
      </c>
      <c r="X137" s="2">
        <v>0.1</v>
      </c>
      <c r="Y137" s="3">
        <v>880.56</v>
      </c>
      <c r="Z137" t="str">
        <f t="shared" si="26"/>
        <v>Normal</v>
      </c>
      <c r="AA137" t="str">
        <f t="shared" si="27"/>
        <v>Medium</v>
      </c>
      <c r="AB137" t="str">
        <f t="shared" si="31"/>
        <v>High Profit</v>
      </c>
      <c r="AC137" s="3">
        <f t="shared" si="32"/>
        <v>0.22353550431047614</v>
      </c>
      <c r="AD137" s="3">
        <f t="shared" si="33"/>
        <v>1969.62</v>
      </c>
      <c r="AE137" s="3">
        <f t="shared" si="34"/>
        <v>440.28</v>
      </c>
      <c r="AF137" t="str">
        <f t="shared" si="35"/>
        <v>Regular</v>
      </c>
    </row>
    <row r="138" spans="1:32" x14ac:dyDescent="0.25">
      <c r="A138" t="s">
        <v>2549</v>
      </c>
      <c r="B138" s="1">
        <v>44993</v>
      </c>
      <c r="C138" s="1">
        <v>45001</v>
      </c>
      <c r="D138" s="4">
        <f t="shared" si="24"/>
        <v>8</v>
      </c>
      <c r="E138" s="4" t="str">
        <f>TEXT(Table1[[#This Row],[Order_Date]],"dddd")</f>
        <v>Wednesday</v>
      </c>
      <c r="F138" s="4">
        <f t="shared" si="25"/>
        <v>3</v>
      </c>
      <c r="G138" t="str">
        <f t="shared" si="28"/>
        <v>March</v>
      </c>
      <c r="H138">
        <f t="shared" si="29"/>
        <v>2023</v>
      </c>
      <c r="I138" t="str">
        <f t="shared" si="30"/>
        <v>2023-Q1</v>
      </c>
      <c r="J138" t="s">
        <v>44</v>
      </c>
      <c r="K138" t="s">
        <v>2550</v>
      </c>
      <c r="L138" t="s">
        <v>2551</v>
      </c>
      <c r="M138" t="s">
        <v>36</v>
      </c>
      <c r="N138" t="s">
        <v>25</v>
      </c>
      <c r="O138" t="s">
        <v>227</v>
      </c>
      <c r="P138" t="s">
        <v>49</v>
      </c>
      <c r="Q138" t="s">
        <v>28</v>
      </c>
      <c r="R138" t="s">
        <v>2552</v>
      </c>
      <c r="S138" t="s">
        <v>30</v>
      </c>
      <c r="T138" t="s">
        <v>41</v>
      </c>
      <c r="U138" t="s">
        <v>2553</v>
      </c>
      <c r="V138" s="3">
        <v>2732.46</v>
      </c>
      <c r="W138" s="4">
        <v>1</v>
      </c>
      <c r="X138" s="2">
        <v>0.3</v>
      </c>
      <c r="Y138" s="3">
        <v>733.95</v>
      </c>
      <c r="Z138" t="str">
        <f t="shared" si="26"/>
        <v>Normal</v>
      </c>
      <c r="AA138" t="str">
        <f t="shared" si="27"/>
        <v>High</v>
      </c>
      <c r="AB138" t="str">
        <f t="shared" si="31"/>
        <v>High Profit</v>
      </c>
      <c r="AC138" s="3">
        <f t="shared" si="32"/>
        <v>0.26860411497332076</v>
      </c>
      <c r="AD138" s="3">
        <f t="shared" si="33"/>
        <v>2732.46</v>
      </c>
      <c r="AE138" s="3">
        <f t="shared" si="34"/>
        <v>733.95</v>
      </c>
      <c r="AF138" t="str">
        <f t="shared" si="35"/>
        <v>Regular</v>
      </c>
    </row>
    <row r="139" spans="1:32" x14ac:dyDescent="0.25">
      <c r="A139" t="s">
        <v>3688</v>
      </c>
      <c r="B139" s="1">
        <v>44993</v>
      </c>
      <c r="C139" s="1">
        <v>44996</v>
      </c>
      <c r="D139" s="4">
        <f t="shared" si="24"/>
        <v>3</v>
      </c>
      <c r="E139" s="4" t="str">
        <f>TEXT(Table1[[#This Row],[Order_Date]],"dddd")</f>
        <v>Wednesday</v>
      </c>
      <c r="F139" s="4">
        <f t="shared" si="25"/>
        <v>3</v>
      </c>
      <c r="G139" t="str">
        <f t="shared" si="28"/>
        <v>March</v>
      </c>
      <c r="H139">
        <f t="shared" si="29"/>
        <v>2023</v>
      </c>
      <c r="I139" t="str">
        <f t="shared" si="30"/>
        <v>2023-Q1</v>
      </c>
      <c r="J139" t="s">
        <v>55</v>
      </c>
      <c r="K139" t="s">
        <v>3689</v>
      </c>
      <c r="L139" t="s">
        <v>3690</v>
      </c>
      <c r="M139" t="s">
        <v>36</v>
      </c>
      <c r="N139" t="s">
        <v>25</v>
      </c>
      <c r="O139" t="s">
        <v>227</v>
      </c>
      <c r="P139" t="s">
        <v>49</v>
      </c>
      <c r="Q139" t="s">
        <v>87</v>
      </c>
      <c r="R139" t="s">
        <v>3691</v>
      </c>
      <c r="S139" t="s">
        <v>51</v>
      </c>
      <c r="T139" t="s">
        <v>127</v>
      </c>
      <c r="U139" t="s">
        <v>3692</v>
      </c>
      <c r="V139" s="3">
        <v>358.02</v>
      </c>
      <c r="W139" s="4">
        <v>1</v>
      </c>
      <c r="X139" s="2">
        <v>0</v>
      </c>
      <c r="Y139" s="3">
        <v>-64.47</v>
      </c>
      <c r="Z139" t="str">
        <f t="shared" si="26"/>
        <v>Normal</v>
      </c>
      <c r="AA139" t="str">
        <f t="shared" si="27"/>
        <v>Low</v>
      </c>
      <c r="AB139" t="str">
        <f t="shared" si="31"/>
        <v>Loss</v>
      </c>
      <c r="AC139" s="3">
        <f t="shared" si="32"/>
        <v>-0.18007373889726833</v>
      </c>
      <c r="AD139" s="3">
        <f t="shared" si="33"/>
        <v>358.02</v>
      </c>
      <c r="AE139" s="3">
        <f t="shared" si="34"/>
        <v>-64.47</v>
      </c>
      <c r="AF139" t="str">
        <f t="shared" si="35"/>
        <v>Regular</v>
      </c>
    </row>
    <row r="140" spans="1:32" x14ac:dyDescent="0.25">
      <c r="A140" t="s">
        <v>1151</v>
      </c>
      <c r="B140" s="1">
        <v>44994</v>
      </c>
      <c r="C140" s="1">
        <v>45001</v>
      </c>
      <c r="D140" s="4">
        <f t="shared" si="24"/>
        <v>7</v>
      </c>
      <c r="E140" s="4" t="str">
        <f>TEXT(Table1[[#This Row],[Order_Date]],"dddd")</f>
        <v>Thursday</v>
      </c>
      <c r="F140" s="4">
        <f t="shared" si="25"/>
        <v>3</v>
      </c>
      <c r="G140" t="str">
        <f t="shared" si="28"/>
        <v>March</v>
      </c>
      <c r="H140">
        <f t="shared" si="29"/>
        <v>2023</v>
      </c>
      <c r="I140" t="str">
        <f t="shared" si="30"/>
        <v>2023-Q1</v>
      </c>
      <c r="J140" t="s">
        <v>44</v>
      </c>
      <c r="K140" t="s">
        <v>1152</v>
      </c>
      <c r="L140" t="s">
        <v>1153</v>
      </c>
      <c r="M140" t="s">
        <v>24</v>
      </c>
      <c r="N140" t="s">
        <v>25</v>
      </c>
      <c r="O140" t="s">
        <v>26</v>
      </c>
      <c r="P140" t="s">
        <v>27</v>
      </c>
      <c r="Q140" t="s">
        <v>39</v>
      </c>
      <c r="R140" t="s">
        <v>1154</v>
      </c>
      <c r="S140" t="s">
        <v>51</v>
      </c>
      <c r="T140" t="s">
        <v>52</v>
      </c>
      <c r="U140" t="s">
        <v>1155</v>
      </c>
      <c r="V140" s="3">
        <v>736.47</v>
      </c>
      <c r="W140" s="4">
        <v>1</v>
      </c>
      <c r="X140" s="2">
        <v>0.4</v>
      </c>
      <c r="Y140" s="3">
        <v>200.19</v>
      </c>
      <c r="Z140" t="str">
        <f t="shared" si="26"/>
        <v>Normal</v>
      </c>
      <c r="AA140" t="str">
        <f t="shared" si="27"/>
        <v>High</v>
      </c>
      <c r="AB140" t="str">
        <f t="shared" si="31"/>
        <v>Low Profit</v>
      </c>
      <c r="AC140" s="3">
        <f t="shared" si="32"/>
        <v>0.2718236995396961</v>
      </c>
      <c r="AD140" s="3">
        <f t="shared" si="33"/>
        <v>736.47</v>
      </c>
      <c r="AE140" s="3">
        <f t="shared" si="34"/>
        <v>200.19</v>
      </c>
      <c r="AF140" t="str">
        <f t="shared" si="35"/>
        <v>Regular</v>
      </c>
    </row>
    <row r="141" spans="1:32" x14ac:dyDescent="0.25">
      <c r="A141" t="s">
        <v>4725</v>
      </c>
      <c r="B141" s="1">
        <v>44994</v>
      </c>
      <c r="C141" s="1">
        <v>45001</v>
      </c>
      <c r="D141" s="4">
        <f t="shared" si="24"/>
        <v>7</v>
      </c>
      <c r="E141" s="4" t="str">
        <f>TEXT(Table1[[#This Row],[Order_Date]],"dddd")</f>
        <v>Thursday</v>
      </c>
      <c r="F141" s="4">
        <f t="shared" si="25"/>
        <v>3</v>
      </c>
      <c r="G141" t="str">
        <f t="shared" si="28"/>
        <v>March</v>
      </c>
      <c r="H141">
        <f t="shared" si="29"/>
        <v>2023</v>
      </c>
      <c r="I141" t="str">
        <f t="shared" si="30"/>
        <v>2023-Q1</v>
      </c>
      <c r="J141" t="s">
        <v>104</v>
      </c>
      <c r="K141" t="s">
        <v>4726</v>
      </c>
      <c r="L141" t="s">
        <v>4727</v>
      </c>
      <c r="M141" t="s">
        <v>36</v>
      </c>
      <c r="N141" t="s">
        <v>25</v>
      </c>
      <c r="O141" t="s">
        <v>179</v>
      </c>
      <c r="P141" t="s">
        <v>27</v>
      </c>
      <c r="Q141" t="s">
        <v>39</v>
      </c>
      <c r="R141" t="s">
        <v>7403</v>
      </c>
      <c r="S141" t="s">
        <v>30</v>
      </c>
      <c r="T141" t="s">
        <v>41</v>
      </c>
      <c r="U141" t="s">
        <v>4728</v>
      </c>
      <c r="V141" s="3">
        <v>3170.1</v>
      </c>
      <c r="W141" s="4">
        <v>5</v>
      </c>
      <c r="X141" s="2">
        <v>0</v>
      </c>
      <c r="Y141" s="3">
        <v>354.8</v>
      </c>
      <c r="Z141" t="str">
        <f t="shared" si="26"/>
        <v>Normal</v>
      </c>
      <c r="AA141" t="str">
        <f t="shared" si="27"/>
        <v>Low</v>
      </c>
      <c r="AB141" t="str">
        <f t="shared" si="31"/>
        <v>Low Profit</v>
      </c>
      <c r="AC141" s="3">
        <f t="shared" si="32"/>
        <v>0.11192075959748904</v>
      </c>
      <c r="AD141" s="3">
        <f t="shared" si="33"/>
        <v>634.02</v>
      </c>
      <c r="AE141" s="3">
        <f t="shared" si="34"/>
        <v>70.960000000000008</v>
      </c>
      <c r="AF141" t="str">
        <f t="shared" si="35"/>
        <v>Regular</v>
      </c>
    </row>
    <row r="142" spans="1:32" x14ac:dyDescent="0.25">
      <c r="A142" t="s">
        <v>3596</v>
      </c>
      <c r="B142" s="1">
        <v>44994</v>
      </c>
      <c r="C142" s="1">
        <v>45000</v>
      </c>
      <c r="D142" s="4">
        <f t="shared" si="24"/>
        <v>6</v>
      </c>
      <c r="E142" s="4" t="str">
        <f>TEXT(Table1[[#This Row],[Order_Date]],"dddd")</f>
        <v>Thursday</v>
      </c>
      <c r="F142" s="4">
        <f t="shared" si="25"/>
        <v>3</v>
      </c>
      <c r="G142" t="str">
        <f t="shared" si="28"/>
        <v>March</v>
      </c>
      <c r="H142">
        <f t="shared" si="29"/>
        <v>2023</v>
      </c>
      <c r="I142" t="str">
        <f t="shared" si="30"/>
        <v>2023-Q1</v>
      </c>
      <c r="J142" t="s">
        <v>104</v>
      </c>
      <c r="K142" t="s">
        <v>3597</v>
      </c>
      <c r="L142" t="s">
        <v>2003</v>
      </c>
      <c r="M142" t="s">
        <v>47</v>
      </c>
      <c r="N142" t="s">
        <v>25</v>
      </c>
      <c r="O142" t="s">
        <v>37</v>
      </c>
      <c r="P142" t="s">
        <v>38</v>
      </c>
      <c r="Q142" t="s">
        <v>28</v>
      </c>
      <c r="R142" t="s">
        <v>3598</v>
      </c>
      <c r="S142" t="s">
        <v>59</v>
      </c>
      <c r="T142" t="s">
        <v>277</v>
      </c>
      <c r="U142" t="s">
        <v>3599</v>
      </c>
      <c r="V142" s="3">
        <v>4247.8599999999997</v>
      </c>
      <c r="W142" s="4">
        <v>9</v>
      </c>
      <c r="X142" s="2">
        <v>0.4</v>
      </c>
      <c r="Y142" s="3">
        <v>337.85</v>
      </c>
      <c r="Z142" t="str">
        <f t="shared" si="26"/>
        <v>Normal</v>
      </c>
      <c r="AA142" t="str">
        <f t="shared" si="27"/>
        <v>High</v>
      </c>
      <c r="AB142" t="str">
        <f t="shared" si="31"/>
        <v>Low Profit</v>
      </c>
      <c r="AC142" s="3">
        <f t="shared" si="32"/>
        <v>7.9534165438597329E-2</v>
      </c>
      <c r="AD142" s="3">
        <f t="shared" si="33"/>
        <v>471.98444444444442</v>
      </c>
      <c r="AE142" s="3">
        <f t="shared" si="34"/>
        <v>37.538888888888891</v>
      </c>
      <c r="AF142" t="str">
        <f t="shared" si="35"/>
        <v>Regular</v>
      </c>
    </row>
    <row r="143" spans="1:32" x14ac:dyDescent="0.25">
      <c r="A143" t="s">
        <v>4642</v>
      </c>
      <c r="B143" s="1">
        <v>44995</v>
      </c>
      <c r="C143" s="1">
        <v>45000</v>
      </c>
      <c r="D143" s="4">
        <f t="shared" si="24"/>
        <v>5</v>
      </c>
      <c r="E143" s="4" t="str">
        <f>TEXT(Table1[[#This Row],[Order_Date]],"dddd")</f>
        <v>Friday</v>
      </c>
      <c r="F143" s="4">
        <f t="shared" si="25"/>
        <v>3</v>
      </c>
      <c r="G143" t="str">
        <f t="shared" si="28"/>
        <v>March</v>
      </c>
      <c r="H143">
        <f t="shared" si="29"/>
        <v>2023</v>
      </c>
      <c r="I143" t="str">
        <f t="shared" si="30"/>
        <v>2023-Q1</v>
      </c>
      <c r="J143" t="s">
        <v>44</v>
      </c>
      <c r="K143" t="s">
        <v>4643</v>
      </c>
      <c r="L143" t="s">
        <v>4644</v>
      </c>
      <c r="M143" t="s">
        <v>24</v>
      </c>
      <c r="N143" t="s">
        <v>25</v>
      </c>
      <c r="O143" t="s">
        <v>233</v>
      </c>
      <c r="P143" t="s">
        <v>163</v>
      </c>
      <c r="Q143" t="s">
        <v>39</v>
      </c>
      <c r="R143" t="s">
        <v>4645</v>
      </c>
      <c r="S143" t="s">
        <v>51</v>
      </c>
      <c r="T143" t="s">
        <v>94</v>
      </c>
      <c r="U143" t="s">
        <v>4646</v>
      </c>
      <c r="V143" s="3">
        <v>3058.47</v>
      </c>
      <c r="W143" s="4">
        <v>6</v>
      </c>
      <c r="X143" s="2">
        <v>0.3</v>
      </c>
      <c r="Y143" s="3">
        <v>-592.79999999999995</v>
      </c>
      <c r="Z143" t="str">
        <f t="shared" si="26"/>
        <v>Normal</v>
      </c>
      <c r="AA143" t="str">
        <f t="shared" si="27"/>
        <v>High</v>
      </c>
      <c r="AB143" t="str">
        <f t="shared" si="31"/>
        <v>Loss</v>
      </c>
      <c r="AC143" s="3">
        <f t="shared" si="32"/>
        <v>-0.19382240139677681</v>
      </c>
      <c r="AD143" s="3">
        <f t="shared" si="33"/>
        <v>509.74499999999995</v>
      </c>
      <c r="AE143" s="3">
        <f t="shared" si="34"/>
        <v>-98.8</v>
      </c>
      <c r="AF143" t="str">
        <f t="shared" si="35"/>
        <v>Regular</v>
      </c>
    </row>
    <row r="144" spans="1:32" x14ac:dyDescent="0.25">
      <c r="A144" t="s">
        <v>6718</v>
      </c>
      <c r="B144" s="1">
        <v>44995</v>
      </c>
      <c r="C144" s="1">
        <v>45002</v>
      </c>
      <c r="D144" s="4">
        <f t="shared" si="24"/>
        <v>7</v>
      </c>
      <c r="E144" s="4" t="str">
        <f>TEXT(Table1[[#This Row],[Order_Date]],"dddd")</f>
        <v>Friday</v>
      </c>
      <c r="F144" s="4">
        <f t="shared" si="25"/>
        <v>3</v>
      </c>
      <c r="G144" t="str">
        <f t="shared" si="28"/>
        <v>March</v>
      </c>
      <c r="H144">
        <f t="shared" si="29"/>
        <v>2023</v>
      </c>
      <c r="I144" t="str">
        <f t="shared" si="30"/>
        <v>2023-Q1</v>
      </c>
      <c r="J144" t="s">
        <v>44</v>
      </c>
      <c r="K144" t="s">
        <v>6719</v>
      </c>
      <c r="L144" t="s">
        <v>6720</v>
      </c>
      <c r="M144" t="s">
        <v>24</v>
      </c>
      <c r="N144" t="s">
        <v>25</v>
      </c>
      <c r="O144" t="s">
        <v>26</v>
      </c>
      <c r="P144" t="s">
        <v>27</v>
      </c>
      <c r="Q144" t="s">
        <v>28</v>
      </c>
      <c r="R144" t="s">
        <v>6721</v>
      </c>
      <c r="S144" t="s">
        <v>51</v>
      </c>
      <c r="T144" t="s">
        <v>127</v>
      </c>
      <c r="U144" t="s">
        <v>6722</v>
      </c>
      <c r="V144" s="3">
        <v>1590.14</v>
      </c>
      <c r="W144" s="4">
        <v>3</v>
      </c>
      <c r="X144" s="2">
        <v>0.3</v>
      </c>
      <c r="Y144" s="3">
        <v>56.36</v>
      </c>
      <c r="Z144" t="str">
        <f t="shared" si="26"/>
        <v>Normal</v>
      </c>
      <c r="AA144" t="str">
        <f t="shared" si="27"/>
        <v>High</v>
      </c>
      <c r="AB144" t="str">
        <f t="shared" si="31"/>
        <v>Low Profit</v>
      </c>
      <c r="AC144" s="3">
        <f t="shared" si="32"/>
        <v>3.54434200762197E-2</v>
      </c>
      <c r="AD144" s="3">
        <f t="shared" si="33"/>
        <v>530.04666666666674</v>
      </c>
      <c r="AE144" s="3">
        <f t="shared" si="34"/>
        <v>18.786666666666665</v>
      </c>
      <c r="AF144" t="str">
        <f t="shared" si="35"/>
        <v>Regular</v>
      </c>
    </row>
    <row r="145" spans="1:32" x14ac:dyDescent="0.25">
      <c r="A145" t="s">
        <v>6431</v>
      </c>
      <c r="B145" s="1">
        <v>44995</v>
      </c>
      <c r="C145" s="1">
        <v>45002</v>
      </c>
      <c r="D145" s="4">
        <f t="shared" si="24"/>
        <v>7</v>
      </c>
      <c r="E145" s="4" t="str">
        <f>TEXT(Table1[[#This Row],[Order_Date]],"dddd")</f>
        <v>Friday</v>
      </c>
      <c r="F145" s="4">
        <f t="shared" si="25"/>
        <v>3</v>
      </c>
      <c r="G145" t="str">
        <f t="shared" si="28"/>
        <v>March</v>
      </c>
      <c r="H145">
        <f t="shared" si="29"/>
        <v>2023</v>
      </c>
      <c r="I145" t="str">
        <f t="shared" si="30"/>
        <v>2023-Q1</v>
      </c>
      <c r="J145" t="s">
        <v>104</v>
      </c>
      <c r="K145" t="s">
        <v>6432</v>
      </c>
      <c r="L145" t="s">
        <v>6433</v>
      </c>
      <c r="M145" t="s">
        <v>24</v>
      </c>
      <c r="N145" t="s">
        <v>25</v>
      </c>
      <c r="O145" t="s">
        <v>179</v>
      </c>
      <c r="P145" t="s">
        <v>27</v>
      </c>
      <c r="Q145" t="s">
        <v>28</v>
      </c>
      <c r="R145" t="s">
        <v>7403</v>
      </c>
      <c r="S145" t="s">
        <v>59</v>
      </c>
      <c r="T145" t="s">
        <v>277</v>
      </c>
      <c r="U145" t="s">
        <v>6434</v>
      </c>
      <c r="V145" s="3">
        <v>108.41</v>
      </c>
      <c r="W145" s="4">
        <v>8</v>
      </c>
      <c r="X145" s="2">
        <v>0</v>
      </c>
      <c r="Y145" s="3">
        <v>28.78</v>
      </c>
      <c r="Z145" t="str">
        <f t="shared" si="26"/>
        <v>Normal</v>
      </c>
      <c r="AA145" t="str">
        <f t="shared" si="27"/>
        <v>Low</v>
      </c>
      <c r="AB145" t="str">
        <f t="shared" si="31"/>
        <v>Low Profit</v>
      </c>
      <c r="AC145" s="3">
        <f t="shared" si="32"/>
        <v>0.26547366479107093</v>
      </c>
      <c r="AD145" s="3">
        <f t="shared" si="33"/>
        <v>13.55125</v>
      </c>
      <c r="AE145" s="3">
        <f t="shared" si="34"/>
        <v>3.5975000000000001</v>
      </c>
      <c r="AF145" t="str">
        <f t="shared" si="35"/>
        <v>Regular</v>
      </c>
    </row>
    <row r="146" spans="1:32" x14ac:dyDescent="0.25">
      <c r="A146" t="s">
        <v>7066</v>
      </c>
      <c r="B146" s="1">
        <v>44995</v>
      </c>
      <c r="C146" s="1">
        <v>44997</v>
      </c>
      <c r="D146" s="4">
        <f t="shared" si="24"/>
        <v>2</v>
      </c>
      <c r="E146" s="4" t="str">
        <f>TEXT(Table1[[#This Row],[Order_Date]],"dddd")</f>
        <v>Friday</v>
      </c>
      <c r="F146" s="4">
        <f t="shared" si="25"/>
        <v>3</v>
      </c>
      <c r="G146" t="str">
        <f t="shared" si="28"/>
        <v>March</v>
      </c>
      <c r="H146">
        <f t="shared" si="29"/>
        <v>2023</v>
      </c>
      <c r="I146" t="str">
        <f t="shared" si="30"/>
        <v>2023-Q1</v>
      </c>
      <c r="J146" t="s">
        <v>55</v>
      </c>
      <c r="K146" t="s">
        <v>7067</v>
      </c>
      <c r="L146" t="s">
        <v>7068</v>
      </c>
      <c r="M146" t="s">
        <v>47</v>
      </c>
      <c r="N146" t="s">
        <v>25</v>
      </c>
      <c r="O146" t="s">
        <v>37</v>
      </c>
      <c r="P146" t="s">
        <v>38</v>
      </c>
      <c r="Q146" t="s">
        <v>87</v>
      </c>
      <c r="R146" t="s">
        <v>7069</v>
      </c>
      <c r="S146" t="s">
        <v>51</v>
      </c>
      <c r="T146" t="s">
        <v>127</v>
      </c>
      <c r="U146" t="s">
        <v>2888</v>
      </c>
      <c r="V146" s="3">
        <v>4892.57</v>
      </c>
      <c r="W146" s="4">
        <v>1</v>
      </c>
      <c r="X146" s="2">
        <v>0.3</v>
      </c>
      <c r="Y146" s="3">
        <v>482.51</v>
      </c>
      <c r="Z146" t="str">
        <f t="shared" si="26"/>
        <v>Normal</v>
      </c>
      <c r="AA146" t="str">
        <f t="shared" si="27"/>
        <v>High</v>
      </c>
      <c r="AB146" t="str">
        <f t="shared" si="31"/>
        <v>Low Profit</v>
      </c>
      <c r="AC146" s="3">
        <f t="shared" si="32"/>
        <v>9.8620970164964433E-2</v>
      </c>
      <c r="AD146" s="3">
        <f t="shared" si="33"/>
        <v>4892.57</v>
      </c>
      <c r="AE146" s="3">
        <f t="shared" si="34"/>
        <v>482.51</v>
      </c>
      <c r="AF146" t="str">
        <f t="shared" si="35"/>
        <v>Regular</v>
      </c>
    </row>
    <row r="147" spans="1:32" x14ac:dyDescent="0.25">
      <c r="A147" t="s">
        <v>5023</v>
      </c>
      <c r="B147" s="1">
        <v>44995</v>
      </c>
      <c r="C147" s="1">
        <v>44998</v>
      </c>
      <c r="D147" s="4">
        <f t="shared" si="24"/>
        <v>3</v>
      </c>
      <c r="E147" s="4" t="str">
        <f>TEXT(Table1[[#This Row],[Order_Date]],"dddd")</f>
        <v>Friday</v>
      </c>
      <c r="F147" s="4">
        <f t="shared" si="25"/>
        <v>3</v>
      </c>
      <c r="G147" t="str">
        <f t="shared" si="28"/>
        <v>March</v>
      </c>
      <c r="H147">
        <f t="shared" si="29"/>
        <v>2023</v>
      </c>
      <c r="I147" t="str">
        <f t="shared" si="30"/>
        <v>2023-Q1</v>
      </c>
      <c r="J147" t="s">
        <v>44</v>
      </c>
      <c r="K147" t="s">
        <v>5024</v>
      </c>
      <c r="L147" t="s">
        <v>5025</v>
      </c>
      <c r="M147" t="s">
        <v>47</v>
      </c>
      <c r="N147" t="s">
        <v>25</v>
      </c>
      <c r="O147" t="s">
        <v>162</v>
      </c>
      <c r="P147" t="s">
        <v>163</v>
      </c>
      <c r="Q147" t="s">
        <v>28</v>
      </c>
      <c r="R147" t="s">
        <v>5026</v>
      </c>
      <c r="S147" t="s">
        <v>30</v>
      </c>
      <c r="T147" t="s">
        <v>82</v>
      </c>
      <c r="U147" t="s">
        <v>5027</v>
      </c>
      <c r="V147" s="3">
        <v>3915.95</v>
      </c>
      <c r="W147" s="4">
        <v>6</v>
      </c>
      <c r="X147" s="2">
        <v>0.1</v>
      </c>
      <c r="Y147" s="3">
        <v>-295.24</v>
      </c>
      <c r="Z147" t="str">
        <f t="shared" si="26"/>
        <v>Normal</v>
      </c>
      <c r="AA147" t="str">
        <f t="shared" si="27"/>
        <v>Medium</v>
      </c>
      <c r="AB147" t="str">
        <f t="shared" si="31"/>
        <v>Loss</v>
      </c>
      <c r="AC147" s="3">
        <f t="shared" si="32"/>
        <v>-7.5394221070238396E-2</v>
      </c>
      <c r="AD147" s="3">
        <f t="shared" si="33"/>
        <v>652.6583333333333</v>
      </c>
      <c r="AE147" s="3">
        <f t="shared" si="34"/>
        <v>-49.206666666666671</v>
      </c>
      <c r="AF147" t="str">
        <f t="shared" si="35"/>
        <v>Regular</v>
      </c>
    </row>
    <row r="148" spans="1:32" x14ac:dyDescent="0.25">
      <c r="A148" t="s">
        <v>1233</v>
      </c>
      <c r="B148" s="1">
        <v>44995</v>
      </c>
      <c r="C148" s="1">
        <v>44997</v>
      </c>
      <c r="D148" s="4">
        <f t="shared" si="24"/>
        <v>2</v>
      </c>
      <c r="E148" s="4" t="str">
        <f>TEXT(Table1[[#This Row],[Order_Date]],"dddd")</f>
        <v>Friday</v>
      </c>
      <c r="F148" s="4">
        <f t="shared" si="25"/>
        <v>3</v>
      </c>
      <c r="G148" t="str">
        <f t="shared" si="28"/>
        <v>March</v>
      </c>
      <c r="H148">
        <f t="shared" si="29"/>
        <v>2023</v>
      </c>
      <c r="I148" t="str">
        <f t="shared" si="30"/>
        <v>2023-Q1</v>
      </c>
      <c r="J148" t="s">
        <v>55</v>
      </c>
      <c r="K148" t="s">
        <v>1234</v>
      </c>
      <c r="L148" t="s">
        <v>1235</v>
      </c>
      <c r="M148" t="s">
        <v>47</v>
      </c>
      <c r="N148" t="s">
        <v>25</v>
      </c>
      <c r="O148" t="s">
        <v>611</v>
      </c>
      <c r="P148" t="s">
        <v>74</v>
      </c>
      <c r="Q148" t="s">
        <v>87</v>
      </c>
      <c r="R148" t="s">
        <v>1236</v>
      </c>
      <c r="S148" t="s">
        <v>30</v>
      </c>
      <c r="T148" t="s">
        <v>82</v>
      </c>
      <c r="U148" t="s">
        <v>1237</v>
      </c>
      <c r="V148" s="3">
        <v>4523.49</v>
      </c>
      <c r="W148" s="4">
        <v>10</v>
      </c>
      <c r="X148" s="2">
        <v>0.1</v>
      </c>
      <c r="Y148" s="3">
        <v>-888.56</v>
      </c>
      <c r="Z148" t="str">
        <f t="shared" si="26"/>
        <v>Outlier</v>
      </c>
      <c r="AA148" t="str">
        <f t="shared" si="27"/>
        <v>Medium</v>
      </c>
      <c r="AB148" t="str">
        <f t="shared" si="31"/>
        <v>Loss</v>
      </c>
      <c r="AC148" s="3">
        <f t="shared" si="32"/>
        <v>-0.19643240064640355</v>
      </c>
      <c r="AD148" s="3">
        <f t="shared" si="33"/>
        <v>452.34899999999999</v>
      </c>
      <c r="AE148" s="3">
        <f t="shared" si="34"/>
        <v>-88.855999999999995</v>
      </c>
      <c r="AF148" t="str">
        <f t="shared" si="35"/>
        <v>Regular</v>
      </c>
    </row>
    <row r="149" spans="1:32" x14ac:dyDescent="0.25">
      <c r="A149" t="s">
        <v>2246</v>
      </c>
      <c r="B149" s="1">
        <v>44996</v>
      </c>
      <c r="C149" s="1">
        <v>45001</v>
      </c>
      <c r="D149" s="4">
        <f t="shared" si="24"/>
        <v>5</v>
      </c>
      <c r="E149" s="4" t="str">
        <f>TEXT(Table1[[#This Row],[Order_Date]],"dddd")</f>
        <v>Saturday</v>
      </c>
      <c r="F149" s="4">
        <f t="shared" si="25"/>
        <v>3</v>
      </c>
      <c r="G149" t="str">
        <f t="shared" si="28"/>
        <v>March</v>
      </c>
      <c r="H149">
        <f t="shared" si="29"/>
        <v>2023</v>
      </c>
      <c r="I149" t="str">
        <f t="shared" si="30"/>
        <v>2023-Q1</v>
      </c>
      <c r="J149" t="s">
        <v>55</v>
      </c>
      <c r="K149" t="s">
        <v>2247</v>
      </c>
      <c r="L149" t="s">
        <v>2248</v>
      </c>
      <c r="M149" t="s">
        <v>36</v>
      </c>
      <c r="N149" t="s">
        <v>25</v>
      </c>
      <c r="O149" t="s">
        <v>37</v>
      </c>
      <c r="P149" t="s">
        <v>38</v>
      </c>
      <c r="Q149" t="s">
        <v>39</v>
      </c>
      <c r="R149" t="s">
        <v>2249</v>
      </c>
      <c r="S149" t="s">
        <v>51</v>
      </c>
      <c r="T149" t="s">
        <v>52</v>
      </c>
      <c r="U149" t="s">
        <v>2250</v>
      </c>
      <c r="V149" s="3">
        <v>1042.97</v>
      </c>
      <c r="W149" s="4">
        <v>8</v>
      </c>
      <c r="X149" s="2">
        <v>0.3</v>
      </c>
      <c r="Y149" s="3">
        <v>-80.81</v>
      </c>
      <c r="Z149" t="str">
        <f t="shared" si="26"/>
        <v>Normal</v>
      </c>
      <c r="AA149" t="str">
        <f t="shared" si="27"/>
        <v>High</v>
      </c>
      <c r="AB149" t="str">
        <f t="shared" si="31"/>
        <v>Loss</v>
      </c>
      <c r="AC149" s="3">
        <f t="shared" si="32"/>
        <v>-7.7480656202958853E-2</v>
      </c>
      <c r="AD149" s="3">
        <f t="shared" si="33"/>
        <v>130.37125</v>
      </c>
      <c r="AE149" s="3">
        <f t="shared" si="34"/>
        <v>-10.10125</v>
      </c>
      <c r="AF149" t="str">
        <f t="shared" si="35"/>
        <v>Regular</v>
      </c>
    </row>
    <row r="150" spans="1:32" x14ac:dyDescent="0.25">
      <c r="A150" t="s">
        <v>5999</v>
      </c>
      <c r="B150" s="1">
        <v>44996</v>
      </c>
      <c r="C150" s="1">
        <v>45006</v>
      </c>
      <c r="D150" s="4">
        <f t="shared" si="24"/>
        <v>10</v>
      </c>
      <c r="E150" s="4" t="str">
        <f>TEXT(Table1[[#This Row],[Order_Date]],"dddd")</f>
        <v>Saturday</v>
      </c>
      <c r="F150" s="4">
        <f t="shared" si="25"/>
        <v>3</v>
      </c>
      <c r="G150" t="str">
        <f t="shared" si="28"/>
        <v>March</v>
      </c>
      <c r="H150">
        <f t="shared" si="29"/>
        <v>2023</v>
      </c>
      <c r="I150" t="str">
        <f t="shared" si="30"/>
        <v>2023-Q1</v>
      </c>
      <c r="J150" t="s">
        <v>44</v>
      </c>
      <c r="K150" t="s">
        <v>6000</v>
      </c>
      <c r="L150" t="s">
        <v>6001</v>
      </c>
      <c r="M150" t="s">
        <v>36</v>
      </c>
      <c r="N150" t="s">
        <v>25</v>
      </c>
      <c r="O150" t="s">
        <v>451</v>
      </c>
      <c r="P150" t="s">
        <v>38</v>
      </c>
      <c r="Q150" t="s">
        <v>28</v>
      </c>
      <c r="R150" t="s">
        <v>6002</v>
      </c>
      <c r="S150" t="s">
        <v>51</v>
      </c>
      <c r="T150" t="s">
        <v>127</v>
      </c>
      <c r="U150" t="s">
        <v>2868</v>
      </c>
      <c r="V150" s="3">
        <v>4889.34</v>
      </c>
      <c r="W150" s="4">
        <v>3</v>
      </c>
      <c r="X150" s="2">
        <v>0.1</v>
      </c>
      <c r="Y150" s="3">
        <v>-648.86</v>
      </c>
      <c r="Z150" t="str">
        <f t="shared" si="26"/>
        <v>Normal</v>
      </c>
      <c r="AA150" t="str">
        <f t="shared" si="27"/>
        <v>Medium</v>
      </c>
      <c r="AB150" t="str">
        <f t="shared" si="31"/>
        <v>Loss</v>
      </c>
      <c r="AC150" s="3">
        <f t="shared" si="32"/>
        <v>-0.13270911820409298</v>
      </c>
      <c r="AD150" s="3">
        <f t="shared" si="33"/>
        <v>1629.78</v>
      </c>
      <c r="AE150" s="3">
        <f t="shared" si="34"/>
        <v>-216.28666666666666</v>
      </c>
      <c r="AF150" t="str">
        <f t="shared" si="35"/>
        <v>Regular</v>
      </c>
    </row>
    <row r="151" spans="1:32" x14ac:dyDescent="0.25">
      <c r="A151" t="s">
        <v>5419</v>
      </c>
      <c r="B151" s="1">
        <v>44996</v>
      </c>
      <c r="C151" s="1">
        <v>45005</v>
      </c>
      <c r="D151" s="4">
        <f t="shared" si="24"/>
        <v>9</v>
      </c>
      <c r="E151" s="4" t="str">
        <f>TEXT(Table1[[#This Row],[Order_Date]],"dddd")</f>
        <v>Saturday</v>
      </c>
      <c r="F151" s="4">
        <f t="shared" si="25"/>
        <v>3</v>
      </c>
      <c r="G151" t="str">
        <f t="shared" si="28"/>
        <v>March</v>
      </c>
      <c r="H151">
        <f t="shared" si="29"/>
        <v>2023</v>
      </c>
      <c r="I151" t="str">
        <f t="shared" si="30"/>
        <v>2023-Q1</v>
      </c>
      <c r="J151" t="s">
        <v>44</v>
      </c>
      <c r="K151" t="s">
        <v>5420</v>
      </c>
      <c r="L151" t="s">
        <v>5421</v>
      </c>
      <c r="M151" t="s">
        <v>24</v>
      </c>
      <c r="N151" t="s">
        <v>25</v>
      </c>
      <c r="O151" t="s">
        <v>227</v>
      </c>
      <c r="P151" t="s">
        <v>49</v>
      </c>
      <c r="Q151" t="s">
        <v>66</v>
      </c>
      <c r="R151" t="s">
        <v>5422</v>
      </c>
      <c r="S151" t="s">
        <v>30</v>
      </c>
      <c r="T151" t="s">
        <v>82</v>
      </c>
      <c r="U151" t="s">
        <v>5423</v>
      </c>
      <c r="V151" s="3">
        <v>1469.85</v>
      </c>
      <c r="W151" s="4">
        <v>2</v>
      </c>
      <c r="X151" s="2">
        <v>0.2</v>
      </c>
      <c r="Y151" s="3">
        <v>170.44</v>
      </c>
      <c r="Z151" t="str">
        <f t="shared" si="26"/>
        <v>Normal</v>
      </c>
      <c r="AA151" t="str">
        <f t="shared" si="27"/>
        <v>High</v>
      </c>
      <c r="AB151" t="str">
        <f t="shared" si="31"/>
        <v>Low Profit</v>
      </c>
      <c r="AC151" s="3">
        <f t="shared" si="32"/>
        <v>0.11595741062013132</v>
      </c>
      <c r="AD151" s="3">
        <f t="shared" si="33"/>
        <v>734.92499999999995</v>
      </c>
      <c r="AE151" s="3">
        <f t="shared" si="34"/>
        <v>85.22</v>
      </c>
      <c r="AF151" t="str">
        <f t="shared" si="35"/>
        <v>Regular</v>
      </c>
    </row>
    <row r="152" spans="1:32" x14ac:dyDescent="0.25">
      <c r="A152" t="s">
        <v>6906</v>
      </c>
      <c r="B152" s="1">
        <v>44998</v>
      </c>
      <c r="C152" s="1">
        <v>45008</v>
      </c>
      <c r="D152" s="4">
        <f t="shared" si="24"/>
        <v>10</v>
      </c>
      <c r="E152" s="4" t="str">
        <f>TEXT(Table1[[#This Row],[Order_Date]],"dddd")</f>
        <v>Monday</v>
      </c>
      <c r="F152" s="4">
        <f t="shared" si="25"/>
        <v>3</v>
      </c>
      <c r="G152" t="str">
        <f t="shared" si="28"/>
        <v>March</v>
      </c>
      <c r="H152">
        <f t="shared" si="29"/>
        <v>2023</v>
      </c>
      <c r="I152" t="str">
        <f t="shared" si="30"/>
        <v>2023-Q1</v>
      </c>
      <c r="J152" t="s">
        <v>21</v>
      </c>
      <c r="K152" t="s">
        <v>6907</v>
      </c>
      <c r="L152" t="s">
        <v>6908</v>
      </c>
      <c r="M152" t="s">
        <v>24</v>
      </c>
      <c r="N152" t="s">
        <v>25</v>
      </c>
      <c r="O152" t="s">
        <v>73</v>
      </c>
      <c r="P152" t="s">
        <v>74</v>
      </c>
      <c r="Q152" t="s">
        <v>39</v>
      </c>
      <c r="R152" t="s">
        <v>6909</v>
      </c>
      <c r="S152" t="s">
        <v>59</v>
      </c>
      <c r="T152" t="s">
        <v>303</v>
      </c>
      <c r="U152" t="s">
        <v>6910</v>
      </c>
      <c r="V152" s="3">
        <v>3399.62</v>
      </c>
      <c r="W152" s="4">
        <v>6</v>
      </c>
      <c r="X152" s="2">
        <v>0.4</v>
      </c>
      <c r="Y152" s="3">
        <v>124.89</v>
      </c>
      <c r="Z152" t="str">
        <f t="shared" si="26"/>
        <v>Normal</v>
      </c>
      <c r="AA152" t="str">
        <f t="shared" si="27"/>
        <v>High</v>
      </c>
      <c r="AB152" t="str">
        <f t="shared" si="31"/>
        <v>Low Profit</v>
      </c>
      <c r="AC152" s="3">
        <f t="shared" si="32"/>
        <v>3.6736458780687258E-2</v>
      </c>
      <c r="AD152" s="3">
        <f t="shared" si="33"/>
        <v>566.60333333333335</v>
      </c>
      <c r="AE152" s="3">
        <f t="shared" si="34"/>
        <v>20.815000000000001</v>
      </c>
      <c r="AF152" t="str">
        <f t="shared" si="35"/>
        <v>Regular</v>
      </c>
    </row>
    <row r="153" spans="1:32" x14ac:dyDescent="0.25">
      <c r="A153" t="s">
        <v>4416</v>
      </c>
      <c r="B153" s="1">
        <v>44998</v>
      </c>
      <c r="C153" s="1">
        <v>45007</v>
      </c>
      <c r="D153" s="4">
        <f t="shared" si="24"/>
        <v>9</v>
      </c>
      <c r="E153" s="4" t="str">
        <f>TEXT(Table1[[#This Row],[Order_Date]],"dddd")</f>
        <v>Monday</v>
      </c>
      <c r="F153" s="4">
        <f t="shared" si="25"/>
        <v>3</v>
      </c>
      <c r="G153" t="str">
        <f t="shared" si="28"/>
        <v>March</v>
      </c>
      <c r="H153">
        <f t="shared" si="29"/>
        <v>2023</v>
      </c>
      <c r="I153" t="str">
        <f t="shared" si="30"/>
        <v>2023-Q1</v>
      </c>
      <c r="J153" t="s">
        <v>44</v>
      </c>
      <c r="K153" t="s">
        <v>4417</v>
      </c>
      <c r="L153" t="s">
        <v>4418</v>
      </c>
      <c r="M153" t="s">
        <v>36</v>
      </c>
      <c r="N153" t="s">
        <v>25</v>
      </c>
      <c r="O153" t="s">
        <v>156</v>
      </c>
      <c r="P153" t="s">
        <v>143</v>
      </c>
      <c r="Q153" t="s">
        <v>28</v>
      </c>
      <c r="R153" t="s">
        <v>4419</v>
      </c>
      <c r="S153" t="s">
        <v>51</v>
      </c>
      <c r="T153" t="s">
        <v>151</v>
      </c>
      <c r="U153" t="s">
        <v>4420</v>
      </c>
      <c r="V153" s="3">
        <v>4416.37</v>
      </c>
      <c r="W153" s="4">
        <v>6</v>
      </c>
      <c r="X153" s="2">
        <v>0</v>
      </c>
      <c r="Y153" s="3">
        <v>-245.22</v>
      </c>
      <c r="Z153" t="str">
        <f t="shared" si="26"/>
        <v>Normal</v>
      </c>
      <c r="AA153" t="str">
        <f t="shared" si="27"/>
        <v>Low</v>
      </c>
      <c r="AB153" t="str">
        <f t="shared" si="31"/>
        <v>Loss</v>
      </c>
      <c r="AC153" s="3">
        <f t="shared" si="32"/>
        <v>-5.552523905379305E-2</v>
      </c>
      <c r="AD153" s="3">
        <f t="shared" si="33"/>
        <v>736.06166666666661</v>
      </c>
      <c r="AE153" s="3">
        <f t="shared" si="34"/>
        <v>-40.869999999999997</v>
      </c>
      <c r="AF153" t="str">
        <f t="shared" si="35"/>
        <v>Regular</v>
      </c>
    </row>
    <row r="154" spans="1:32" x14ac:dyDescent="0.25">
      <c r="A154" t="s">
        <v>907</v>
      </c>
      <c r="B154" s="1">
        <v>44999</v>
      </c>
      <c r="C154" s="1">
        <f>B154+5</f>
        <v>45004</v>
      </c>
      <c r="D154" s="4">
        <f t="shared" si="24"/>
        <v>5</v>
      </c>
      <c r="E154" s="4" t="str">
        <f>TEXT(Table1[[#This Row],[Order_Date]],"dddd")</f>
        <v>Tuesday</v>
      </c>
      <c r="F154" s="4">
        <f t="shared" si="25"/>
        <v>3</v>
      </c>
      <c r="G154" t="str">
        <f t="shared" si="28"/>
        <v>March</v>
      </c>
      <c r="H154">
        <f t="shared" si="29"/>
        <v>2023</v>
      </c>
      <c r="I154" t="str">
        <f t="shared" si="30"/>
        <v>2023-Q1</v>
      </c>
      <c r="J154" t="s">
        <v>55</v>
      </c>
      <c r="K154" t="s">
        <v>908</v>
      </c>
      <c r="L154" t="s">
        <v>909</v>
      </c>
      <c r="M154" t="s">
        <v>47</v>
      </c>
      <c r="N154" t="s">
        <v>25</v>
      </c>
      <c r="O154" t="s">
        <v>511</v>
      </c>
      <c r="P154" t="s">
        <v>120</v>
      </c>
      <c r="Q154" t="s">
        <v>87</v>
      </c>
      <c r="R154" t="s">
        <v>910</v>
      </c>
      <c r="S154" t="s">
        <v>51</v>
      </c>
      <c r="T154" t="s">
        <v>108</v>
      </c>
      <c r="U154" t="s">
        <v>911</v>
      </c>
      <c r="V154" s="3">
        <v>220.74</v>
      </c>
      <c r="W154" s="4">
        <v>5</v>
      </c>
      <c r="X154" s="2">
        <v>0.4</v>
      </c>
      <c r="Y154" s="3">
        <v>-10.6</v>
      </c>
      <c r="Z154" t="str">
        <f t="shared" si="26"/>
        <v>Normal</v>
      </c>
      <c r="AA154" t="str">
        <f t="shared" si="27"/>
        <v>High</v>
      </c>
      <c r="AB154" t="str">
        <f t="shared" si="31"/>
        <v>Loss</v>
      </c>
      <c r="AC154" s="3">
        <f t="shared" si="32"/>
        <v>-4.802029537011869E-2</v>
      </c>
      <c r="AD154" s="3">
        <f t="shared" si="33"/>
        <v>44.148000000000003</v>
      </c>
      <c r="AE154" s="3">
        <f t="shared" si="34"/>
        <v>-2.12</v>
      </c>
      <c r="AF154" t="str">
        <f t="shared" si="35"/>
        <v>Regular</v>
      </c>
    </row>
    <row r="155" spans="1:32" x14ac:dyDescent="0.25">
      <c r="A155" t="s">
        <v>5716</v>
      </c>
      <c r="B155" s="1">
        <v>44999</v>
      </c>
      <c r="C155" s="1">
        <v>45004</v>
      </c>
      <c r="D155" s="4">
        <f t="shared" si="24"/>
        <v>5</v>
      </c>
      <c r="E155" s="4" t="str">
        <f>TEXT(Table1[[#This Row],[Order_Date]],"dddd")</f>
        <v>Tuesday</v>
      </c>
      <c r="F155" s="4">
        <f t="shared" si="25"/>
        <v>3</v>
      </c>
      <c r="G155" t="str">
        <f t="shared" si="28"/>
        <v>March</v>
      </c>
      <c r="H155">
        <f t="shared" si="29"/>
        <v>2023</v>
      </c>
      <c r="I155" t="str">
        <f t="shared" si="30"/>
        <v>2023-Q1</v>
      </c>
      <c r="J155" t="s">
        <v>55</v>
      </c>
      <c r="K155" t="s">
        <v>5717</v>
      </c>
      <c r="L155" t="s">
        <v>5718</v>
      </c>
      <c r="M155" t="s">
        <v>47</v>
      </c>
      <c r="N155" t="s">
        <v>25</v>
      </c>
      <c r="O155" t="s">
        <v>190</v>
      </c>
      <c r="P155" t="s">
        <v>120</v>
      </c>
      <c r="Q155" t="s">
        <v>39</v>
      </c>
      <c r="R155" t="s">
        <v>5719</v>
      </c>
      <c r="S155" t="s">
        <v>51</v>
      </c>
      <c r="T155" t="s">
        <v>52</v>
      </c>
      <c r="U155" t="s">
        <v>5720</v>
      </c>
      <c r="V155" s="3">
        <v>3712.49</v>
      </c>
      <c r="W155" s="4">
        <v>3</v>
      </c>
      <c r="X155" s="2">
        <v>0.4</v>
      </c>
      <c r="Y155" s="3">
        <v>354.57</v>
      </c>
      <c r="Z155" t="str">
        <f t="shared" si="26"/>
        <v>Normal</v>
      </c>
      <c r="AA155" t="str">
        <f t="shared" si="27"/>
        <v>High</v>
      </c>
      <c r="AB155" t="str">
        <f t="shared" si="31"/>
        <v>Low Profit</v>
      </c>
      <c r="AC155" s="3">
        <f t="shared" si="32"/>
        <v>9.5507327965866584E-2</v>
      </c>
      <c r="AD155" s="3">
        <f t="shared" si="33"/>
        <v>1237.4966666666667</v>
      </c>
      <c r="AE155" s="3">
        <f t="shared" si="34"/>
        <v>118.19</v>
      </c>
      <c r="AF155" t="str">
        <f t="shared" si="35"/>
        <v>Regular</v>
      </c>
    </row>
    <row r="156" spans="1:32" x14ac:dyDescent="0.25">
      <c r="A156" t="s">
        <v>4540</v>
      </c>
      <c r="B156" s="1">
        <v>45000</v>
      </c>
      <c r="C156" s="1">
        <v>45006</v>
      </c>
      <c r="D156" s="4">
        <f t="shared" si="24"/>
        <v>6</v>
      </c>
      <c r="E156" s="4" t="str">
        <f>TEXT(Table1[[#This Row],[Order_Date]],"dddd")</f>
        <v>Wednesday</v>
      </c>
      <c r="F156" s="4">
        <f t="shared" si="25"/>
        <v>3</v>
      </c>
      <c r="G156" t="str">
        <f t="shared" si="28"/>
        <v>March</v>
      </c>
      <c r="H156">
        <f t="shared" si="29"/>
        <v>2023</v>
      </c>
      <c r="I156" t="str">
        <f t="shared" si="30"/>
        <v>2023-Q1</v>
      </c>
      <c r="J156" t="s">
        <v>21</v>
      </c>
      <c r="K156" t="s">
        <v>4541</v>
      </c>
      <c r="L156" t="s">
        <v>4542</v>
      </c>
      <c r="M156" t="s">
        <v>47</v>
      </c>
      <c r="N156" t="s">
        <v>25</v>
      </c>
      <c r="O156" t="s">
        <v>80</v>
      </c>
      <c r="P156" t="s">
        <v>49</v>
      </c>
      <c r="Q156" t="s">
        <v>66</v>
      </c>
      <c r="R156" t="s">
        <v>4543</v>
      </c>
      <c r="S156" t="s">
        <v>59</v>
      </c>
      <c r="T156" t="s">
        <v>101</v>
      </c>
      <c r="U156" t="s">
        <v>4544</v>
      </c>
      <c r="V156" s="3">
        <v>4211.91</v>
      </c>
      <c r="W156" s="4">
        <v>3</v>
      </c>
      <c r="X156" s="2">
        <v>0.3</v>
      </c>
      <c r="Y156" s="3">
        <v>335.71</v>
      </c>
      <c r="Z156" t="str">
        <f t="shared" si="26"/>
        <v>Normal</v>
      </c>
      <c r="AA156" t="str">
        <f t="shared" si="27"/>
        <v>High</v>
      </c>
      <c r="AB156" t="str">
        <f t="shared" si="31"/>
        <v>Low Profit</v>
      </c>
      <c r="AC156" s="3">
        <f t="shared" si="32"/>
        <v>7.9704931966732437E-2</v>
      </c>
      <c r="AD156" s="3">
        <f t="shared" si="33"/>
        <v>1403.97</v>
      </c>
      <c r="AE156" s="3">
        <f t="shared" si="34"/>
        <v>111.90333333333332</v>
      </c>
      <c r="AF156" t="str">
        <f t="shared" si="35"/>
        <v>Regular</v>
      </c>
    </row>
    <row r="157" spans="1:32" x14ac:dyDescent="0.25">
      <c r="A157" t="s">
        <v>1863</v>
      </c>
      <c r="B157" s="1">
        <v>45001</v>
      </c>
      <c r="C157" s="1">
        <v>45009</v>
      </c>
      <c r="D157" s="4">
        <f t="shared" si="24"/>
        <v>8</v>
      </c>
      <c r="E157" s="4" t="str">
        <f>TEXT(Table1[[#This Row],[Order_Date]],"dddd")</f>
        <v>Thursday</v>
      </c>
      <c r="F157" s="4">
        <f t="shared" si="25"/>
        <v>3</v>
      </c>
      <c r="G157" t="str">
        <f t="shared" si="28"/>
        <v>March</v>
      </c>
      <c r="H157">
        <f t="shared" si="29"/>
        <v>2023</v>
      </c>
      <c r="I157" t="str">
        <f t="shared" si="30"/>
        <v>2023-Q1</v>
      </c>
      <c r="J157" t="s">
        <v>21</v>
      </c>
      <c r="K157" t="s">
        <v>1864</v>
      </c>
      <c r="L157" t="s">
        <v>1865</v>
      </c>
      <c r="M157" t="s">
        <v>47</v>
      </c>
      <c r="N157" t="s">
        <v>25</v>
      </c>
      <c r="O157" t="s">
        <v>511</v>
      </c>
      <c r="P157" t="s">
        <v>120</v>
      </c>
      <c r="Q157" t="s">
        <v>66</v>
      </c>
      <c r="R157" t="s">
        <v>1866</v>
      </c>
      <c r="S157" t="s">
        <v>51</v>
      </c>
      <c r="T157" t="s">
        <v>94</v>
      </c>
      <c r="U157" t="s">
        <v>1867</v>
      </c>
      <c r="V157" s="3">
        <v>4807.62</v>
      </c>
      <c r="W157" s="4">
        <v>8</v>
      </c>
      <c r="X157" s="2">
        <v>0</v>
      </c>
      <c r="Y157" s="3">
        <v>1232.0899999999999</v>
      </c>
      <c r="Z157" t="str">
        <f t="shared" si="26"/>
        <v>Outlier</v>
      </c>
      <c r="AA157" t="str">
        <f t="shared" si="27"/>
        <v>Low</v>
      </c>
      <c r="AB157" t="str">
        <f t="shared" si="31"/>
        <v>High Profit</v>
      </c>
      <c r="AC157" s="3">
        <f t="shared" si="32"/>
        <v>0.25627857442975943</v>
      </c>
      <c r="AD157" s="3">
        <f t="shared" si="33"/>
        <v>600.95249999999999</v>
      </c>
      <c r="AE157" s="3">
        <f t="shared" si="34"/>
        <v>154.01124999999999</v>
      </c>
      <c r="AF157" t="str">
        <f t="shared" si="35"/>
        <v>Regular</v>
      </c>
    </row>
    <row r="158" spans="1:32" x14ac:dyDescent="0.25">
      <c r="A158" t="s">
        <v>4357</v>
      </c>
      <c r="B158" s="1">
        <v>45002</v>
      </c>
      <c r="C158" s="1">
        <v>45004</v>
      </c>
      <c r="D158" s="4">
        <f t="shared" si="24"/>
        <v>2</v>
      </c>
      <c r="E158" s="4" t="str">
        <f>TEXT(Table1[[#This Row],[Order_Date]],"dddd")</f>
        <v>Friday</v>
      </c>
      <c r="F158" s="4">
        <f t="shared" si="25"/>
        <v>3</v>
      </c>
      <c r="G158" t="str">
        <f t="shared" si="28"/>
        <v>March</v>
      </c>
      <c r="H158">
        <f t="shared" si="29"/>
        <v>2023</v>
      </c>
      <c r="I158" t="str">
        <f t="shared" si="30"/>
        <v>2023-Q1</v>
      </c>
      <c r="J158" t="s">
        <v>104</v>
      </c>
      <c r="K158" t="s">
        <v>4358</v>
      </c>
      <c r="L158" t="s">
        <v>4359</v>
      </c>
      <c r="M158" t="s">
        <v>47</v>
      </c>
      <c r="N158" t="s">
        <v>25</v>
      </c>
      <c r="O158" t="s">
        <v>65</v>
      </c>
      <c r="P158" t="s">
        <v>27</v>
      </c>
      <c r="Q158" t="s">
        <v>39</v>
      </c>
      <c r="R158" t="s">
        <v>4360</v>
      </c>
      <c r="S158" t="s">
        <v>59</v>
      </c>
      <c r="T158" t="s">
        <v>277</v>
      </c>
      <c r="U158" t="s">
        <v>4361</v>
      </c>
      <c r="V158" s="3">
        <v>2190.2800000000002</v>
      </c>
      <c r="W158" s="4">
        <v>2</v>
      </c>
      <c r="X158" s="2">
        <v>0.1</v>
      </c>
      <c r="Y158" s="3">
        <v>195.01</v>
      </c>
      <c r="Z158" t="str">
        <f t="shared" si="26"/>
        <v>Normal</v>
      </c>
      <c r="AA158" t="str">
        <f t="shared" si="27"/>
        <v>Medium</v>
      </c>
      <c r="AB158" t="str">
        <f t="shared" si="31"/>
        <v>Low Profit</v>
      </c>
      <c r="AC158" s="3">
        <f t="shared" si="32"/>
        <v>8.9034278722355115E-2</v>
      </c>
      <c r="AD158" s="3">
        <f t="shared" si="33"/>
        <v>1095.1400000000001</v>
      </c>
      <c r="AE158" s="3">
        <f t="shared" si="34"/>
        <v>97.504999999999995</v>
      </c>
      <c r="AF158" t="str">
        <f t="shared" si="35"/>
        <v>Regular</v>
      </c>
    </row>
    <row r="159" spans="1:32" x14ac:dyDescent="0.25">
      <c r="A159" t="s">
        <v>4260</v>
      </c>
      <c r="B159" s="1">
        <v>45002</v>
      </c>
      <c r="C159" s="1">
        <v>45010</v>
      </c>
      <c r="D159" s="4">
        <f t="shared" si="24"/>
        <v>8</v>
      </c>
      <c r="E159" s="4" t="str">
        <f>TEXT(Table1[[#This Row],[Order_Date]],"dddd")</f>
        <v>Friday</v>
      </c>
      <c r="F159" s="4">
        <f t="shared" si="25"/>
        <v>3</v>
      </c>
      <c r="G159" t="str">
        <f t="shared" si="28"/>
        <v>March</v>
      </c>
      <c r="H159">
        <f t="shared" si="29"/>
        <v>2023</v>
      </c>
      <c r="I159" t="str">
        <f t="shared" si="30"/>
        <v>2023-Q1</v>
      </c>
      <c r="J159" t="s">
        <v>21</v>
      </c>
      <c r="K159" t="s">
        <v>4261</v>
      </c>
      <c r="L159" t="s">
        <v>4262</v>
      </c>
      <c r="M159" t="s">
        <v>36</v>
      </c>
      <c r="N159" t="s">
        <v>25</v>
      </c>
      <c r="O159" t="s">
        <v>227</v>
      </c>
      <c r="P159" t="s">
        <v>49</v>
      </c>
      <c r="Q159" t="s">
        <v>66</v>
      </c>
      <c r="R159" t="s">
        <v>4263</v>
      </c>
      <c r="S159" t="s">
        <v>59</v>
      </c>
      <c r="T159" t="s">
        <v>303</v>
      </c>
      <c r="U159" t="s">
        <v>4264</v>
      </c>
      <c r="V159" s="3">
        <v>4999.87</v>
      </c>
      <c r="W159" s="4">
        <v>7</v>
      </c>
      <c r="X159" s="2">
        <v>0.1</v>
      </c>
      <c r="Y159" s="3">
        <v>-898.4</v>
      </c>
      <c r="Z159" t="str">
        <f t="shared" si="26"/>
        <v>Outlier</v>
      </c>
      <c r="AA159" t="str">
        <f t="shared" si="27"/>
        <v>Medium</v>
      </c>
      <c r="AB159" t="str">
        <f t="shared" si="31"/>
        <v>Loss</v>
      </c>
      <c r="AC159" s="3">
        <f t="shared" si="32"/>
        <v>-0.17968467180146683</v>
      </c>
      <c r="AD159" s="3">
        <f t="shared" si="33"/>
        <v>714.26714285714286</v>
      </c>
      <c r="AE159" s="3">
        <f t="shared" si="34"/>
        <v>-128.34285714285713</v>
      </c>
      <c r="AF159" t="str">
        <f t="shared" si="35"/>
        <v>Regular</v>
      </c>
    </row>
    <row r="160" spans="1:32" x14ac:dyDescent="0.25">
      <c r="A160" t="s">
        <v>2715</v>
      </c>
      <c r="B160" s="1">
        <v>45003</v>
      </c>
      <c r="C160" s="1">
        <f>B160+5</f>
        <v>45008</v>
      </c>
      <c r="D160" s="4">
        <f t="shared" si="24"/>
        <v>5</v>
      </c>
      <c r="E160" s="4" t="str">
        <f>TEXT(Table1[[#This Row],[Order_Date]],"dddd")</f>
        <v>Saturday</v>
      </c>
      <c r="F160" s="4">
        <f t="shared" si="25"/>
        <v>3</v>
      </c>
      <c r="G160" t="str">
        <f t="shared" si="28"/>
        <v>March</v>
      </c>
      <c r="H160">
        <f t="shared" si="29"/>
        <v>2023</v>
      </c>
      <c r="I160" t="str">
        <f t="shared" si="30"/>
        <v>2023-Q1</v>
      </c>
      <c r="J160" t="s">
        <v>44</v>
      </c>
      <c r="K160" t="s">
        <v>2716</v>
      </c>
      <c r="L160" t="s">
        <v>2717</v>
      </c>
      <c r="M160" t="s">
        <v>24</v>
      </c>
      <c r="N160" t="s">
        <v>25</v>
      </c>
      <c r="O160" t="s">
        <v>73</v>
      </c>
      <c r="P160" t="s">
        <v>74</v>
      </c>
      <c r="Q160" t="s">
        <v>87</v>
      </c>
      <c r="R160" t="s">
        <v>2718</v>
      </c>
      <c r="S160" t="s">
        <v>30</v>
      </c>
      <c r="T160" t="s">
        <v>31</v>
      </c>
      <c r="U160" t="s">
        <v>2719</v>
      </c>
      <c r="V160" s="3">
        <v>4761.21</v>
      </c>
      <c r="W160" s="4">
        <v>8</v>
      </c>
      <c r="X160" s="2">
        <v>0.1</v>
      </c>
      <c r="Y160" s="3">
        <v>751.25</v>
      </c>
      <c r="Z160" t="str">
        <f t="shared" si="26"/>
        <v>Normal</v>
      </c>
      <c r="AA160" t="str">
        <f t="shared" si="27"/>
        <v>Medium</v>
      </c>
      <c r="AB160" t="str">
        <f t="shared" si="31"/>
        <v>High Profit</v>
      </c>
      <c r="AC160" s="3">
        <f t="shared" si="32"/>
        <v>0.15778552090750039</v>
      </c>
      <c r="AD160" s="3">
        <f t="shared" si="33"/>
        <v>595.15125</v>
      </c>
      <c r="AE160" s="3">
        <f t="shared" si="34"/>
        <v>93.90625</v>
      </c>
      <c r="AF160" t="str">
        <f t="shared" si="35"/>
        <v>Regular</v>
      </c>
    </row>
    <row r="161" spans="1:32" x14ac:dyDescent="0.25">
      <c r="A161" t="s">
        <v>5711</v>
      </c>
      <c r="B161" s="1">
        <v>45003</v>
      </c>
      <c r="C161" s="1">
        <v>45012</v>
      </c>
      <c r="D161" s="4">
        <f t="shared" si="24"/>
        <v>9</v>
      </c>
      <c r="E161" s="4" t="str">
        <f>TEXT(Table1[[#This Row],[Order_Date]],"dddd")</f>
        <v>Saturday</v>
      </c>
      <c r="F161" s="4">
        <f t="shared" si="25"/>
        <v>3</v>
      </c>
      <c r="G161" t="str">
        <f t="shared" si="28"/>
        <v>March</v>
      </c>
      <c r="H161">
        <f t="shared" si="29"/>
        <v>2023</v>
      </c>
      <c r="I161" t="str">
        <f t="shared" si="30"/>
        <v>2023-Q1</v>
      </c>
      <c r="J161" t="s">
        <v>21</v>
      </c>
      <c r="K161" t="s">
        <v>5712</v>
      </c>
      <c r="L161" t="s">
        <v>5713</v>
      </c>
      <c r="M161" t="s">
        <v>36</v>
      </c>
      <c r="N161" t="s">
        <v>25</v>
      </c>
      <c r="O161" t="s">
        <v>37</v>
      </c>
      <c r="P161" t="s">
        <v>38</v>
      </c>
      <c r="Q161" t="s">
        <v>28</v>
      </c>
      <c r="R161" t="s">
        <v>5714</v>
      </c>
      <c r="S161" t="s">
        <v>30</v>
      </c>
      <c r="T161" t="s">
        <v>41</v>
      </c>
      <c r="U161" t="s">
        <v>5715</v>
      </c>
      <c r="V161" s="3">
        <v>1491.19</v>
      </c>
      <c r="W161" s="4">
        <v>8</v>
      </c>
      <c r="X161" s="2">
        <v>0.3</v>
      </c>
      <c r="Y161" s="3">
        <v>99.03</v>
      </c>
      <c r="Z161" t="str">
        <f t="shared" si="26"/>
        <v>Normal</v>
      </c>
      <c r="AA161" t="str">
        <f t="shared" si="27"/>
        <v>High</v>
      </c>
      <c r="AB161" t="str">
        <f t="shared" si="31"/>
        <v>Low Profit</v>
      </c>
      <c r="AC161" s="3">
        <f t="shared" si="32"/>
        <v>6.6410048350646123E-2</v>
      </c>
      <c r="AD161" s="3">
        <f t="shared" si="33"/>
        <v>186.39875000000001</v>
      </c>
      <c r="AE161" s="3">
        <f t="shared" si="34"/>
        <v>12.37875</v>
      </c>
      <c r="AF161" t="str">
        <f t="shared" si="35"/>
        <v>Regular</v>
      </c>
    </row>
    <row r="162" spans="1:32" x14ac:dyDescent="0.25">
      <c r="A162" t="s">
        <v>6457</v>
      </c>
      <c r="B162" s="1">
        <v>45003</v>
      </c>
      <c r="C162" s="1">
        <v>45013</v>
      </c>
      <c r="D162" s="4">
        <f t="shared" si="24"/>
        <v>10</v>
      </c>
      <c r="E162" s="4" t="str">
        <f>TEXT(Table1[[#This Row],[Order_Date]],"dddd")</f>
        <v>Saturday</v>
      </c>
      <c r="F162" s="4">
        <f t="shared" si="25"/>
        <v>3</v>
      </c>
      <c r="G162" t="str">
        <f t="shared" si="28"/>
        <v>March</v>
      </c>
      <c r="H162">
        <f t="shared" si="29"/>
        <v>2023</v>
      </c>
      <c r="I162" t="str">
        <f t="shared" si="30"/>
        <v>2023-Q1</v>
      </c>
      <c r="J162" t="s">
        <v>104</v>
      </c>
      <c r="K162" t="s">
        <v>6458</v>
      </c>
      <c r="L162" t="s">
        <v>6459</v>
      </c>
      <c r="M162" t="s">
        <v>47</v>
      </c>
      <c r="N162" t="s">
        <v>25</v>
      </c>
      <c r="O162" t="s">
        <v>611</v>
      </c>
      <c r="P162" t="s">
        <v>74</v>
      </c>
      <c r="Q162" t="s">
        <v>28</v>
      </c>
      <c r="R162" t="s">
        <v>6460</v>
      </c>
      <c r="S162" t="s">
        <v>59</v>
      </c>
      <c r="T162" t="s">
        <v>303</v>
      </c>
      <c r="U162" t="s">
        <v>6461</v>
      </c>
      <c r="V162" s="3">
        <v>1423.37</v>
      </c>
      <c r="W162" s="4">
        <v>1</v>
      </c>
      <c r="X162" s="2">
        <v>0.2</v>
      </c>
      <c r="Y162" s="3">
        <v>31.46</v>
      </c>
      <c r="Z162" t="str">
        <f t="shared" si="26"/>
        <v>Normal</v>
      </c>
      <c r="AA162" t="str">
        <f t="shared" si="27"/>
        <v>High</v>
      </c>
      <c r="AB162" t="str">
        <f t="shared" si="31"/>
        <v>Low Profit</v>
      </c>
      <c r="AC162" s="3">
        <f t="shared" si="32"/>
        <v>2.2102475111882364E-2</v>
      </c>
      <c r="AD162" s="3">
        <f t="shared" si="33"/>
        <v>1423.37</v>
      </c>
      <c r="AE162" s="3">
        <f t="shared" si="34"/>
        <v>31.46</v>
      </c>
      <c r="AF162" t="str">
        <f t="shared" si="35"/>
        <v>Regular</v>
      </c>
    </row>
    <row r="163" spans="1:32" x14ac:dyDescent="0.25">
      <c r="A163" t="s">
        <v>5628</v>
      </c>
      <c r="B163" s="1">
        <v>45003</v>
      </c>
      <c r="C163" s="1">
        <v>45009</v>
      </c>
      <c r="D163" s="4">
        <f t="shared" si="24"/>
        <v>6</v>
      </c>
      <c r="E163" s="4" t="str">
        <f>TEXT(Table1[[#This Row],[Order_Date]],"dddd")</f>
        <v>Saturday</v>
      </c>
      <c r="F163" s="4">
        <f t="shared" si="25"/>
        <v>3</v>
      </c>
      <c r="G163" t="str">
        <f t="shared" si="28"/>
        <v>March</v>
      </c>
      <c r="H163">
        <f t="shared" si="29"/>
        <v>2023</v>
      </c>
      <c r="I163" t="str">
        <f t="shared" si="30"/>
        <v>2023-Q1</v>
      </c>
      <c r="J163" t="s">
        <v>55</v>
      </c>
      <c r="K163" t="s">
        <v>5629</v>
      </c>
      <c r="L163" t="s">
        <v>5630</v>
      </c>
      <c r="M163" t="s">
        <v>24</v>
      </c>
      <c r="N163" t="s">
        <v>25</v>
      </c>
      <c r="O163" t="s">
        <v>382</v>
      </c>
      <c r="P163" t="s">
        <v>38</v>
      </c>
      <c r="Q163" t="s">
        <v>66</v>
      </c>
      <c r="R163" t="s">
        <v>5631</v>
      </c>
      <c r="S163" t="s">
        <v>30</v>
      </c>
      <c r="T163" t="s">
        <v>31</v>
      </c>
      <c r="U163" t="s">
        <v>2518</v>
      </c>
      <c r="V163" s="3">
        <v>1622.15</v>
      </c>
      <c r="W163" s="4">
        <v>6</v>
      </c>
      <c r="X163" s="2">
        <v>0.1</v>
      </c>
      <c r="Y163" s="3">
        <v>-309.06</v>
      </c>
      <c r="Z163" t="str">
        <f t="shared" si="26"/>
        <v>Normal</v>
      </c>
      <c r="AA163" t="str">
        <f t="shared" si="27"/>
        <v>Medium</v>
      </c>
      <c r="AB163" t="str">
        <f t="shared" si="31"/>
        <v>Loss</v>
      </c>
      <c r="AC163" s="3">
        <f t="shared" si="32"/>
        <v>-0.19052492063002804</v>
      </c>
      <c r="AD163" s="3">
        <f t="shared" si="33"/>
        <v>270.35833333333335</v>
      </c>
      <c r="AE163" s="3">
        <f t="shared" si="34"/>
        <v>-51.51</v>
      </c>
      <c r="AF163" t="str">
        <f t="shared" si="35"/>
        <v>Regular</v>
      </c>
    </row>
    <row r="164" spans="1:32" x14ac:dyDescent="0.25">
      <c r="A164" t="s">
        <v>7033</v>
      </c>
      <c r="B164" s="1">
        <v>45004</v>
      </c>
      <c r="C164" s="1">
        <v>45010</v>
      </c>
      <c r="D164" s="4">
        <f t="shared" si="24"/>
        <v>6</v>
      </c>
      <c r="E164" s="4" t="str">
        <f>TEXT(Table1[[#This Row],[Order_Date]],"dddd")</f>
        <v>Sunday</v>
      </c>
      <c r="F164" s="4">
        <f t="shared" si="25"/>
        <v>3</v>
      </c>
      <c r="G164" t="str">
        <f t="shared" si="28"/>
        <v>March</v>
      </c>
      <c r="H164">
        <f t="shared" si="29"/>
        <v>2023</v>
      </c>
      <c r="I164" t="str">
        <f t="shared" si="30"/>
        <v>2023-Q1</v>
      </c>
      <c r="J164" t="s">
        <v>44</v>
      </c>
      <c r="K164" t="s">
        <v>7034</v>
      </c>
      <c r="L164" t="s">
        <v>7035</v>
      </c>
      <c r="M164" t="s">
        <v>24</v>
      </c>
      <c r="N164" t="s">
        <v>25</v>
      </c>
      <c r="O164" t="s">
        <v>26</v>
      </c>
      <c r="P164" t="s">
        <v>27</v>
      </c>
      <c r="Q164" t="s">
        <v>66</v>
      </c>
      <c r="R164" t="s">
        <v>7036</v>
      </c>
      <c r="S164" t="s">
        <v>59</v>
      </c>
      <c r="T164" t="s">
        <v>303</v>
      </c>
      <c r="U164" t="s">
        <v>7037</v>
      </c>
      <c r="V164" s="3">
        <v>2596.66</v>
      </c>
      <c r="W164" s="4">
        <v>4</v>
      </c>
      <c r="X164" s="2">
        <v>0</v>
      </c>
      <c r="Y164" s="3">
        <v>35.21</v>
      </c>
      <c r="Z164" t="str">
        <f t="shared" si="26"/>
        <v>Normal</v>
      </c>
      <c r="AA164" t="str">
        <f t="shared" si="27"/>
        <v>Low</v>
      </c>
      <c r="AB164" t="str">
        <f t="shared" si="31"/>
        <v>Low Profit</v>
      </c>
      <c r="AC164" s="3">
        <f t="shared" si="32"/>
        <v>1.3559726725870927E-2</v>
      </c>
      <c r="AD164" s="3">
        <f t="shared" si="33"/>
        <v>649.16499999999996</v>
      </c>
      <c r="AE164" s="3">
        <f t="shared" si="34"/>
        <v>8.8025000000000002</v>
      </c>
      <c r="AF164" t="str">
        <f t="shared" si="35"/>
        <v>Regular</v>
      </c>
    </row>
    <row r="165" spans="1:32" x14ac:dyDescent="0.25">
      <c r="A165" t="s">
        <v>1317</v>
      </c>
      <c r="B165" s="1">
        <v>45004</v>
      </c>
      <c r="C165" s="1">
        <v>45008</v>
      </c>
      <c r="D165" s="4">
        <f t="shared" si="24"/>
        <v>4</v>
      </c>
      <c r="E165" s="4" t="str">
        <f>TEXT(Table1[[#This Row],[Order_Date]],"dddd")</f>
        <v>Sunday</v>
      </c>
      <c r="F165" s="4">
        <f t="shared" si="25"/>
        <v>3</v>
      </c>
      <c r="G165" t="str">
        <f t="shared" si="28"/>
        <v>March</v>
      </c>
      <c r="H165">
        <f t="shared" si="29"/>
        <v>2023</v>
      </c>
      <c r="I165" t="str">
        <f t="shared" si="30"/>
        <v>2023-Q1</v>
      </c>
      <c r="J165" t="s">
        <v>44</v>
      </c>
      <c r="K165" t="s">
        <v>1318</v>
      </c>
      <c r="L165" t="s">
        <v>1319</v>
      </c>
      <c r="M165" t="s">
        <v>36</v>
      </c>
      <c r="N165" t="s">
        <v>25</v>
      </c>
      <c r="O165" t="s">
        <v>156</v>
      </c>
      <c r="P165" t="s">
        <v>143</v>
      </c>
      <c r="Q165" t="s">
        <v>87</v>
      </c>
      <c r="R165" t="s">
        <v>1320</v>
      </c>
      <c r="S165" t="s">
        <v>51</v>
      </c>
      <c r="T165" t="s">
        <v>94</v>
      </c>
      <c r="U165" t="s">
        <v>1321</v>
      </c>
      <c r="V165" s="3">
        <v>160.22</v>
      </c>
      <c r="W165" s="4">
        <v>3</v>
      </c>
      <c r="X165" s="2">
        <v>0.4</v>
      </c>
      <c r="Y165" s="3">
        <v>37.950000000000003</v>
      </c>
      <c r="Z165" t="str">
        <f t="shared" si="26"/>
        <v>Normal</v>
      </c>
      <c r="AA165" t="str">
        <f t="shared" si="27"/>
        <v>High</v>
      </c>
      <c r="AB165" t="str">
        <f t="shared" si="31"/>
        <v>Low Profit</v>
      </c>
      <c r="AC165" s="3">
        <f t="shared" si="32"/>
        <v>0.23686181500436901</v>
      </c>
      <c r="AD165" s="3">
        <f t="shared" si="33"/>
        <v>53.406666666666666</v>
      </c>
      <c r="AE165" s="3">
        <f t="shared" si="34"/>
        <v>12.65</v>
      </c>
      <c r="AF165" t="str">
        <f t="shared" si="35"/>
        <v>Regular</v>
      </c>
    </row>
    <row r="166" spans="1:32" x14ac:dyDescent="0.25">
      <c r="A166" t="s">
        <v>3931</v>
      </c>
      <c r="B166" s="1">
        <v>45004</v>
      </c>
      <c r="C166" s="1">
        <v>45005</v>
      </c>
      <c r="D166" s="4">
        <f t="shared" si="24"/>
        <v>1</v>
      </c>
      <c r="E166" s="4" t="str">
        <f>TEXT(Table1[[#This Row],[Order_Date]],"dddd")</f>
        <v>Sunday</v>
      </c>
      <c r="F166" s="4">
        <f t="shared" si="25"/>
        <v>3</v>
      </c>
      <c r="G166" t="str">
        <f t="shared" si="28"/>
        <v>March</v>
      </c>
      <c r="H166">
        <f t="shared" si="29"/>
        <v>2023</v>
      </c>
      <c r="I166" t="str">
        <f t="shared" si="30"/>
        <v>2023-Q1</v>
      </c>
      <c r="J166" t="s">
        <v>55</v>
      </c>
      <c r="K166" t="s">
        <v>3932</v>
      </c>
      <c r="L166" t="s">
        <v>3933</v>
      </c>
      <c r="M166" t="s">
        <v>24</v>
      </c>
      <c r="N166" t="s">
        <v>25</v>
      </c>
      <c r="O166" t="s">
        <v>80</v>
      </c>
      <c r="P166" t="s">
        <v>49</v>
      </c>
      <c r="Q166" t="s">
        <v>39</v>
      </c>
      <c r="R166" t="s">
        <v>3934</v>
      </c>
      <c r="S166" t="s">
        <v>30</v>
      </c>
      <c r="T166" t="s">
        <v>82</v>
      </c>
      <c r="U166" t="s">
        <v>3935</v>
      </c>
      <c r="V166" s="3">
        <v>4406.59</v>
      </c>
      <c r="W166" s="4">
        <v>1</v>
      </c>
      <c r="X166" s="2">
        <v>0.3</v>
      </c>
      <c r="Y166" s="3">
        <v>912.88</v>
      </c>
      <c r="Z166" t="str">
        <f t="shared" si="26"/>
        <v>Normal</v>
      </c>
      <c r="AA166" t="str">
        <f t="shared" si="27"/>
        <v>High</v>
      </c>
      <c r="AB166" t="str">
        <f t="shared" si="31"/>
        <v>High Profit</v>
      </c>
      <c r="AC166" s="3">
        <f t="shared" si="32"/>
        <v>0.207162454414865</v>
      </c>
      <c r="AD166" s="3">
        <f t="shared" si="33"/>
        <v>4406.59</v>
      </c>
      <c r="AE166" s="3">
        <f t="shared" si="34"/>
        <v>912.88</v>
      </c>
      <c r="AF166" t="str">
        <f t="shared" si="35"/>
        <v>Regular</v>
      </c>
    </row>
    <row r="167" spans="1:32" x14ac:dyDescent="0.25">
      <c r="A167" t="s">
        <v>7117</v>
      </c>
      <c r="B167" s="1">
        <v>45005</v>
      </c>
      <c r="C167" s="1">
        <v>45008</v>
      </c>
      <c r="D167" s="4">
        <f t="shared" si="24"/>
        <v>3</v>
      </c>
      <c r="E167" s="4" t="str">
        <f>TEXT(Table1[[#This Row],[Order_Date]],"dddd")</f>
        <v>Monday</v>
      </c>
      <c r="F167" s="4">
        <f t="shared" si="25"/>
        <v>3</v>
      </c>
      <c r="G167" t="str">
        <f t="shared" si="28"/>
        <v>March</v>
      </c>
      <c r="H167">
        <f t="shared" si="29"/>
        <v>2023</v>
      </c>
      <c r="I167" t="str">
        <f t="shared" si="30"/>
        <v>2023-Q1</v>
      </c>
      <c r="J167" t="s">
        <v>44</v>
      </c>
      <c r="K167" t="s">
        <v>7118</v>
      </c>
      <c r="L167" t="s">
        <v>7119</v>
      </c>
      <c r="M167" t="s">
        <v>36</v>
      </c>
      <c r="N167" t="s">
        <v>25</v>
      </c>
      <c r="O167" t="s">
        <v>511</v>
      </c>
      <c r="P167" t="s">
        <v>120</v>
      </c>
      <c r="Q167" t="s">
        <v>39</v>
      </c>
      <c r="R167" t="s">
        <v>7120</v>
      </c>
      <c r="S167" t="s">
        <v>59</v>
      </c>
      <c r="T167" t="s">
        <v>277</v>
      </c>
      <c r="U167" t="s">
        <v>7121</v>
      </c>
      <c r="V167" s="3">
        <v>1514.6</v>
      </c>
      <c r="W167" s="4">
        <v>10</v>
      </c>
      <c r="X167" s="2">
        <v>0</v>
      </c>
      <c r="Y167" s="3">
        <v>-280.22000000000003</v>
      </c>
      <c r="Z167" t="str">
        <f t="shared" si="26"/>
        <v>Normal</v>
      </c>
      <c r="AA167" t="str">
        <f t="shared" si="27"/>
        <v>Low</v>
      </c>
      <c r="AB167" t="str">
        <f t="shared" si="31"/>
        <v>Loss</v>
      </c>
      <c r="AC167" s="3">
        <f t="shared" si="32"/>
        <v>-0.18501254456622213</v>
      </c>
      <c r="AD167" s="3">
        <f t="shared" si="33"/>
        <v>151.45999999999998</v>
      </c>
      <c r="AE167" s="3">
        <f t="shared" si="34"/>
        <v>-28.022000000000002</v>
      </c>
      <c r="AF167" t="str">
        <f t="shared" si="35"/>
        <v>Regular</v>
      </c>
    </row>
    <row r="168" spans="1:32" x14ac:dyDescent="0.25">
      <c r="A168" t="s">
        <v>3268</v>
      </c>
      <c r="B168" s="1">
        <v>45005</v>
      </c>
      <c r="C168" s="1">
        <v>45013</v>
      </c>
      <c r="D168" s="4">
        <f t="shared" si="24"/>
        <v>8</v>
      </c>
      <c r="E168" s="4" t="str">
        <f>TEXT(Table1[[#This Row],[Order_Date]],"dddd")</f>
        <v>Monday</v>
      </c>
      <c r="F168" s="4">
        <f t="shared" si="25"/>
        <v>3</v>
      </c>
      <c r="G168" t="str">
        <f t="shared" si="28"/>
        <v>March</v>
      </c>
      <c r="H168">
        <f t="shared" si="29"/>
        <v>2023</v>
      </c>
      <c r="I168" t="str">
        <f t="shared" si="30"/>
        <v>2023-Q1</v>
      </c>
      <c r="J168" t="s">
        <v>21</v>
      </c>
      <c r="K168" t="s">
        <v>3269</v>
      </c>
      <c r="L168" t="s">
        <v>3270</v>
      </c>
      <c r="M168" t="s">
        <v>24</v>
      </c>
      <c r="N168" t="s">
        <v>25</v>
      </c>
      <c r="O168" t="s">
        <v>201</v>
      </c>
      <c r="P168" t="s">
        <v>113</v>
      </c>
      <c r="Q168" t="s">
        <v>28</v>
      </c>
      <c r="R168" t="s">
        <v>3271</v>
      </c>
      <c r="S168" t="s">
        <v>51</v>
      </c>
      <c r="T168" t="s">
        <v>94</v>
      </c>
      <c r="U168" t="s">
        <v>3272</v>
      </c>
      <c r="V168" s="3">
        <v>4570.63</v>
      </c>
      <c r="W168" s="4">
        <v>6</v>
      </c>
      <c r="X168" s="2">
        <v>0.3</v>
      </c>
      <c r="Y168" s="3">
        <v>-530.92999999999995</v>
      </c>
      <c r="Z168" t="str">
        <f t="shared" si="26"/>
        <v>Normal</v>
      </c>
      <c r="AA168" t="str">
        <f t="shared" si="27"/>
        <v>High</v>
      </c>
      <c r="AB168" t="str">
        <f t="shared" si="31"/>
        <v>Loss</v>
      </c>
      <c r="AC168" s="3">
        <f t="shared" si="32"/>
        <v>-0.11616122941476338</v>
      </c>
      <c r="AD168" s="3">
        <f t="shared" si="33"/>
        <v>761.77166666666665</v>
      </c>
      <c r="AE168" s="3">
        <f t="shared" si="34"/>
        <v>-88.48833333333333</v>
      </c>
      <c r="AF168" t="str">
        <f t="shared" si="35"/>
        <v>Regular</v>
      </c>
    </row>
    <row r="169" spans="1:32" x14ac:dyDescent="0.25">
      <c r="A169" t="s">
        <v>6812</v>
      </c>
      <c r="B169" s="1">
        <v>45005</v>
      </c>
      <c r="C169" s="1">
        <v>45007</v>
      </c>
      <c r="D169" s="4">
        <f t="shared" si="24"/>
        <v>2</v>
      </c>
      <c r="E169" s="4" t="str">
        <f>TEXT(Table1[[#This Row],[Order_Date]],"dddd")</f>
        <v>Monday</v>
      </c>
      <c r="F169" s="4">
        <f t="shared" si="25"/>
        <v>3</v>
      </c>
      <c r="G169" t="str">
        <f t="shared" si="28"/>
        <v>March</v>
      </c>
      <c r="H169">
        <f t="shared" si="29"/>
        <v>2023</v>
      </c>
      <c r="I169" t="str">
        <f t="shared" si="30"/>
        <v>2023-Q1</v>
      </c>
      <c r="J169" t="s">
        <v>44</v>
      </c>
      <c r="K169" t="s">
        <v>6813</v>
      </c>
      <c r="L169" t="s">
        <v>6814</v>
      </c>
      <c r="M169" t="s">
        <v>36</v>
      </c>
      <c r="N169" t="s">
        <v>25</v>
      </c>
      <c r="O169" t="s">
        <v>99</v>
      </c>
      <c r="P169" t="s">
        <v>74</v>
      </c>
      <c r="Q169" t="s">
        <v>66</v>
      </c>
      <c r="R169" t="s">
        <v>6815</v>
      </c>
      <c r="S169" t="s">
        <v>51</v>
      </c>
      <c r="T169" t="s">
        <v>108</v>
      </c>
      <c r="U169" t="s">
        <v>6816</v>
      </c>
      <c r="V169" s="3">
        <v>1067.57</v>
      </c>
      <c r="W169" s="4">
        <v>7</v>
      </c>
      <c r="X169" s="2">
        <v>0.2</v>
      </c>
      <c r="Y169" s="3">
        <v>22.04</v>
      </c>
      <c r="Z169" t="str">
        <f t="shared" si="26"/>
        <v>Normal</v>
      </c>
      <c r="AA169" t="str">
        <f t="shared" si="27"/>
        <v>High</v>
      </c>
      <c r="AB169" t="str">
        <f t="shared" si="31"/>
        <v>Low Profit</v>
      </c>
      <c r="AC169" s="3">
        <f t="shared" si="32"/>
        <v>2.0645016251861704E-2</v>
      </c>
      <c r="AD169" s="3">
        <f t="shared" si="33"/>
        <v>152.51</v>
      </c>
      <c r="AE169" s="3">
        <f t="shared" si="34"/>
        <v>3.1485714285714286</v>
      </c>
      <c r="AF169" t="str">
        <f t="shared" si="35"/>
        <v>Regular</v>
      </c>
    </row>
    <row r="170" spans="1:32" x14ac:dyDescent="0.25">
      <c r="A170" t="s">
        <v>1489</v>
      </c>
      <c r="B170" s="1">
        <v>45006</v>
      </c>
      <c r="C170" s="1">
        <v>45013</v>
      </c>
      <c r="D170" s="4">
        <f t="shared" si="24"/>
        <v>7</v>
      </c>
      <c r="E170" s="4" t="str">
        <f>TEXT(Table1[[#This Row],[Order_Date]],"dddd")</f>
        <v>Tuesday</v>
      </c>
      <c r="F170" s="4">
        <f t="shared" si="25"/>
        <v>3</v>
      </c>
      <c r="G170" t="str">
        <f t="shared" si="28"/>
        <v>March</v>
      </c>
      <c r="H170">
        <f t="shared" si="29"/>
        <v>2023</v>
      </c>
      <c r="I170" t="str">
        <f t="shared" si="30"/>
        <v>2023-Q1</v>
      </c>
      <c r="J170" t="s">
        <v>21</v>
      </c>
      <c r="K170" t="s">
        <v>1490</v>
      </c>
      <c r="L170" t="s">
        <v>1491</v>
      </c>
      <c r="M170" t="s">
        <v>36</v>
      </c>
      <c r="N170" t="s">
        <v>25</v>
      </c>
      <c r="O170" t="s">
        <v>511</v>
      </c>
      <c r="P170" t="s">
        <v>120</v>
      </c>
      <c r="Q170" t="s">
        <v>39</v>
      </c>
      <c r="R170" t="s">
        <v>1492</v>
      </c>
      <c r="S170" t="s">
        <v>30</v>
      </c>
      <c r="T170" t="s">
        <v>82</v>
      </c>
      <c r="U170" t="s">
        <v>1493</v>
      </c>
      <c r="V170" s="3">
        <v>3571.7</v>
      </c>
      <c r="W170" s="4">
        <v>9</v>
      </c>
      <c r="X170" s="2">
        <v>0.1</v>
      </c>
      <c r="Y170" s="3">
        <v>9.52</v>
      </c>
      <c r="Z170" t="str">
        <f t="shared" si="26"/>
        <v>Normal</v>
      </c>
      <c r="AA170" t="str">
        <f t="shared" si="27"/>
        <v>Medium</v>
      </c>
      <c r="AB170" t="str">
        <f t="shared" si="31"/>
        <v>Low Profit</v>
      </c>
      <c r="AC170" s="3">
        <f t="shared" si="32"/>
        <v>2.6653974297953355E-3</v>
      </c>
      <c r="AD170" s="3">
        <f t="shared" si="33"/>
        <v>396.85555555555555</v>
      </c>
      <c r="AE170" s="3">
        <f t="shared" si="34"/>
        <v>1.0577777777777777</v>
      </c>
      <c r="AF170" t="str">
        <f t="shared" si="35"/>
        <v>Regular</v>
      </c>
    </row>
    <row r="171" spans="1:32" x14ac:dyDescent="0.25">
      <c r="A171" t="s">
        <v>464</v>
      </c>
      <c r="B171" s="1">
        <v>45006</v>
      </c>
      <c r="C171" s="1">
        <v>45014</v>
      </c>
      <c r="D171" s="4">
        <f t="shared" si="24"/>
        <v>8</v>
      </c>
      <c r="E171" s="4" t="str">
        <f>TEXT(Table1[[#This Row],[Order_Date]],"dddd")</f>
        <v>Tuesday</v>
      </c>
      <c r="F171" s="4">
        <f t="shared" si="25"/>
        <v>3</v>
      </c>
      <c r="G171" t="str">
        <f t="shared" si="28"/>
        <v>March</v>
      </c>
      <c r="H171">
        <f t="shared" si="29"/>
        <v>2023</v>
      </c>
      <c r="I171" t="str">
        <f t="shared" si="30"/>
        <v>2023-Q1</v>
      </c>
      <c r="J171" t="s">
        <v>55</v>
      </c>
      <c r="K171" t="s">
        <v>465</v>
      </c>
      <c r="L171" t="s">
        <v>466</v>
      </c>
      <c r="M171" t="s">
        <v>36</v>
      </c>
      <c r="N171" t="s">
        <v>25</v>
      </c>
      <c r="O171" t="s">
        <v>26</v>
      </c>
      <c r="P171" t="s">
        <v>27</v>
      </c>
      <c r="Q171" t="s">
        <v>39</v>
      </c>
      <c r="R171" t="s">
        <v>467</v>
      </c>
      <c r="S171" t="s">
        <v>59</v>
      </c>
      <c r="T171" t="s">
        <v>101</v>
      </c>
      <c r="U171" t="s">
        <v>468</v>
      </c>
      <c r="V171" s="3">
        <v>3606.87</v>
      </c>
      <c r="W171" s="4">
        <v>4</v>
      </c>
      <c r="X171" s="2">
        <v>0.4</v>
      </c>
      <c r="Y171" s="3">
        <v>58.1</v>
      </c>
      <c r="Z171" t="str">
        <f t="shared" si="26"/>
        <v>Normal</v>
      </c>
      <c r="AA171" t="str">
        <f t="shared" si="27"/>
        <v>High</v>
      </c>
      <c r="AB171" t="str">
        <f t="shared" si="31"/>
        <v>Low Profit</v>
      </c>
      <c r="AC171" s="3">
        <f t="shared" si="32"/>
        <v>1.6108149170887778E-2</v>
      </c>
      <c r="AD171" s="3">
        <f t="shared" si="33"/>
        <v>901.71749999999997</v>
      </c>
      <c r="AE171" s="3">
        <f t="shared" si="34"/>
        <v>14.525</v>
      </c>
      <c r="AF171" t="str">
        <f t="shared" si="35"/>
        <v>Regular</v>
      </c>
    </row>
    <row r="172" spans="1:32" x14ac:dyDescent="0.25">
      <c r="A172" t="s">
        <v>4706</v>
      </c>
      <c r="B172" s="1">
        <v>45006</v>
      </c>
      <c r="C172" s="1">
        <v>45008</v>
      </c>
      <c r="D172" s="4">
        <f t="shared" si="24"/>
        <v>2</v>
      </c>
      <c r="E172" s="4" t="str">
        <f>TEXT(Table1[[#This Row],[Order_Date]],"dddd")</f>
        <v>Tuesday</v>
      </c>
      <c r="F172" s="4">
        <f t="shared" si="25"/>
        <v>3</v>
      </c>
      <c r="G172" t="str">
        <f t="shared" si="28"/>
        <v>March</v>
      </c>
      <c r="H172">
        <f t="shared" si="29"/>
        <v>2023</v>
      </c>
      <c r="I172" t="str">
        <f t="shared" si="30"/>
        <v>2023-Q1</v>
      </c>
      <c r="J172" t="s">
        <v>104</v>
      </c>
      <c r="K172" t="s">
        <v>4707</v>
      </c>
      <c r="L172" t="s">
        <v>4708</v>
      </c>
      <c r="M172" t="s">
        <v>24</v>
      </c>
      <c r="N172" t="s">
        <v>25</v>
      </c>
      <c r="O172" t="s">
        <v>113</v>
      </c>
      <c r="P172" t="s">
        <v>113</v>
      </c>
      <c r="Q172" t="s">
        <v>28</v>
      </c>
      <c r="R172" t="s">
        <v>4709</v>
      </c>
      <c r="S172" t="s">
        <v>59</v>
      </c>
      <c r="T172" t="s">
        <v>277</v>
      </c>
      <c r="U172" t="s">
        <v>4710</v>
      </c>
      <c r="V172" s="3">
        <v>403.52</v>
      </c>
      <c r="W172" s="4">
        <v>4</v>
      </c>
      <c r="X172" s="2">
        <v>0.1</v>
      </c>
      <c r="Y172" s="3">
        <v>82.87</v>
      </c>
      <c r="Z172" t="str">
        <f t="shared" si="26"/>
        <v>Normal</v>
      </c>
      <c r="AA172" t="str">
        <f t="shared" si="27"/>
        <v>Medium</v>
      </c>
      <c r="AB172" t="str">
        <f t="shared" si="31"/>
        <v>Low Profit</v>
      </c>
      <c r="AC172" s="3">
        <f t="shared" si="32"/>
        <v>0.20536776367961937</v>
      </c>
      <c r="AD172" s="3">
        <f t="shared" si="33"/>
        <v>100.88</v>
      </c>
      <c r="AE172" s="3">
        <f t="shared" si="34"/>
        <v>20.717500000000001</v>
      </c>
      <c r="AF172" t="str">
        <f t="shared" si="35"/>
        <v>Regular</v>
      </c>
    </row>
    <row r="173" spans="1:32" x14ac:dyDescent="0.25">
      <c r="A173" t="s">
        <v>1854</v>
      </c>
      <c r="B173" s="1">
        <v>45007</v>
      </c>
      <c r="C173" s="1">
        <v>45015</v>
      </c>
      <c r="D173" s="4">
        <f t="shared" si="24"/>
        <v>8</v>
      </c>
      <c r="E173" s="4" t="str">
        <f>TEXT(Table1[[#This Row],[Order_Date]],"dddd")</f>
        <v>Wednesday</v>
      </c>
      <c r="F173" s="4">
        <f t="shared" si="25"/>
        <v>3</v>
      </c>
      <c r="G173" t="str">
        <f t="shared" si="28"/>
        <v>March</v>
      </c>
      <c r="H173">
        <f t="shared" si="29"/>
        <v>2023</v>
      </c>
      <c r="I173" t="str">
        <f t="shared" si="30"/>
        <v>2023-Q1</v>
      </c>
      <c r="J173" t="s">
        <v>55</v>
      </c>
      <c r="K173" t="s">
        <v>1855</v>
      </c>
      <c r="L173" t="s">
        <v>1856</v>
      </c>
      <c r="M173" t="s">
        <v>24</v>
      </c>
      <c r="N173" t="s">
        <v>25</v>
      </c>
      <c r="O173" t="s">
        <v>201</v>
      </c>
      <c r="P173" t="s">
        <v>113</v>
      </c>
      <c r="Q173" t="s">
        <v>66</v>
      </c>
      <c r="R173" t="s">
        <v>1857</v>
      </c>
      <c r="S173" t="s">
        <v>51</v>
      </c>
      <c r="T173" t="s">
        <v>151</v>
      </c>
      <c r="U173" t="s">
        <v>1858</v>
      </c>
      <c r="V173" s="3">
        <v>2165.9299999999998</v>
      </c>
      <c r="W173" s="4">
        <v>2</v>
      </c>
      <c r="X173" s="2">
        <v>0.2</v>
      </c>
      <c r="Y173" s="3">
        <v>-196.17</v>
      </c>
      <c r="Z173" t="str">
        <f t="shared" si="26"/>
        <v>Normal</v>
      </c>
      <c r="AA173" t="str">
        <f t="shared" si="27"/>
        <v>High</v>
      </c>
      <c r="AB173" t="str">
        <f t="shared" si="31"/>
        <v>Loss</v>
      </c>
      <c r="AC173" s="3">
        <f t="shared" si="32"/>
        <v>-9.0570794069983793E-2</v>
      </c>
      <c r="AD173" s="3">
        <f t="shared" si="33"/>
        <v>1082.9649999999999</v>
      </c>
      <c r="AE173" s="3">
        <f t="shared" si="34"/>
        <v>-98.084999999999994</v>
      </c>
      <c r="AF173" t="str">
        <f t="shared" si="35"/>
        <v>Regular</v>
      </c>
    </row>
    <row r="174" spans="1:32" x14ac:dyDescent="0.25">
      <c r="A174" t="s">
        <v>3258</v>
      </c>
      <c r="B174" s="1">
        <v>45007</v>
      </c>
      <c r="C174" s="1">
        <v>45009</v>
      </c>
      <c r="D174" s="4">
        <f t="shared" si="24"/>
        <v>2</v>
      </c>
      <c r="E174" s="4" t="str">
        <f>TEXT(Table1[[#This Row],[Order_Date]],"dddd")</f>
        <v>Wednesday</v>
      </c>
      <c r="F174" s="4">
        <f t="shared" si="25"/>
        <v>3</v>
      </c>
      <c r="G174" t="str">
        <f t="shared" si="28"/>
        <v>March</v>
      </c>
      <c r="H174">
        <f t="shared" si="29"/>
        <v>2023</v>
      </c>
      <c r="I174" t="str">
        <f t="shared" si="30"/>
        <v>2023-Q1</v>
      </c>
      <c r="J174" t="s">
        <v>44</v>
      </c>
      <c r="K174" t="s">
        <v>3259</v>
      </c>
      <c r="L174" t="s">
        <v>3260</v>
      </c>
      <c r="M174" t="s">
        <v>24</v>
      </c>
      <c r="N174" t="s">
        <v>25</v>
      </c>
      <c r="O174" t="s">
        <v>73</v>
      </c>
      <c r="P174" t="s">
        <v>74</v>
      </c>
      <c r="Q174" t="s">
        <v>66</v>
      </c>
      <c r="R174" t="s">
        <v>3261</v>
      </c>
      <c r="S174" t="s">
        <v>59</v>
      </c>
      <c r="T174" t="s">
        <v>277</v>
      </c>
      <c r="U174" t="s">
        <v>3262</v>
      </c>
      <c r="V174" s="3">
        <v>2288.61</v>
      </c>
      <c r="W174" s="4">
        <v>1</v>
      </c>
      <c r="X174" s="2">
        <v>0</v>
      </c>
      <c r="Y174" s="3">
        <v>312.41000000000003</v>
      </c>
      <c r="Z174" t="str">
        <f t="shared" si="26"/>
        <v>Normal</v>
      </c>
      <c r="AA174" t="str">
        <f t="shared" si="27"/>
        <v>Low</v>
      </c>
      <c r="AB174" t="str">
        <f t="shared" si="31"/>
        <v>Low Profit</v>
      </c>
      <c r="AC174" s="3">
        <f t="shared" si="32"/>
        <v>0.13650643840584459</v>
      </c>
      <c r="AD174" s="3">
        <f t="shared" si="33"/>
        <v>2288.61</v>
      </c>
      <c r="AE174" s="3">
        <f t="shared" si="34"/>
        <v>312.41000000000003</v>
      </c>
      <c r="AF174" t="str">
        <f t="shared" si="35"/>
        <v>Regular</v>
      </c>
    </row>
    <row r="175" spans="1:32" x14ac:dyDescent="0.25">
      <c r="A175" t="s">
        <v>4887</v>
      </c>
      <c r="B175" s="1">
        <v>45007</v>
      </c>
      <c r="C175" s="1">
        <v>45015</v>
      </c>
      <c r="D175" s="4">
        <f t="shared" si="24"/>
        <v>8</v>
      </c>
      <c r="E175" s="4" t="str">
        <f>TEXT(Table1[[#This Row],[Order_Date]],"dddd")</f>
        <v>Wednesday</v>
      </c>
      <c r="F175" s="4">
        <f t="shared" si="25"/>
        <v>3</v>
      </c>
      <c r="G175" t="str">
        <f t="shared" si="28"/>
        <v>March</v>
      </c>
      <c r="H175">
        <f t="shared" si="29"/>
        <v>2023</v>
      </c>
      <c r="I175" t="str">
        <f t="shared" si="30"/>
        <v>2023-Q1</v>
      </c>
      <c r="J175" t="s">
        <v>104</v>
      </c>
      <c r="K175" t="s">
        <v>4888</v>
      </c>
      <c r="L175" t="s">
        <v>4889</v>
      </c>
      <c r="M175" t="s">
        <v>24</v>
      </c>
      <c r="N175" t="s">
        <v>25</v>
      </c>
      <c r="O175" t="s">
        <v>382</v>
      </c>
      <c r="P175" t="s">
        <v>38</v>
      </c>
      <c r="Q175" t="s">
        <v>28</v>
      </c>
      <c r="R175" t="s">
        <v>4890</v>
      </c>
      <c r="S175" t="s">
        <v>30</v>
      </c>
      <c r="T175" t="s">
        <v>31</v>
      </c>
      <c r="U175" t="s">
        <v>4891</v>
      </c>
      <c r="V175" s="3">
        <v>340.88</v>
      </c>
      <c r="W175" s="4">
        <v>10</v>
      </c>
      <c r="X175" s="2">
        <v>0</v>
      </c>
      <c r="Y175" s="3">
        <v>-13.57</v>
      </c>
      <c r="Z175" t="str">
        <f t="shared" si="26"/>
        <v>Normal</v>
      </c>
      <c r="AA175" t="str">
        <f t="shared" si="27"/>
        <v>Low</v>
      </c>
      <c r="AB175" t="str">
        <f t="shared" si="31"/>
        <v>Loss</v>
      </c>
      <c r="AC175" s="3">
        <f t="shared" si="32"/>
        <v>-3.980873034498944E-2</v>
      </c>
      <c r="AD175" s="3">
        <f t="shared" si="33"/>
        <v>34.088000000000001</v>
      </c>
      <c r="AE175" s="3">
        <f t="shared" si="34"/>
        <v>-1.357</v>
      </c>
      <c r="AF175" t="str">
        <f t="shared" si="35"/>
        <v>Regular</v>
      </c>
    </row>
    <row r="176" spans="1:32" x14ac:dyDescent="0.25">
      <c r="A176" t="s">
        <v>3816</v>
      </c>
      <c r="B176" s="1">
        <v>45009</v>
      </c>
      <c r="C176" s="1">
        <v>45011</v>
      </c>
      <c r="D176" s="4">
        <f t="shared" si="24"/>
        <v>2</v>
      </c>
      <c r="E176" s="4" t="str">
        <f>TEXT(Table1[[#This Row],[Order_Date]],"dddd")</f>
        <v>Friday</v>
      </c>
      <c r="F176" s="4">
        <f t="shared" si="25"/>
        <v>3</v>
      </c>
      <c r="G176" t="str">
        <f t="shared" si="28"/>
        <v>March</v>
      </c>
      <c r="H176">
        <f t="shared" si="29"/>
        <v>2023</v>
      </c>
      <c r="I176" t="str">
        <f t="shared" si="30"/>
        <v>2023-Q1</v>
      </c>
      <c r="J176" t="s">
        <v>104</v>
      </c>
      <c r="K176" t="s">
        <v>3817</v>
      </c>
      <c r="L176" t="s">
        <v>3818</v>
      </c>
      <c r="M176" t="s">
        <v>47</v>
      </c>
      <c r="N176" t="s">
        <v>25</v>
      </c>
      <c r="O176" t="s">
        <v>451</v>
      </c>
      <c r="P176" t="s">
        <v>38</v>
      </c>
      <c r="Q176" t="s">
        <v>28</v>
      </c>
      <c r="R176" t="s">
        <v>3819</v>
      </c>
      <c r="S176" t="s">
        <v>30</v>
      </c>
      <c r="T176" t="s">
        <v>68</v>
      </c>
      <c r="U176" t="s">
        <v>3820</v>
      </c>
      <c r="V176" s="3">
        <v>507.89</v>
      </c>
      <c r="W176" s="4">
        <v>9</v>
      </c>
      <c r="X176" s="2">
        <v>0.1</v>
      </c>
      <c r="Y176" s="3">
        <v>125.18</v>
      </c>
      <c r="Z176" t="str">
        <f t="shared" si="26"/>
        <v>Normal</v>
      </c>
      <c r="AA176" t="str">
        <f t="shared" si="27"/>
        <v>Medium</v>
      </c>
      <c r="AB176" t="str">
        <f t="shared" si="31"/>
        <v>Low Profit</v>
      </c>
      <c r="AC176" s="3">
        <f t="shared" si="32"/>
        <v>0.24647069247277956</v>
      </c>
      <c r="AD176" s="3">
        <f t="shared" si="33"/>
        <v>56.432222222222222</v>
      </c>
      <c r="AE176" s="3">
        <f t="shared" si="34"/>
        <v>13.908888888888889</v>
      </c>
      <c r="AF176" t="str">
        <f t="shared" si="35"/>
        <v>Regular</v>
      </c>
    </row>
    <row r="177" spans="1:32" x14ac:dyDescent="0.25">
      <c r="A177" t="s">
        <v>2443</v>
      </c>
      <c r="B177" s="1">
        <v>45010</v>
      </c>
      <c r="C177" s="1">
        <v>45012</v>
      </c>
      <c r="D177" s="4">
        <f t="shared" si="24"/>
        <v>2</v>
      </c>
      <c r="E177" s="4" t="str">
        <f>TEXT(Table1[[#This Row],[Order_Date]],"dddd")</f>
        <v>Saturday</v>
      </c>
      <c r="F177" s="4">
        <f t="shared" si="25"/>
        <v>3</v>
      </c>
      <c r="G177" t="str">
        <f t="shared" si="28"/>
        <v>March</v>
      </c>
      <c r="H177">
        <f t="shared" si="29"/>
        <v>2023</v>
      </c>
      <c r="I177" t="str">
        <f t="shared" si="30"/>
        <v>2023-Q1</v>
      </c>
      <c r="J177" t="s">
        <v>55</v>
      </c>
      <c r="K177" t="s">
        <v>2444</v>
      </c>
      <c r="L177" t="s">
        <v>2445</v>
      </c>
      <c r="M177" t="s">
        <v>24</v>
      </c>
      <c r="N177" t="s">
        <v>25</v>
      </c>
      <c r="O177" t="s">
        <v>511</v>
      </c>
      <c r="P177" t="s">
        <v>120</v>
      </c>
      <c r="Q177" t="s">
        <v>66</v>
      </c>
      <c r="R177" t="s">
        <v>2446</v>
      </c>
      <c r="S177" t="s">
        <v>59</v>
      </c>
      <c r="T177" t="s">
        <v>277</v>
      </c>
      <c r="U177" t="s">
        <v>2447</v>
      </c>
      <c r="V177" s="3">
        <v>3769.06</v>
      </c>
      <c r="W177" s="4">
        <v>3</v>
      </c>
      <c r="X177" s="2">
        <v>0.3</v>
      </c>
      <c r="Y177" s="3">
        <v>860.56</v>
      </c>
      <c r="Z177" t="str">
        <f t="shared" si="26"/>
        <v>Normal</v>
      </c>
      <c r="AA177" t="str">
        <f t="shared" si="27"/>
        <v>High</v>
      </c>
      <c r="AB177" t="str">
        <f t="shared" si="31"/>
        <v>High Profit</v>
      </c>
      <c r="AC177" s="3">
        <f t="shared" si="32"/>
        <v>0.22832218112738983</v>
      </c>
      <c r="AD177" s="3">
        <f t="shared" si="33"/>
        <v>1256.3533333333332</v>
      </c>
      <c r="AE177" s="3">
        <f t="shared" si="34"/>
        <v>286.8533333333333</v>
      </c>
      <c r="AF177" t="str">
        <f t="shared" si="35"/>
        <v>Regular</v>
      </c>
    </row>
    <row r="178" spans="1:32" x14ac:dyDescent="0.25">
      <c r="A178" t="s">
        <v>3460</v>
      </c>
      <c r="B178" s="1">
        <v>45011</v>
      </c>
      <c r="C178" s="1">
        <v>45019</v>
      </c>
      <c r="D178" s="4">
        <f t="shared" si="24"/>
        <v>8</v>
      </c>
      <c r="E178" s="4" t="str">
        <f>TEXT(Table1[[#This Row],[Order_Date]],"dddd")</f>
        <v>Sunday</v>
      </c>
      <c r="F178" s="4">
        <f t="shared" si="25"/>
        <v>3</v>
      </c>
      <c r="G178" t="str">
        <f t="shared" si="28"/>
        <v>March</v>
      </c>
      <c r="H178">
        <f t="shared" si="29"/>
        <v>2023</v>
      </c>
      <c r="I178" t="str">
        <f t="shared" si="30"/>
        <v>2023-Q1</v>
      </c>
      <c r="J178" t="s">
        <v>44</v>
      </c>
      <c r="K178" t="s">
        <v>3461</v>
      </c>
      <c r="L178" t="s">
        <v>3462</v>
      </c>
      <c r="M178" t="s">
        <v>36</v>
      </c>
      <c r="N178" t="s">
        <v>25</v>
      </c>
      <c r="O178" t="s">
        <v>611</v>
      </c>
      <c r="P178" t="s">
        <v>74</v>
      </c>
      <c r="Q178" t="s">
        <v>39</v>
      </c>
      <c r="R178" t="s">
        <v>3463</v>
      </c>
      <c r="S178" t="s">
        <v>59</v>
      </c>
      <c r="T178" t="s">
        <v>277</v>
      </c>
      <c r="U178" t="s">
        <v>3464</v>
      </c>
      <c r="V178" s="3">
        <v>2152.25</v>
      </c>
      <c r="W178" s="4">
        <v>5</v>
      </c>
      <c r="X178" s="2">
        <v>0.3</v>
      </c>
      <c r="Y178" s="3">
        <v>120.2</v>
      </c>
      <c r="Z178" t="str">
        <f t="shared" si="26"/>
        <v>Normal</v>
      </c>
      <c r="AA178" t="str">
        <f t="shared" si="27"/>
        <v>High</v>
      </c>
      <c r="AB178" t="str">
        <f t="shared" si="31"/>
        <v>Low Profit</v>
      </c>
      <c r="AC178" s="3">
        <f t="shared" si="32"/>
        <v>5.5848530607503777E-2</v>
      </c>
      <c r="AD178" s="3">
        <f t="shared" si="33"/>
        <v>430.45</v>
      </c>
      <c r="AE178" s="3">
        <f t="shared" si="34"/>
        <v>24.04</v>
      </c>
      <c r="AF178" t="str">
        <f t="shared" si="35"/>
        <v>Regular</v>
      </c>
    </row>
    <row r="179" spans="1:32" x14ac:dyDescent="0.25">
      <c r="A179" t="s">
        <v>1051</v>
      </c>
      <c r="B179" s="1">
        <v>45012</v>
      </c>
      <c r="C179" s="1">
        <v>45021</v>
      </c>
      <c r="D179" s="4">
        <f t="shared" si="24"/>
        <v>9</v>
      </c>
      <c r="E179" s="4" t="str">
        <f>TEXT(Table1[[#This Row],[Order_Date]],"dddd")</f>
        <v>Monday</v>
      </c>
      <c r="F179" s="4">
        <f t="shared" si="25"/>
        <v>3</v>
      </c>
      <c r="G179" t="str">
        <f t="shared" si="28"/>
        <v>March</v>
      </c>
      <c r="H179">
        <f t="shared" si="29"/>
        <v>2023</v>
      </c>
      <c r="I179" t="str">
        <f t="shared" si="30"/>
        <v>2023-Q1</v>
      </c>
      <c r="J179" t="s">
        <v>44</v>
      </c>
      <c r="K179" t="s">
        <v>1052</v>
      </c>
      <c r="L179" t="s">
        <v>1053</v>
      </c>
      <c r="M179" t="s">
        <v>47</v>
      </c>
      <c r="N179" t="s">
        <v>25</v>
      </c>
      <c r="O179" t="s">
        <v>451</v>
      </c>
      <c r="P179" t="s">
        <v>38</v>
      </c>
      <c r="Q179" t="s">
        <v>87</v>
      </c>
      <c r="R179" t="s">
        <v>1054</v>
      </c>
      <c r="S179" t="s">
        <v>30</v>
      </c>
      <c r="T179" t="s">
        <v>41</v>
      </c>
      <c r="U179" t="s">
        <v>1055</v>
      </c>
      <c r="V179" s="3">
        <v>4880.88</v>
      </c>
      <c r="W179" s="4">
        <v>4</v>
      </c>
      <c r="X179" s="2">
        <v>0.4</v>
      </c>
      <c r="Y179" s="3">
        <v>124.41</v>
      </c>
      <c r="Z179" t="str">
        <f t="shared" si="26"/>
        <v>Normal</v>
      </c>
      <c r="AA179" t="str">
        <f t="shared" si="27"/>
        <v>High</v>
      </c>
      <c r="AB179" t="str">
        <f t="shared" si="31"/>
        <v>Low Profit</v>
      </c>
      <c r="AC179" s="3">
        <f t="shared" si="32"/>
        <v>2.5489256035796822E-2</v>
      </c>
      <c r="AD179" s="3">
        <f t="shared" si="33"/>
        <v>1220.22</v>
      </c>
      <c r="AE179" s="3">
        <f t="shared" si="34"/>
        <v>31.102499999999999</v>
      </c>
      <c r="AF179" t="str">
        <f t="shared" si="35"/>
        <v>Regular</v>
      </c>
    </row>
    <row r="180" spans="1:32" x14ac:dyDescent="0.25">
      <c r="A180" t="s">
        <v>2800</v>
      </c>
      <c r="B180" s="1">
        <v>45013</v>
      </c>
      <c r="C180" s="1">
        <v>45022</v>
      </c>
      <c r="D180" s="4">
        <f t="shared" si="24"/>
        <v>9</v>
      </c>
      <c r="E180" s="4" t="str">
        <f>TEXT(Table1[[#This Row],[Order_Date]],"dddd")</f>
        <v>Tuesday</v>
      </c>
      <c r="F180" s="4">
        <f t="shared" si="25"/>
        <v>3</v>
      </c>
      <c r="G180" t="str">
        <f t="shared" si="28"/>
        <v>March</v>
      </c>
      <c r="H180">
        <f t="shared" si="29"/>
        <v>2023</v>
      </c>
      <c r="I180" t="str">
        <f t="shared" si="30"/>
        <v>2023-Q1</v>
      </c>
      <c r="J180" t="s">
        <v>44</v>
      </c>
      <c r="K180" t="s">
        <v>2801</v>
      </c>
      <c r="L180" t="s">
        <v>2802</v>
      </c>
      <c r="M180" t="s">
        <v>24</v>
      </c>
      <c r="N180" t="s">
        <v>25</v>
      </c>
      <c r="O180" t="s">
        <v>26</v>
      </c>
      <c r="P180" t="s">
        <v>27</v>
      </c>
      <c r="Q180" t="s">
        <v>66</v>
      </c>
      <c r="R180" t="s">
        <v>2803</v>
      </c>
      <c r="S180" t="s">
        <v>30</v>
      </c>
      <c r="T180" t="s">
        <v>68</v>
      </c>
      <c r="U180" t="s">
        <v>2804</v>
      </c>
      <c r="V180" s="3">
        <v>957.93</v>
      </c>
      <c r="W180" s="4">
        <v>6</v>
      </c>
      <c r="X180" s="2">
        <v>0.4</v>
      </c>
      <c r="Y180" s="3">
        <v>73.239999999999995</v>
      </c>
      <c r="Z180" t="str">
        <f t="shared" si="26"/>
        <v>Normal</v>
      </c>
      <c r="AA180" t="str">
        <f t="shared" si="27"/>
        <v>High</v>
      </c>
      <c r="AB180" t="str">
        <f t="shared" si="31"/>
        <v>Low Profit</v>
      </c>
      <c r="AC180" s="3">
        <f t="shared" si="32"/>
        <v>7.6456526050964063E-2</v>
      </c>
      <c r="AD180" s="3">
        <f t="shared" si="33"/>
        <v>159.655</v>
      </c>
      <c r="AE180" s="3">
        <f t="shared" si="34"/>
        <v>12.206666666666665</v>
      </c>
      <c r="AF180" t="str">
        <f t="shared" si="35"/>
        <v>Regular</v>
      </c>
    </row>
    <row r="181" spans="1:32" x14ac:dyDescent="0.25">
      <c r="A181" t="s">
        <v>7194</v>
      </c>
      <c r="B181" s="1">
        <v>45014</v>
      </c>
      <c r="C181" s="1">
        <v>45024</v>
      </c>
      <c r="D181" s="4">
        <f t="shared" si="24"/>
        <v>10</v>
      </c>
      <c r="E181" s="4" t="str">
        <f>TEXT(Table1[[#This Row],[Order_Date]],"dddd")</f>
        <v>Wednesday</v>
      </c>
      <c r="F181" s="4">
        <f t="shared" si="25"/>
        <v>3</v>
      </c>
      <c r="G181" t="str">
        <f t="shared" si="28"/>
        <v>March</v>
      </c>
      <c r="H181">
        <f t="shared" si="29"/>
        <v>2023</v>
      </c>
      <c r="I181" t="str">
        <f t="shared" si="30"/>
        <v>2023-Q1</v>
      </c>
      <c r="J181" t="s">
        <v>44</v>
      </c>
      <c r="K181" t="s">
        <v>7195</v>
      </c>
      <c r="L181" t="s">
        <v>7196</v>
      </c>
      <c r="M181" t="s">
        <v>36</v>
      </c>
      <c r="N181" t="s">
        <v>25</v>
      </c>
      <c r="O181" t="s">
        <v>255</v>
      </c>
      <c r="P181" t="s">
        <v>143</v>
      </c>
      <c r="Q181" t="s">
        <v>87</v>
      </c>
      <c r="R181" t="s">
        <v>7197</v>
      </c>
      <c r="S181" t="s">
        <v>30</v>
      </c>
      <c r="T181" t="s">
        <v>68</v>
      </c>
      <c r="U181" t="s">
        <v>7198</v>
      </c>
      <c r="V181" s="3">
        <v>2130.6799999999998</v>
      </c>
      <c r="W181" s="4">
        <v>6</v>
      </c>
      <c r="X181" s="2">
        <v>0.3</v>
      </c>
      <c r="Y181" s="3">
        <v>485.68</v>
      </c>
      <c r="Z181" t="str">
        <f t="shared" si="26"/>
        <v>Normal</v>
      </c>
      <c r="AA181" t="str">
        <f t="shared" si="27"/>
        <v>High</v>
      </c>
      <c r="AB181" t="str">
        <f t="shared" si="31"/>
        <v>Low Profit</v>
      </c>
      <c r="AC181" s="3">
        <f t="shared" si="32"/>
        <v>0.22794600784726005</v>
      </c>
      <c r="AD181" s="3">
        <f t="shared" si="33"/>
        <v>355.11333333333329</v>
      </c>
      <c r="AE181" s="3">
        <f t="shared" si="34"/>
        <v>80.946666666666673</v>
      </c>
      <c r="AF181" t="str">
        <f t="shared" si="35"/>
        <v>Regular</v>
      </c>
    </row>
    <row r="182" spans="1:32" x14ac:dyDescent="0.25">
      <c r="A182" t="s">
        <v>5469</v>
      </c>
      <c r="B182" s="1">
        <v>45014</v>
      </c>
      <c r="C182" s="1">
        <v>45017</v>
      </c>
      <c r="D182" s="4">
        <f t="shared" si="24"/>
        <v>3</v>
      </c>
      <c r="E182" s="4" t="str">
        <f>TEXT(Table1[[#This Row],[Order_Date]],"dddd")</f>
        <v>Wednesday</v>
      </c>
      <c r="F182" s="4">
        <f t="shared" si="25"/>
        <v>3</v>
      </c>
      <c r="G182" t="str">
        <f t="shared" si="28"/>
        <v>March</v>
      </c>
      <c r="H182">
        <f t="shared" si="29"/>
        <v>2023</v>
      </c>
      <c r="I182" t="str">
        <f t="shared" si="30"/>
        <v>2023-Q1</v>
      </c>
      <c r="J182" t="s">
        <v>104</v>
      </c>
      <c r="K182" t="s">
        <v>5470</v>
      </c>
      <c r="L182" t="s">
        <v>5471</v>
      </c>
      <c r="M182" t="s">
        <v>36</v>
      </c>
      <c r="N182" t="s">
        <v>25</v>
      </c>
      <c r="O182" t="s">
        <v>179</v>
      </c>
      <c r="P182" t="s">
        <v>27</v>
      </c>
      <c r="Q182" t="s">
        <v>87</v>
      </c>
      <c r="R182" t="s">
        <v>5472</v>
      </c>
      <c r="S182" t="s">
        <v>59</v>
      </c>
      <c r="T182" t="s">
        <v>101</v>
      </c>
      <c r="U182" t="s">
        <v>5473</v>
      </c>
      <c r="V182" s="3">
        <v>2046.35</v>
      </c>
      <c r="W182" s="4">
        <v>8</v>
      </c>
      <c r="X182" s="2">
        <v>0.2</v>
      </c>
      <c r="Y182" s="3">
        <v>-104.78</v>
      </c>
      <c r="Z182" t="str">
        <f t="shared" si="26"/>
        <v>Normal</v>
      </c>
      <c r="AA182" t="str">
        <f t="shared" si="27"/>
        <v>High</v>
      </c>
      <c r="AB182" t="str">
        <f t="shared" si="31"/>
        <v>Loss</v>
      </c>
      <c r="AC182" s="3">
        <f t="shared" si="32"/>
        <v>-5.120336208371002E-2</v>
      </c>
      <c r="AD182" s="3">
        <f t="shared" si="33"/>
        <v>255.79374999999999</v>
      </c>
      <c r="AE182" s="3">
        <f t="shared" si="34"/>
        <v>-13.0975</v>
      </c>
      <c r="AF182" t="str">
        <f t="shared" si="35"/>
        <v>Regular</v>
      </c>
    </row>
    <row r="183" spans="1:32" x14ac:dyDescent="0.25">
      <c r="A183" t="s">
        <v>533</v>
      </c>
      <c r="B183" s="1">
        <v>45016</v>
      </c>
      <c r="C183" s="1">
        <v>45020</v>
      </c>
      <c r="D183" s="4">
        <f t="shared" si="24"/>
        <v>4</v>
      </c>
      <c r="E183" s="4" t="str">
        <f>TEXT(Table1[[#This Row],[Order_Date]],"dddd")</f>
        <v>Friday</v>
      </c>
      <c r="F183" s="4">
        <f t="shared" si="25"/>
        <v>3</v>
      </c>
      <c r="G183" t="str">
        <f t="shared" si="28"/>
        <v>March</v>
      </c>
      <c r="H183">
        <f t="shared" si="29"/>
        <v>2023</v>
      </c>
      <c r="I183" t="str">
        <f t="shared" si="30"/>
        <v>2023-Q1</v>
      </c>
      <c r="J183" t="s">
        <v>21</v>
      </c>
      <c r="K183" t="s">
        <v>534</v>
      </c>
      <c r="L183" t="s">
        <v>535</v>
      </c>
      <c r="M183" t="s">
        <v>47</v>
      </c>
      <c r="N183" t="s">
        <v>25</v>
      </c>
      <c r="O183" t="s">
        <v>201</v>
      </c>
      <c r="P183" t="s">
        <v>113</v>
      </c>
      <c r="Q183" t="s">
        <v>66</v>
      </c>
      <c r="R183" t="s">
        <v>536</v>
      </c>
      <c r="S183" t="s">
        <v>51</v>
      </c>
      <c r="T183" t="s">
        <v>52</v>
      </c>
      <c r="U183" t="s">
        <v>537</v>
      </c>
      <c r="V183" s="3">
        <v>2534.73</v>
      </c>
      <c r="W183" s="4">
        <v>3</v>
      </c>
      <c r="X183" s="2">
        <v>0</v>
      </c>
      <c r="Y183" s="3">
        <v>278.48</v>
      </c>
      <c r="Z183" t="str">
        <f t="shared" si="26"/>
        <v>Normal</v>
      </c>
      <c r="AA183" t="str">
        <f t="shared" si="27"/>
        <v>Low</v>
      </c>
      <c r="AB183" t="str">
        <f t="shared" si="31"/>
        <v>Low Profit</v>
      </c>
      <c r="AC183" s="3">
        <f t="shared" si="32"/>
        <v>0.10986574506949459</v>
      </c>
      <c r="AD183" s="3">
        <f t="shared" si="33"/>
        <v>844.91</v>
      </c>
      <c r="AE183" s="3">
        <f t="shared" si="34"/>
        <v>92.826666666666668</v>
      </c>
      <c r="AF183" t="str">
        <f t="shared" si="35"/>
        <v>Regular</v>
      </c>
    </row>
    <row r="184" spans="1:32" x14ac:dyDescent="0.25">
      <c r="A184" t="s">
        <v>2706</v>
      </c>
      <c r="B184" s="1">
        <v>45016</v>
      </c>
      <c r="C184" s="1">
        <v>45025</v>
      </c>
      <c r="D184" s="4">
        <f t="shared" si="24"/>
        <v>9</v>
      </c>
      <c r="E184" s="4" t="str">
        <f>TEXT(Table1[[#This Row],[Order_Date]],"dddd")</f>
        <v>Friday</v>
      </c>
      <c r="F184" s="4">
        <f t="shared" si="25"/>
        <v>3</v>
      </c>
      <c r="G184" t="str">
        <f t="shared" si="28"/>
        <v>March</v>
      </c>
      <c r="H184">
        <f t="shared" si="29"/>
        <v>2023</v>
      </c>
      <c r="I184" t="str">
        <f t="shared" si="30"/>
        <v>2023-Q1</v>
      </c>
      <c r="J184" t="s">
        <v>55</v>
      </c>
      <c r="K184" t="s">
        <v>2707</v>
      </c>
      <c r="L184" t="s">
        <v>2708</v>
      </c>
      <c r="M184" t="s">
        <v>24</v>
      </c>
      <c r="N184" t="s">
        <v>25</v>
      </c>
      <c r="O184" t="s">
        <v>201</v>
      </c>
      <c r="P184" t="s">
        <v>113</v>
      </c>
      <c r="Q184" t="s">
        <v>39</v>
      </c>
      <c r="R184" t="s">
        <v>2709</v>
      </c>
      <c r="S184" t="s">
        <v>59</v>
      </c>
      <c r="T184" t="s">
        <v>60</v>
      </c>
      <c r="U184" t="s">
        <v>2710</v>
      </c>
      <c r="V184" s="3">
        <v>881.16</v>
      </c>
      <c r="W184" s="4">
        <v>2</v>
      </c>
      <c r="X184" s="2">
        <v>0</v>
      </c>
      <c r="Y184" s="3">
        <v>143.1</v>
      </c>
      <c r="Z184" t="str">
        <f t="shared" si="26"/>
        <v>Normal</v>
      </c>
      <c r="AA184" t="str">
        <f t="shared" si="27"/>
        <v>Low</v>
      </c>
      <c r="AB184" t="str">
        <f t="shared" si="31"/>
        <v>Low Profit</v>
      </c>
      <c r="AC184" s="3">
        <f t="shared" si="32"/>
        <v>0.16239956421081303</v>
      </c>
      <c r="AD184" s="3">
        <f t="shared" si="33"/>
        <v>440.58</v>
      </c>
      <c r="AE184" s="3">
        <f t="shared" si="34"/>
        <v>71.55</v>
      </c>
      <c r="AF184" t="str">
        <f t="shared" si="35"/>
        <v>Regular</v>
      </c>
    </row>
    <row r="185" spans="1:32" x14ac:dyDescent="0.25">
      <c r="A185" t="s">
        <v>116</v>
      </c>
      <c r="B185" s="1">
        <v>45016</v>
      </c>
      <c r="C185" s="1">
        <v>45022</v>
      </c>
      <c r="D185" s="4">
        <f t="shared" si="24"/>
        <v>6</v>
      </c>
      <c r="E185" s="4" t="str">
        <f>TEXT(Table1[[#This Row],[Order_Date]],"dddd")</f>
        <v>Friday</v>
      </c>
      <c r="F185" s="4">
        <f t="shared" si="25"/>
        <v>3</v>
      </c>
      <c r="G185" t="str">
        <f t="shared" si="28"/>
        <v>March</v>
      </c>
      <c r="H185">
        <f t="shared" si="29"/>
        <v>2023</v>
      </c>
      <c r="I185" t="str">
        <f t="shared" si="30"/>
        <v>2023-Q1</v>
      </c>
      <c r="J185" t="s">
        <v>55</v>
      </c>
      <c r="K185" t="s">
        <v>117</v>
      </c>
      <c r="L185" t="s">
        <v>118</v>
      </c>
      <c r="M185" t="s">
        <v>47</v>
      </c>
      <c r="N185" t="s">
        <v>25</v>
      </c>
      <c r="O185" t="s">
        <v>119</v>
      </c>
      <c r="P185" t="s">
        <v>120</v>
      </c>
      <c r="Q185" t="s">
        <v>66</v>
      </c>
      <c r="R185" t="s">
        <v>121</v>
      </c>
      <c r="S185" t="s">
        <v>59</v>
      </c>
      <c r="T185" t="s">
        <v>101</v>
      </c>
      <c r="U185" t="s">
        <v>122</v>
      </c>
      <c r="V185" s="3">
        <v>307.18</v>
      </c>
      <c r="W185" s="4">
        <v>3</v>
      </c>
      <c r="X185" s="2">
        <v>0.4</v>
      </c>
      <c r="Y185" s="3">
        <v>46.8</v>
      </c>
      <c r="Z185" t="str">
        <f t="shared" si="26"/>
        <v>Normal</v>
      </c>
      <c r="AA185" t="str">
        <f t="shared" si="27"/>
        <v>High</v>
      </c>
      <c r="AB185" t="str">
        <f t="shared" si="31"/>
        <v>Low Profit</v>
      </c>
      <c r="AC185" s="3">
        <f t="shared" si="32"/>
        <v>0.15235366885864965</v>
      </c>
      <c r="AD185" s="3">
        <f t="shared" si="33"/>
        <v>102.39333333333333</v>
      </c>
      <c r="AE185" s="3">
        <f t="shared" si="34"/>
        <v>15.6</v>
      </c>
      <c r="AF185" t="str">
        <f t="shared" si="35"/>
        <v>Regular</v>
      </c>
    </row>
    <row r="186" spans="1:32" x14ac:dyDescent="0.25">
      <c r="A186" t="s">
        <v>2534</v>
      </c>
      <c r="B186" s="1">
        <v>45016</v>
      </c>
      <c r="C186" s="1">
        <v>45024</v>
      </c>
      <c r="D186" s="4">
        <f t="shared" si="24"/>
        <v>8</v>
      </c>
      <c r="E186" s="4" t="str">
        <f>TEXT(Table1[[#This Row],[Order_Date]],"dddd")</f>
        <v>Friday</v>
      </c>
      <c r="F186" s="4">
        <f t="shared" si="25"/>
        <v>3</v>
      </c>
      <c r="G186" t="str">
        <f t="shared" si="28"/>
        <v>March</v>
      </c>
      <c r="H186">
        <f t="shared" si="29"/>
        <v>2023</v>
      </c>
      <c r="I186" t="str">
        <f t="shared" si="30"/>
        <v>2023-Q1</v>
      </c>
      <c r="J186" t="s">
        <v>44</v>
      </c>
      <c r="K186" t="s">
        <v>2535</v>
      </c>
      <c r="L186" t="s">
        <v>2536</v>
      </c>
      <c r="M186" t="s">
        <v>36</v>
      </c>
      <c r="N186" t="s">
        <v>25</v>
      </c>
      <c r="O186" t="s">
        <v>142</v>
      </c>
      <c r="P186" t="s">
        <v>143</v>
      </c>
      <c r="Q186" t="s">
        <v>28</v>
      </c>
      <c r="R186" t="s">
        <v>2537</v>
      </c>
      <c r="S186" t="s">
        <v>59</v>
      </c>
      <c r="T186" t="s">
        <v>60</v>
      </c>
      <c r="U186" t="s">
        <v>2538</v>
      </c>
      <c r="V186" s="3">
        <v>2185.38</v>
      </c>
      <c r="W186" s="4">
        <v>6</v>
      </c>
      <c r="X186" s="2">
        <v>0.3</v>
      </c>
      <c r="Y186" s="3">
        <v>369.71</v>
      </c>
      <c r="Z186" t="str">
        <f t="shared" si="26"/>
        <v>Normal</v>
      </c>
      <c r="AA186" t="str">
        <f t="shared" si="27"/>
        <v>High</v>
      </c>
      <c r="AB186" t="str">
        <f t="shared" si="31"/>
        <v>Low Profit</v>
      </c>
      <c r="AC186" s="3">
        <f t="shared" si="32"/>
        <v>0.16917423972032322</v>
      </c>
      <c r="AD186" s="3">
        <f t="shared" si="33"/>
        <v>364.23</v>
      </c>
      <c r="AE186" s="3">
        <f t="shared" si="34"/>
        <v>61.618333333333332</v>
      </c>
      <c r="AF186" t="str">
        <f t="shared" si="35"/>
        <v>Regular</v>
      </c>
    </row>
    <row r="187" spans="1:32" x14ac:dyDescent="0.25">
      <c r="A187" t="s">
        <v>2148</v>
      </c>
      <c r="B187" s="1">
        <v>45017</v>
      </c>
      <c r="C187" s="1">
        <v>45026</v>
      </c>
      <c r="D187" s="4">
        <f t="shared" si="24"/>
        <v>9</v>
      </c>
      <c r="E187" s="4" t="str">
        <f>TEXT(Table1[[#This Row],[Order_Date]],"dddd")</f>
        <v>Saturday</v>
      </c>
      <c r="F187" s="4">
        <f t="shared" si="25"/>
        <v>4</v>
      </c>
      <c r="G187" t="str">
        <f t="shared" si="28"/>
        <v>April</v>
      </c>
      <c r="H187">
        <f t="shared" si="29"/>
        <v>2023</v>
      </c>
      <c r="I187" t="str">
        <f t="shared" si="30"/>
        <v>2023-Q2</v>
      </c>
      <c r="J187" t="s">
        <v>44</v>
      </c>
      <c r="K187" t="s">
        <v>2149</v>
      </c>
      <c r="L187" t="s">
        <v>2150</v>
      </c>
      <c r="M187" t="s">
        <v>24</v>
      </c>
      <c r="N187" t="s">
        <v>25</v>
      </c>
      <c r="O187" t="s">
        <v>190</v>
      </c>
      <c r="P187" t="s">
        <v>120</v>
      </c>
      <c r="Q187" t="s">
        <v>28</v>
      </c>
      <c r="R187" t="s">
        <v>2151</v>
      </c>
      <c r="S187" t="s">
        <v>51</v>
      </c>
      <c r="T187" t="s">
        <v>127</v>
      </c>
      <c r="U187" t="s">
        <v>2152</v>
      </c>
      <c r="V187" s="3">
        <v>2619.98</v>
      </c>
      <c r="W187" s="4">
        <v>3</v>
      </c>
      <c r="X187" s="2">
        <v>0</v>
      </c>
      <c r="Y187" s="3">
        <v>720.06</v>
      </c>
      <c r="Z187" t="str">
        <f t="shared" si="26"/>
        <v>Normal</v>
      </c>
      <c r="AA187" t="str">
        <f t="shared" si="27"/>
        <v>Low</v>
      </c>
      <c r="AB187" t="str">
        <f t="shared" si="31"/>
        <v>High Profit</v>
      </c>
      <c r="AC187" s="3">
        <f t="shared" si="32"/>
        <v>0.27483415903938196</v>
      </c>
      <c r="AD187" s="3">
        <f t="shared" si="33"/>
        <v>873.32666666666671</v>
      </c>
      <c r="AE187" s="3">
        <f t="shared" si="34"/>
        <v>240.01999999999998</v>
      </c>
      <c r="AF187" t="str">
        <f t="shared" si="35"/>
        <v>Regular</v>
      </c>
    </row>
    <row r="188" spans="1:32" x14ac:dyDescent="0.25">
      <c r="A188" t="s">
        <v>5221</v>
      </c>
      <c r="B188" s="1">
        <v>45017</v>
      </c>
      <c r="C188" s="1">
        <v>45020</v>
      </c>
      <c r="D188" s="4">
        <f t="shared" si="24"/>
        <v>3</v>
      </c>
      <c r="E188" s="4" t="str">
        <f>TEXT(Table1[[#This Row],[Order_Date]],"dddd")</f>
        <v>Saturday</v>
      </c>
      <c r="F188" s="4">
        <f t="shared" si="25"/>
        <v>4</v>
      </c>
      <c r="G188" t="str">
        <f t="shared" si="28"/>
        <v>April</v>
      </c>
      <c r="H188">
        <f t="shared" si="29"/>
        <v>2023</v>
      </c>
      <c r="I188" t="str">
        <f t="shared" si="30"/>
        <v>2023-Q2</v>
      </c>
      <c r="J188" t="s">
        <v>44</v>
      </c>
      <c r="K188" t="s">
        <v>5222</v>
      </c>
      <c r="L188" t="s">
        <v>5223</v>
      </c>
      <c r="M188" t="s">
        <v>36</v>
      </c>
      <c r="N188" t="s">
        <v>25</v>
      </c>
      <c r="O188" t="s">
        <v>142</v>
      </c>
      <c r="P188" t="s">
        <v>143</v>
      </c>
      <c r="Q188" t="s">
        <v>66</v>
      </c>
      <c r="R188" t="s">
        <v>5224</v>
      </c>
      <c r="S188" t="s">
        <v>51</v>
      </c>
      <c r="T188" t="s">
        <v>52</v>
      </c>
      <c r="U188" t="s">
        <v>5225</v>
      </c>
      <c r="V188" s="3">
        <v>2897.19</v>
      </c>
      <c r="W188" s="4">
        <v>10</v>
      </c>
      <c r="X188" s="2">
        <v>0.3</v>
      </c>
      <c r="Y188" s="3">
        <v>-105.76</v>
      </c>
      <c r="Z188" t="str">
        <f t="shared" si="26"/>
        <v>Normal</v>
      </c>
      <c r="AA188" t="str">
        <f t="shared" si="27"/>
        <v>High</v>
      </c>
      <c r="AB188" t="str">
        <f t="shared" si="31"/>
        <v>Loss</v>
      </c>
      <c r="AC188" s="3">
        <f t="shared" si="32"/>
        <v>-3.6504336960986337E-2</v>
      </c>
      <c r="AD188" s="3">
        <f t="shared" si="33"/>
        <v>289.71899999999999</v>
      </c>
      <c r="AE188" s="3">
        <f t="shared" si="34"/>
        <v>-10.576000000000001</v>
      </c>
      <c r="AF188" t="str">
        <f t="shared" si="35"/>
        <v>Regular</v>
      </c>
    </row>
    <row r="189" spans="1:32" x14ac:dyDescent="0.25">
      <c r="A189" t="s">
        <v>922</v>
      </c>
      <c r="B189" s="1">
        <v>45017</v>
      </c>
      <c r="C189" s="1">
        <v>45024</v>
      </c>
      <c r="D189" s="4">
        <f t="shared" si="24"/>
        <v>7</v>
      </c>
      <c r="E189" s="4" t="str">
        <f>TEXT(Table1[[#This Row],[Order_Date]],"dddd")</f>
        <v>Saturday</v>
      </c>
      <c r="F189" s="4">
        <f t="shared" si="25"/>
        <v>4</v>
      </c>
      <c r="G189" t="str">
        <f t="shared" si="28"/>
        <v>April</v>
      </c>
      <c r="H189">
        <f t="shared" si="29"/>
        <v>2023</v>
      </c>
      <c r="I189" t="str">
        <f t="shared" si="30"/>
        <v>2023-Q2</v>
      </c>
      <c r="J189" t="s">
        <v>21</v>
      </c>
      <c r="K189" t="s">
        <v>923</v>
      </c>
      <c r="L189" t="s">
        <v>924</v>
      </c>
      <c r="M189" t="s">
        <v>47</v>
      </c>
      <c r="N189" t="s">
        <v>25</v>
      </c>
      <c r="O189" t="s">
        <v>149</v>
      </c>
      <c r="P189" t="s">
        <v>113</v>
      </c>
      <c r="Q189" t="s">
        <v>66</v>
      </c>
      <c r="R189" t="s">
        <v>925</v>
      </c>
      <c r="S189" t="s">
        <v>51</v>
      </c>
      <c r="T189" t="s">
        <v>127</v>
      </c>
      <c r="U189" t="s">
        <v>926</v>
      </c>
      <c r="V189" s="3">
        <v>2676.76</v>
      </c>
      <c r="W189" s="4">
        <v>6</v>
      </c>
      <c r="X189" s="2">
        <v>0.1</v>
      </c>
      <c r="Y189" s="3">
        <v>-518.09</v>
      </c>
      <c r="Z189" t="str">
        <f t="shared" si="26"/>
        <v>Normal</v>
      </c>
      <c r="AA189" t="str">
        <f t="shared" si="27"/>
        <v>Medium</v>
      </c>
      <c r="AB189" t="str">
        <f t="shared" si="31"/>
        <v>Loss</v>
      </c>
      <c r="AC189" s="3">
        <f t="shared" si="32"/>
        <v>-0.19355115886370089</v>
      </c>
      <c r="AD189" s="3">
        <f t="shared" si="33"/>
        <v>446.12666666666672</v>
      </c>
      <c r="AE189" s="3">
        <f t="shared" si="34"/>
        <v>-86.348333333333343</v>
      </c>
      <c r="AF189" t="str">
        <f t="shared" si="35"/>
        <v>Regular</v>
      </c>
    </row>
    <row r="190" spans="1:32" x14ac:dyDescent="0.25">
      <c r="A190" t="s">
        <v>2133</v>
      </c>
      <c r="B190" s="1">
        <v>45019</v>
      </c>
      <c r="C190" s="1">
        <v>45025</v>
      </c>
      <c r="D190" s="4">
        <f t="shared" si="24"/>
        <v>6</v>
      </c>
      <c r="E190" s="4" t="str">
        <f>TEXT(Table1[[#This Row],[Order_Date]],"dddd")</f>
        <v>Monday</v>
      </c>
      <c r="F190" s="4">
        <f t="shared" si="25"/>
        <v>4</v>
      </c>
      <c r="G190" t="str">
        <f t="shared" si="28"/>
        <v>April</v>
      </c>
      <c r="H190">
        <f t="shared" si="29"/>
        <v>2023</v>
      </c>
      <c r="I190" t="str">
        <f t="shared" si="30"/>
        <v>2023-Q2</v>
      </c>
      <c r="J190" t="s">
        <v>21</v>
      </c>
      <c r="K190" t="s">
        <v>2134</v>
      </c>
      <c r="L190" t="s">
        <v>2135</v>
      </c>
      <c r="M190" t="s">
        <v>36</v>
      </c>
      <c r="N190" t="s">
        <v>25</v>
      </c>
      <c r="O190" t="s">
        <v>233</v>
      </c>
      <c r="P190" t="s">
        <v>163</v>
      </c>
      <c r="Q190" t="s">
        <v>87</v>
      </c>
      <c r="R190" t="s">
        <v>2136</v>
      </c>
      <c r="S190" t="s">
        <v>59</v>
      </c>
      <c r="T190" t="s">
        <v>303</v>
      </c>
      <c r="U190" t="s">
        <v>2137</v>
      </c>
      <c r="V190" s="3">
        <v>4190.21</v>
      </c>
      <c r="W190" s="4">
        <v>1</v>
      </c>
      <c r="X190" s="2">
        <v>0</v>
      </c>
      <c r="Y190" s="3">
        <v>-433.81</v>
      </c>
      <c r="Z190" t="str">
        <f t="shared" si="26"/>
        <v>Normal</v>
      </c>
      <c r="AA190" t="str">
        <f t="shared" si="27"/>
        <v>Low</v>
      </c>
      <c r="AB190" t="str">
        <f t="shared" si="31"/>
        <v>Loss</v>
      </c>
      <c r="AC190" s="3">
        <f t="shared" si="32"/>
        <v>-0.10352941738003585</v>
      </c>
      <c r="AD190" s="3">
        <f t="shared" si="33"/>
        <v>4190.21</v>
      </c>
      <c r="AE190" s="3">
        <f t="shared" si="34"/>
        <v>-433.81</v>
      </c>
      <c r="AF190" t="str">
        <f t="shared" si="35"/>
        <v>Regular</v>
      </c>
    </row>
    <row r="191" spans="1:32" x14ac:dyDescent="0.25">
      <c r="A191" t="s">
        <v>1191</v>
      </c>
      <c r="B191" s="1">
        <v>45019</v>
      </c>
      <c r="C191" s="1">
        <v>45028</v>
      </c>
      <c r="D191" s="4">
        <f t="shared" si="24"/>
        <v>9</v>
      </c>
      <c r="E191" s="4" t="str">
        <f>TEXT(Table1[[#This Row],[Order_Date]],"dddd")</f>
        <v>Monday</v>
      </c>
      <c r="F191" s="4">
        <f t="shared" si="25"/>
        <v>4</v>
      </c>
      <c r="G191" t="str">
        <f t="shared" si="28"/>
        <v>April</v>
      </c>
      <c r="H191">
        <f t="shared" si="29"/>
        <v>2023</v>
      </c>
      <c r="I191" t="str">
        <f t="shared" si="30"/>
        <v>2023-Q2</v>
      </c>
      <c r="J191" t="s">
        <v>55</v>
      </c>
      <c r="K191" t="s">
        <v>1192</v>
      </c>
      <c r="L191" t="s">
        <v>1193</v>
      </c>
      <c r="M191" t="s">
        <v>36</v>
      </c>
      <c r="N191" t="s">
        <v>25</v>
      </c>
      <c r="O191" t="s">
        <v>511</v>
      </c>
      <c r="P191" t="s">
        <v>120</v>
      </c>
      <c r="Q191" t="s">
        <v>39</v>
      </c>
      <c r="R191" t="s">
        <v>1194</v>
      </c>
      <c r="S191" t="s">
        <v>59</v>
      </c>
      <c r="T191" t="s">
        <v>303</v>
      </c>
      <c r="U191" t="s">
        <v>1195</v>
      </c>
      <c r="V191" s="3">
        <v>1171.78</v>
      </c>
      <c r="W191" s="4">
        <v>7</v>
      </c>
      <c r="X191" s="2">
        <v>0.2</v>
      </c>
      <c r="Y191" s="3">
        <v>82.61</v>
      </c>
      <c r="Z191" t="str">
        <f t="shared" si="26"/>
        <v>Normal</v>
      </c>
      <c r="AA191" t="str">
        <f t="shared" si="27"/>
        <v>High</v>
      </c>
      <c r="AB191" t="str">
        <f t="shared" si="31"/>
        <v>Low Profit</v>
      </c>
      <c r="AC191" s="3">
        <f t="shared" si="32"/>
        <v>7.049958183276725E-2</v>
      </c>
      <c r="AD191" s="3">
        <f t="shared" si="33"/>
        <v>167.39714285714285</v>
      </c>
      <c r="AE191" s="3">
        <f t="shared" si="34"/>
        <v>11.801428571428572</v>
      </c>
      <c r="AF191" t="str">
        <f t="shared" si="35"/>
        <v>Regular</v>
      </c>
    </row>
    <row r="192" spans="1:32" x14ac:dyDescent="0.25">
      <c r="A192" t="s">
        <v>5444</v>
      </c>
      <c r="B192" s="1">
        <v>45019</v>
      </c>
      <c r="C192" s="1">
        <v>45020</v>
      </c>
      <c r="D192" s="4">
        <f t="shared" si="24"/>
        <v>1</v>
      </c>
      <c r="E192" s="4" t="str">
        <f>TEXT(Table1[[#This Row],[Order_Date]],"dddd")</f>
        <v>Monday</v>
      </c>
      <c r="F192" s="4">
        <f t="shared" si="25"/>
        <v>4</v>
      </c>
      <c r="G192" t="str">
        <f t="shared" si="28"/>
        <v>April</v>
      </c>
      <c r="H192">
        <f t="shared" si="29"/>
        <v>2023</v>
      </c>
      <c r="I192" t="str">
        <f t="shared" si="30"/>
        <v>2023-Q2</v>
      </c>
      <c r="J192" t="s">
        <v>21</v>
      </c>
      <c r="K192" t="s">
        <v>5445</v>
      </c>
      <c r="L192" t="s">
        <v>5446</v>
      </c>
      <c r="M192" t="s">
        <v>47</v>
      </c>
      <c r="N192" t="s">
        <v>25</v>
      </c>
      <c r="O192" t="s">
        <v>37</v>
      </c>
      <c r="P192" t="s">
        <v>38</v>
      </c>
      <c r="Q192" t="s">
        <v>87</v>
      </c>
      <c r="R192" t="s">
        <v>5447</v>
      </c>
      <c r="S192" t="s">
        <v>51</v>
      </c>
      <c r="T192" t="s">
        <v>127</v>
      </c>
      <c r="U192" t="s">
        <v>5448</v>
      </c>
      <c r="V192" s="3">
        <v>1899.2</v>
      </c>
      <c r="W192" s="4">
        <v>3</v>
      </c>
      <c r="X192" s="2">
        <v>0.4</v>
      </c>
      <c r="Y192" s="3">
        <v>199.07</v>
      </c>
      <c r="Z192" t="str">
        <f t="shared" si="26"/>
        <v>Normal</v>
      </c>
      <c r="AA192" t="str">
        <f t="shared" si="27"/>
        <v>High</v>
      </c>
      <c r="AB192" t="str">
        <f t="shared" si="31"/>
        <v>Low Profit</v>
      </c>
      <c r="AC192" s="3">
        <f t="shared" si="32"/>
        <v>0.10481781802864364</v>
      </c>
      <c r="AD192" s="3">
        <f t="shared" si="33"/>
        <v>633.06666666666672</v>
      </c>
      <c r="AE192" s="3">
        <f t="shared" si="34"/>
        <v>66.356666666666669</v>
      </c>
      <c r="AF192" t="str">
        <f t="shared" si="35"/>
        <v>Regular</v>
      </c>
    </row>
    <row r="193" spans="1:32" x14ac:dyDescent="0.25">
      <c r="A193" t="s">
        <v>5409</v>
      </c>
      <c r="B193" s="1">
        <v>45019</v>
      </c>
      <c r="C193" s="1">
        <v>45026</v>
      </c>
      <c r="D193" s="4">
        <f t="shared" si="24"/>
        <v>7</v>
      </c>
      <c r="E193" s="4" t="str">
        <f>TEXT(Table1[[#This Row],[Order_Date]],"dddd")</f>
        <v>Monday</v>
      </c>
      <c r="F193" s="4">
        <f t="shared" si="25"/>
        <v>4</v>
      </c>
      <c r="G193" t="str">
        <f t="shared" si="28"/>
        <v>April</v>
      </c>
      <c r="H193">
        <f t="shared" si="29"/>
        <v>2023</v>
      </c>
      <c r="I193" t="str">
        <f t="shared" si="30"/>
        <v>2023-Q2</v>
      </c>
      <c r="J193" t="s">
        <v>104</v>
      </c>
      <c r="K193" t="s">
        <v>5410</v>
      </c>
      <c r="L193" t="s">
        <v>5411</v>
      </c>
      <c r="M193" t="s">
        <v>36</v>
      </c>
      <c r="N193" t="s">
        <v>25</v>
      </c>
      <c r="O193" t="s">
        <v>162</v>
      </c>
      <c r="P193" t="s">
        <v>163</v>
      </c>
      <c r="Q193" t="s">
        <v>87</v>
      </c>
      <c r="R193" t="s">
        <v>5412</v>
      </c>
      <c r="S193" t="s">
        <v>51</v>
      </c>
      <c r="T193" t="s">
        <v>151</v>
      </c>
      <c r="U193" t="s">
        <v>5413</v>
      </c>
      <c r="V193" s="3">
        <v>704.95</v>
      </c>
      <c r="W193" s="4">
        <v>8</v>
      </c>
      <c r="X193" s="2">
        <v>0.4</v>
      </c>
      <c r="Y193" s="3">
        <v>-47.65</v>
      </c>
      <c r="Z193" t="str">
        <f t="shared" si="26"/>
        <v>Normal</v>
      </c>
      <c r="AA193" t="str">
        <f t="shared" si="27"/>
        <v>High</v>
      </c>
      <c r="AB193" t="str">
        <f t="shared" si="31"/>
        <v>Loss</v>
      </c>
      <c r="AC193" s="3">
        <f t="shared" si="32"/>
        <v>-6.759344634371231E-2</v>
      </c>
      <c r="AD193" s="3">
        <f t="shared" si="33"/>
        <v>88.118750000000006</v>
      </c>
      <c r="AE193" s="3">
        <f t="shared" si="34"/>
        <v>-5.9562499999999998</v>
      </c>
      <c r="AF193" t="str">
        <f t="shared" si="35"/>
        <v>Regular</v>
      </c>
    </row>
    <row r="194" spans="1:32" x14ac:dyDescent="0.25">
      <c r="A194" t="s">
        <v>2948</v>
      </c>
      <c r="B194" s="1">
        <v>45020</v>
      </c>
      <c r="C194" s="1">
        <v>45021</v>
      </c>
      <c r="D194" s="4">
        <f t="shared" ref="D194:D257" si="36">C194-B194</f>
        <v>1</v>
      </c>
      <c r="E194" s="4" t="str">
        <f>TEXT(Table1[[#This Row],[Order_Date]],"dddd")</f>
        <v>Tuesday</v>
      </c>
      <c r="F194" s="4">
        <f t="shared" ref="F194:F257" si="37">MONTH(B194)</f>
        <v>4</v>
      </c>
      <c r="G194" t="str">
        <f t="shared" si="28"/>
        <v>April</v>
      </c>
      <c r="H194">
        <f t="shared" si="29"/>
        <v>2023</v>
      </c>
      <c r="I194" t="str">
        <f t="shared" si="30"/>
        <v>2023-Q2</v>
      </c>
      <c r="J194" t="s">
        <v>55</v>
      </c>
      <c r="K194" t="s">
        <v>2949</v>
      </c>
      <c r="L194" t="s">
        <v>2950</v>
      </c>
      <c r="M194" t="s">
        <v>24</v>
      </c>
      <c r="N194" t="s">
        <v>25</v>
      </c>
      <c r="O194" t="s">
        <v>611</v>
      </c>
      <c r="P194" t="s">
        <v>74</v>
      </c>
      <c r="Q194" t="s">
        <v>28</v>
      </c>
      <c r="R194" t="s">
        <v>2951</v>
      </c>
      <c r="S194" t="s">
        <v>51</v>
      </c>
      <c r="T194" t="s">
        <v>94</v>
      </c>
      <c r="U194" t="s">
        <v>2952</v>
      </c>
      <c r="V194" s="3">
        <v>2514.16</v>
      </c>
      <c r="W194" s="4">
        <v>4</v>
      </c>
      <c r="X194" s="2">
        <v>0</v>
      </c>
      <c r="Y194" s="3">
        <v>-2.8</v>
      </c>
      <c r="Z194" t="str">
        <f t="shared" ref="Z194:Z257" si="38">IF(OR(Y194&lt;-800.884,Y194&gt;1030.126),"Outlier","Normal")</f>
        <v>Normal</v>
      </c>
      <c r="AA194" t="str">
        <f t="shared" ref="AA194:AA257" si="39">IF(X194&lt;10%,"Low",IF(X194&lt;0.2,"Medium","High"))</f>
        <v>Low</v>
      </c>
      <c r="AB194" t="str">
        <f t="shared" si="31"/>
        <v>Loss</v>
      </c>
      <c r="AC194" s="3">
        <f t="shared" si="32"/>
        <v>-1.1136920482387755E-3</v>
      </c>
      <c r="AD194" s="3">
        <f t="shared" si="33"/>
        <v>628.54</v>
      </c>
      <c r="AE194" s="3">
        <f t="shared" si="34"/>
        <v>-0.7</v>
      </c>
      <c r="AF194" t="str">
        <f t="shared" si="35"/>
        <v>Regular</v>
      </c>
    </row>
    <row r="195" spans="1:32" x14ac:dyDescent="0.25">
      <c r="A195" t="s">
        <v>6753</v>
      </c>
      <c r="B195" s="1">
        <v>45021</v>
      </c>
      <c r="C195" s="1">
        <v>45029</v>
      </c>
      <c r="D195" s="4">
        <f t="shared" si="36"/>
        <v>8</v>
      </c>
      <c r="E195" s="4" t="str">
        <f>TEXT(Table1[[#This Row],[Order_Date]],"dddd")</f>
        <v>Wednesday</v>
      </c>
      <c r="F195" s="4">
        <f t="shared" si="37"/>
        <v>4</v>
      </c>
      <c r="G195" t="str">
        <f t="shared" ref="G195:G258" si="40">TEXT(B195,"mmmm")</f>
        <v>April</v>
      </c>
      <c r="H195">
        <f t="shared" ref="H195:H258" si="41">YEAR(B195)</f>
        <v>2023</v>
      </c>
      <c r="I195" t="str">
        <f t="shared" ref="I195:I258" si="42">H195 &amp; "-Q" &amp; INT((MONTH(B195)+2)/3)</f>
        <v>2023-Q2</v>
      </c>
      <c r="J195" t="s">
        <v>21</v>
      </c>
      <c r="K195" t="s">
        <v>6754</v>
      </c>
      <c r="L195" t="s">
        <v>6755</v>
      </c>
      <c r="M195" t="s">
        <v>47</v>
      </c>
      <c r="N195" t="s">
        <v>25</v>
      </c>
      <c r="O195" t="s">
        <v>26</v>
      </c>
      <c r="P195" t="s">
        <v>27</v>
      </c>
      <c r="Q195" t="s">
        <v>66</v>
      </c>
      <c r="R195" t="s">
        <v>6756</v>
      </c>
      <c r="S195" t="s">
        <v>59</v>
      </c>
      <c r="T195" t="s">
        <v>101</v>
      </c>
      <c r="U195" t="s">
        <v>6757</v>
      </c>
      <c r="V195" s="3">
        <v>1844.57</v>
      </c>
      <c r="W195" s="4">
        <v>9</v>
      </c>
      <c r="X195" s="2">
        <v>0.1</v>
      </c>
      <c r="Y195" s="3">
        <v>58.63</v>
      </c>
      <c r="Z195" t="str">
        <f t="shared" si="38"/>
        <v>Normal</v>
      </c>
      <c r="AA195" t="str">
        <f t="shared" si="39"/>
        <v>Medium</v>
      </c>
      <c r="AB195" t="str">
        <f t="shared" ref="AB195:AB258" si="43">IF(Y195&lt;0, "Loss", IF(Y195&lt;500,"Low Profit", "High Profit"))</f>
        <v>Low Profit</v>
      </c>
      <c r="AC195" s="3">
        <f t="shared" ref="AC195:AC258" si="44">Y195/V195</f>
        <v>3.1785185707238005E-2</v>
      </c>
      <c r="AD195" s="3">
        <f t="shared" ref="AD195:AD258" si="45">V195/W195</f>
        <v>204.95222222222222</v>
      </c>
      <c r="AE195" s="3">
        <f t="shared" ref="AE195:AE258" si="46">Y195/W195</f>
        <v>6.5144444444444449</v>
      </c>
      <c r="AF195" t="str">
        <f t="shared" ref="AF195:AF258" si="47">IF(V195&gt;5000,"High value", "Regular")</f>
        <v>Regular</v>
      </c>
    </row>
    <row r="196" spans="1:32" x14ac:dyDescent="0.25">
      <c r="A196" t="s">
        <v>7256</v>
      </c>
      <c r="B196" s="1">
        <v>45021</v>
      </c>
      <c r="C196" s="1">
        <v>45029</v>
      </c>
      <c r="D196" s="4">
        <f t="shared" si="36"/>
        <v>8</v>
      </c>
      <c r="E196" s="4" t="str">
        <f>TEXT(Table1[[#This Row],[Order_Date]],"dddd")</f>
        <v>Wednesday</v>
      </c>
      <c r="F196" s="4">
        <f t="shared" si="37"/>
        <v>4</v>
      </c>
      <c r="G196" t="str">
        <f t="shared" si="40"/>
        <v>April</v>
      </c>
      <c r="H196">
        <f t="shared" si="41"/>
        <v>2023</v>
      </c>
      <c r="I196" t="str">
        <f t="shared" si="42"/>
        <v>2023-Q2</v>
      </c>
      <c r="J196" t="s">
        <v>21</v>
      </c>
      <c r="K196" t="s">
        <v>7257</v>
      </c>
      <c r="L196" t="s">
        <v>7258</v>
      </c>
      <c r="M196" t="s">
        <v>36</v>
      </c>
      <c r="N196" t="s">
        <v>25</v>
      </c>
      <c r="O196" t="s">
        <v>113</v>
      </c>
      <c r="P196" t="s">
        <v>113</v>
      </c>
      <c r="Q196" t="s">
        <v>28</v>
      </c>
      <c r="R196" t="s">
        <v>7259</v>
      </c>
      <c r="S196" t="s">
        <v>51</v>
      </c>
      <c r="T196" t="s">
        <v>94</v>
      </c>
      <c r="U196" t="s">
        <v>2171</v>
      </c>
      <c r="V196" s="3">
        <v>4278.8599999999997</v>
      </c>
      <c r="W196" s="4">
        <v>10</v>
      </c>
      <c r="X196" s="2">
        <v>0.3</v>
      </c>
      <c r="Y196" s="3">
        <v>849.53</v>
      </c>
      <c r="Z196" t="str">
        <f t="shared" si="38"/>
        <v>Normal</v>
      </c>
      <c r="AA196" t="str">
        <f t="shared" si="39"/>
        <v>High</v>
      </c>
      <c r="AB196" t="str">
        <f t="shared" si="43"/>
        <v>High Profit</v>
      </c>
      <c r="AC196" s="3">
        <f t="shared" si="44"/>
        <v>0.19854120022622848</v>
      </c>
      <c r="AD196" s="3">
        <f t="shared" si="45"/>
        <v>427.88599999999997</v>
      </c>
      <c r="AE196" s="3">
        <f t="shared" si="46"/>
        <v>84.953000000000003</v>
      </c>
      <c r="AF196" t="str">
        <f t="shared" si="47"/>
        <v>Regular</v>
      </c>
    </row>
    <row r="197" spans="1:32" x14ac:dyDescent="0.25">
      <c r="A197" t="s">
        <v>5429</v>
      </c>
      <c r="B197" s="1">
        <v>45021</v>
      </c>
      <c r="C197" s="1">
        <v>45030</v>
      </c>
      <c r="D197" s="4">
        <f t="shared" si="36"/>
        <v>9</v>
      </c>
      <c r="E197" s="4" t="str">
        <f>TEXT(Table1[[#This Row],[Order_Date]],"dddd")</f>
        <v>Wednesday</v>
      </c>
      <c r="F197" s="4">
        <f t="shared" si="37"/>
        <v>4</v>
      </c>
      <c r="G197" t="str">
        <f t="shared" si="40"/>
        <v>April</v>
      </c>
      <c r="H197">
        <f t="shared" si="41"/>
        <v>2023</v>
      </c>
      <c r="I197" t="str">
        <f t="shared" si="42"/>
        <v>2023-Q2</v>
      </c>
      <c r="J197" t="s">
        <v>44</v>
      </c>
      <c r="K197" t="s">
        <v>5430</v>
      </c>
      <c r="L197" t="s">
        <v>5431</v>
      </c>
      <c r="M197" t="s">
        <v>47</v>
      </c>
      <c r="N197" t="s">
        <v>25</v>
      </c>
      <c r="O197" t="s">
        <v>244</v>
      </c>
      <c r="P197" t="s">
        <v>163</v>
      </c>
      <c r="Q197" t="s">
        <v>66</v>
      </c>
      <c r="R197" t="s">
        <v>5432</v>
      </c>
      <c r="S197" t="s">
        <v>51</v>
      </c>
      <c r="T197" t="s">
        <v>52</v>
      </c>
      <c r="U197" t="s">
        <v>5433</v>
      </c>
      <c r="V197" s="3">
        <v>3768.75</v>
      </c>
      <c r="W197" s="4">
        <v>1</v>
      </c>
      <c r="X197" s="2">
        <v>0.4</v>
      </c>
      <c r="Y197" s="3">
        <v>-268.45</v>
      </c>
      <c r="Z197" t="str">
        <f t="shared" si="38"/>
        <v>Normal</v>
      </c>
      <c r="AA197" t="str">
        <f t="shared" si="39"/>
        <v>High</v>
      </c>
      <c r="AB197" t="str">
        <f t="shared" si="43"/>
        <v>Loss</v>
      </c>
      <c r="AC197" s="3">
        <f t="shared" si="44"/>
        <v>-7.1230514096185735E-2</v>
      </c>
      <c r="AD197" s="3">
        <f t="shared" si="45"/>
        <v>3768.75</v>
      </c>
      <c r="AE197" s="3">
        <f t="shared" si="46"/>
        <v>-268.45</v>
      </c>
      <c r="AF197" t="str">
        <f t="shared" si="47"/>
        <v>Regular</v>
      </c>
    </row>
    <row r="198" spans="1:32" x14ac:dyDescent="0.25">
      <c r="A198" t="s">
        <v>5085</v>
      </c>
      <c r="B198" s="1">
        <v>45022</v>
      </c>
      <c r="C198" s="1">
        <v>45029</v>
      </c>
      <c r="D198" s="4">
        <f t="shared" si="36"/>
        <v>7</v>
      </c>
      <c r="E198" s="4" t="str">
        <f>TEXT(Table1[[#This Row],[Order_Date]],"dddd")</f>
        <v>Thursday</v>
      </c>
      <c r="F198" s="4">
        <f t="shared" si="37"/>
        <v>4</v>
      </c>
      <c r="G198" t="str">
        <f t="shared" si="40"/>
        <v>April</v>
      </c>
      <c r="H198">
        <f t="shared" si="41"/>
        <v>2023</v>
      </c>
      <c r="I198" t="str">
        <f t="shared" si="42"/>
        <v>2023-Q2</v>
      </c>
      <c r="J198" t="s">
        <v>44</v>
      </c>
      <c r="K198" t="s">
        <v>5086</v>
      </c>
      <c r="L198" t="s">
        <v>5087</v>
      </c>
      <c r="M198" t="s">
        <v>24</v>
      </c>
      <c r="N198" t="s">
        <v>25</v>
      </c>
      <c r="O198" t="s">
        <v>99</v>
      </c>
      <c r="P198" t="s">
        <v>74</v>
      </c>
      <c r="Q198" t="s">
        <v>87</v>
      </c>
      <c r="R198" t="s">
        <v>5088</v>
      </c>
      <c r="S198" t="s">
        <v>30</v>
      </c>
      <c r="T198" t="s">
        <v>31</v>
      </c>
      <c r="U198" t="s">
        <v>5089</v>
      </c>
      <c r="V198" s="3">
        <v>4247.17</v>
      </c>
      <c r="W198" s="4">
        <v>6</v>
      </c>
      <c r="X198" s="2">
        <v>0.3</v>
      </c>
      <c r="Y198" s="3">
        <v>-41.27</v>
      </c>
      <c r="Z198" t="str">
        <f t="shared" si="38"/>
        <v>Normal</v>
      </c>
      <c r="AA198" t="str">
        <f t="shared" si="39"/>
        <v>High</v>
      </c>
      <c r="AB198" t="str">
        <f t="shared" si="43"/>
        <v>Loss</v>
      </c>
      <c r="AC198" s="3">
        <f t="shared" si="44"/>
        <v>-9.7170586531737605E-3</v>
      </c>
      <c r="AD198" s="3">
        <f t="shared" si="45"/>
        <v>707.86166666666668</v>
      </c>
      <c r="AE198" s="3">
        <f t="shared" si="46"/>
        <v>-6.8783333333333339</v>
      </c>
      <c r="AF198" t="str">
        <f t="shared" si="47"/>
        <v>Regular</v>
      </c>
    </row>
    <row r="199" spans="1:32" x14ac:dyDescent="0.25">
      <c r="A199" t="s">
        <v>4935</v>
      </c>
      <c r="B199" s="1">
        <v>45022</v>
      </c>
      <c r="C199" s="1">
        <v>45027</v>
      </c>
      <c r="D199" s="4">
        <f t="shared" si="36"/>
        <v>5</v>
      </c>
      <c r="E199" s="4" t="str">
        <f>TEXT(Table1[[#This Row],[Order_Date]],"dddd")</f>
        <v>Thursday</v>
      </c>
      <c r="F199" s="4">
        <f t="shared" si="37"/>
        <v>4</v>
      </c>
      <c r="G199" t="str">
        <f t="shared" si="40"/>
        <v>April</v>
      </c>
      <c r="H199">
        <f t="shared" si="41"/>
        <v>2023</v>
      </c>
      <c r="I199" t="str">
        <f t="shared" si="42"/>
        <v>2023-Q2</v>
      </c>
      <c r="J199" t="s">
        <v>44</v>
      </c>
      <c r="K199" t="s">
        <v>4936</v>
      </c>
      <c r="L199" t="s">
        <v>4937</v>
      </c>
      <c r="M199" t="s">
        <v>47</v>
      </c>
      <c r="N199" t="s">
        <v>25</v>
      </c>
      <c r="O199" t="s">
        <v>382</v>
      </c>
      <c r="P199" t="s">
        <v>38</v>
      </c>
      <c r="Q199" t="s">
        <v>39</v>
      </c>
      <c r="R199" t="s">
        <v>4938</v>
      </c>
      <c r="S199" t="s">
        <v>30</v>
      </c>
      <c r="T199" t="s">
        <v>82</v>
      </c>
      <c r="U199" t="s">
        <v>4939</v>
      </c>
      <c r="V199" s="3">
        <v>3975.6</v>
      </c>
      <c r="W199" s="4">
        <v>8</v>
      </c>
      <c r="X199" s="2">
        <v>0.2</v>
      </c>
      <c r="Y199" s="3">
        <v>-22.31</v>
      </c>
      <c r="Z199" t="str">
        <f t="shared" si="38"/>
        <v>Normal</v>
      </c>
      <c r="AA199" t="str">
        <f t="shared" si="39"/>
        <v>High</v>
      </c>
      <c r="AB199" t="str">
        <f t="shared" si="43"/>
        <v>Loss</v>
      </c>
      <c r="AC199" s="3">
        <f t="shared" si="44"/>
        <v>-5.6117315625314416E-3</v>
      </c>
      <c r="AD199" s="3">
        <f t="shared" si="45"/>
        <v>496.95</v>
      </c>
      <c r="AE199" s="3">
        <f t="shared" si="46"/>
        <v>-2.7887499999999998</v>
      </c>
      <c r="AF199" t="str">
        <f t="shared" si="47"/>
        <v>Regular</v>
      </c>
    </row>
    <row r="200" spans="1:32" x14ac:dyDescent="0.25">
      <c r="A200" t="s">
        <v>3010</v>
      </c>
      <c r="B200" s="1">
        <v>45023</v>
      </c>
      <c r="C200" s="1">
        <v>45031</v>
      </c>
      <c r="D200" s="4">
        <f t="shared" si="36"/>
        <v>8</v>
      </c>
      <c r="E200" s="4" t="str">
        <f>TEXT(Table1[[#This Row],[Order_Date]],"dddd")</f>
        <v>Friday</v>
      </c>
      <c r="F200" s="4">
        <f t="shared" si="37"/>
        <v>4</v>
      </c>
      <c r="G200" t="str">
        <f t="shared" si="40"/>
        <v>April</v>
      </c>
      <c r="H200">
        <f t="shared" si="41"/>
        <v>2023</v>
      </c>
      <c r="I200" t="str">
        <f t="shared" si="42"/>
        <v>2023-Q2</v>
      </c>
      <c r="J200" t="s">
        <v>44</v>
      </c>
      <c r="K200" t="s">
        <v>3011</v>
      </c>
      <c r="L200" t="s">
        <v>3012</v>
      </c>
      <c r="M200" t="s">
        <v>47</v>
      </c>
      <c r="N200" t="s">
        <v>25</v>
      </c>
      <c r="O200" t="s">
        <v>255</v>
      </c>
      <c r="P200" t="s">
        <v>143</v>
      </c>
      <c r="Q200" t="s">
        <v>28</v>
      </c>
      <c r="R200" t="s">
        <v>3013</v>
      </c>
      <c r="S200" t="s">
        <v>30</v>
      </c>
      <c r="T200" t="s">
        <v>31</v>
      </c>
      <c r="U200" t="s">
        <v>3014</v>
      </c>
      <c r="V200" s="3">
        <v>743.47</v>
      </c>
      <c r="W200" s="4">
        <v>2</v>
      </c>
      <c r="X200" s="2">
        <v>0.2</v>
      </c>
      <c r="Y200" s="3">
        <v>-27.84</v>
      </c>
      <c r="Z200" t="str">
        <f t="shared" si="38"/>
        <v>Normal</v>
      </c>
      <c r="AA200" t="str">
        <f t="shared" si="39"/>
        <v>High</v>
      </c>
      <c r="AB200" t="str">
        <f t="shared" si="43"/>
        <v>Loss</v>
      </c>
      <c r="AC200" s="3">
        <f t="shared" si="44"/>
        <v>-3.7446030102088849E-2</v>
      </c>
      <c r="AD200" s="3">
        <f t="shared" si="45"/>
        <v>371.73500000000001</v>
      </c>
      <c r="AE200" s="3">
        <f t="shared" si="46"/>
        <v>-13.92</v>
      </c>
      <c r="AF200" t="str">
        <f t="shared" si="47"/>
        <v>Regular</v>
      </c>
    </row>
    <row r="201" spans="1:32" x14ac:dyDescent="0.25">
      <c r="A201" t="s">
        <v>4920</v>
      </c>
      <c r="B201" s="1">
        <v>45023</v>
      </c>
      <c r="C201" s="1">
        <v>45027</v>
      </c>
      <c r="D201" s="4">
        <f t="shared" si="36"/>
        <v>4</v>
      </c>
      <c r="E201" s="4" t="str">
        <f>TEXT(Table1[[#This Row],[Order_Date]],"dddd")</f>
        <v>Friday</v>
      </c>
      <c r="F201" s="4">
        <f t="shared" si="37"/>
        <v>4</v>
      </c>
      <c r="G201" t="str">
        <f t="shared" si="40"/>
        <v>April</v>
      </c>
      <c r="H201">
        <f t="shared" si="41"/>
        <v>2023</v>
      </c>
      <c r="I201" t="str">
        <f t="shared" si="42"/>
        <v>2023-Q2</v>
      </c>
      <c r="J201" t="s">
        <v>104</v>
      </c>
      <c r="K201" t="s">
        <v>4921</v>
      </c>
      <c r="L201" t="s">
        <v>4922</v>
      </c>
      <c r="M201" t="s">
        <v>36</v>
      </c>
      <c r="N201" t="s">
        <v>25</v>
      </c>
      <c r="O201" t="s">
        <v>190</v>
      </c>
      <c r="P201" t="s">
        <v>120</v>
      </c>
      <c r="Q201" t="s">
        <v>39</v>
      </c>
      <c r="R201" t="s">
        <v>4923</v>
      </c>
      <c r="S201" t="s">
        <v>59</v>
      </c>
      <c r="T201" t="s">
        <v>277</v>
      </c>
      <c r="U201" t="s">
        <v>4924</v>
      </c>
      <c r="V201" s="3">
        <v>1342.38</v>
      </c>
      <c r="W201" s="4">
        <v>7</v>
      </c>
      <c r="X201" s="2">
        <v>0.4</v>
      </c>
      <c r="Y201" s="3">
        <v>-72.540000000000006</v>
      </c>
      <c r="Z201" t="str">
        <f t="shared" si="38"/>
        <v>Normal</v>
      </c>
      <c r="AA201" t="str">
        <f t="shared" si="39"/>
        <v>High</v>
      </c>
      <c r="AB201" t="str">
        <f t="shared" si="43"/>
        <v>Loss</v>
      </c>
      <c r="AC201" s="3">
        <f t="shared" si="44"/>
        <v>-5.4038349796629866E-2</v>
      </c>
      <c r="AD201" s="3">
        <f t="shared" si="45"/>
        <v>191.76857142857145</v>
      </c>
      <c r="AE201" s="3">
        <f t="shared" si="46"/>
        <v>-10.362857142857143</v>
      </c>
      <c r="AF201" t="str">
        <f t="shared" si="47"/>
        <v>Regular</v>
      </c>
    </row>
    <row r="202" spans="1:32" x14ac:dyDescent="0.25">
      <c r="A202" t="s">
        <v>7083</v>
      </c>
      <c r="B202" s="1">
        <v>45024</v>
      </c>
      <c r="C202" s="1">
        <v>45026</v>
      </c>
      <c r="D202" s="4">
        <f t="shared" si="36"/>
        <v>2</v>
      </c>
      <c r="E202" s="4" t="str">
        <f>TEXT(Table1[[#This Row],[Order_Date]],"dddd")</f>
        <v>Saturday</v>
      </c>
      <c r="F202" s="4">
        <f t="shared" si="37"/>
        <v>4</v>
      </c>
      <c r="G202" t="str">
        <f t="shared" si="40"/>
        <v>April</v>
      </c>
      <c r="H202">
        <f t="shared" si="41"/>
        <v>2023</v>
      </c>
      <c r="I202" t="str">
        <f t="shared" si="42"/>
        <v>2023-Q2</v>
      </c>
      <c r="J202" t="s">
        <v>44</v>
      </c>
      <c r="K202" t="s">
        <v>7084</v>
      </c>
      <c r="L202" t="s">
        <v>7085</v>
      </c>
      <c r="M202" t="s">
        <v>24</v>
      </c>
      <c r="N202" t="s">
        <v>25</v>
      </c>
      <c r="O202" t="s">
        <v>233</v>
      </c>
      <c r="P202" t="s">
        <v>163</v>
      </c>
      <c r="Q202" t="s">
        <v>39</v>
      </c>
      <c r="R202" t="s">
        <v>7086</v>
      </c>
      <c r="S202" t="s">
        <v>59</v>
      </c>
      <c r="T202" t="s">
        <v>60</v>
      </c>
      <c r="U202" t="s">
        <v>2490</v>
      </c>
      <c r="V202" s="3">
        <v>4527.2700000000004</v>
      </c>
      <c r="W202" s="4">
        <v>10</v>
      </c>
      <c r="X202" s="2">
        <v>0</v>
      </c>
      <c r="Y202" s="3">
        <v>-353.86</v>
      </c>
      <c r="Z202" t="str">
        <f t="shared" si="38"/>
        <v>Normal</v>
      </c>
      <c r="AA202" t="str">
        <f t="shared" si="39"/>
        <v>Low</v>
      </c>
      <c r="AB202" t="str">
        <f t="shared" si="43"/>
        <v>Loss</v>
      </c>
      <c r="AC202" s="3">
        <f t="shared" si="44"/>
        <v>-7.8161894475036825E-2</v>
      </c>
      <c r="AD202" s="3">
        <f t="shared" si="45"/>
        <v>452.72700000000003</v>
      </c>
      <c r="AE202" s="3">
        <f t="shared" si="46"/>
        <v>-35.386000000000003</v>
      </c>
      <c r="AF202" t="str">
        <f t="shared" si="47"/>
        <v>Regular</v>
      </c>
    </row>
    <row r="203" spans="1:32" x14ac:dyDescent="0.25">
      <c r="A203" t="s">
        <v>6994</v>
      </c>
      <c r="B203" s="1">
        <v>45024</v>
      </c>
      <c r="C203" s="1">
        <v>45032</v>
      </c>
      <c r="D203" s="4">
        <f t="shared" si="36"/>
        <v>8</v>
      </c>
      <c r="E203" s="4" t="str">
        <f>TEXT(Table1[[#This Row],[Order_Date]],"dddd")</f>
        <v>Saturday</v>
      </c>
      <c r="F203" s="4">
        <f t="shared" si="37"/>
        <v>4</v>
      </c>
      <c r="G203" t="str">
        <f t="shared" si="40"/>
        <v>April</v>
      </c>
      <c r="H203">
        <f t="shared" si="41"/>
        <v>2023</v>
      </c>
      <c r="I203" t="str">
        <f t="shared" si="42"/>
        <v>2023-Q2</v>
      </c>
      <c r="J203" t="s">
        <v>55</v>
      </c>
      <c r="K203" t="s">
        <v>6995</v>
      </c>
      <c r="L203" t="s">
        <v>6996</v>
      </c>
      <c r="M203" t="s">
        <v>47</v>
      </c>
      <c r="N203" t="s">
        <v>25</v>
      </c>
      <c r="O203" t="s">
        <v>511</v>
      </c>
      <c r="P203" t="s">
        <v>120</v>
      </c>
      <c r="Q203" t="s">
        <v>87</v>
      </c>
      <c r="R203" t="s">
        <v>6997</v>
      </c>
      <c r="S203" t="s">
        <v>30</v>
      </c>
      <c r="T203" t="s">
        <v>41</v>
      </c>
      <c r="U203" t="s">
        <v>6998</v>
      </c>
      <c r="V203" s="3">
        <v>3409.64</v>
      </c>
      <c r="W203" s="4">
        <v>5</v>
      </c>
      <c r="X203" s="2">
        <v>0.4</v>
      </c>
      <c r="Y203" s="3">
        <v>-518.48</v>
      </c>
      <c r="Z203" t="str">
        <f t="shared" si="38"/>
        <v>Normal</v>
      </c>
      <c r="AA203" t="str">
        <f t="shared" si="39"/>
        <v>High</v>
      </c>
      <c r="AB203" t="str">
        <f t="shared" si="43"/>
        <v>Loss</v>
      </c>
      <c r="AC203" s="3">
        <f t="shared" si="44"/>
        <v>-0.15206297439025823</v>
      </c>
      <c r="AD203" s="3">
        <f t="shared" si="45"/>
        <v>681.928</v>
      </c>
      <c r="AE203" s="3">
        <f t="shared" si="46"/>
        <v>-103.696</v>
      </c>
      <c r="AF203" t="str">
        <f t="shared" si="47"/>
        <v>Regular</v>
      </c>
    </row>
    <row r="204" spans="1:32" x14ac:dyDescent="0.25">
      <c r="A204" t="s">
        <v>5038</v>
      </c>
      <c r="B204" s="1">
        <v>45024</v>
      </c>
      <c r="C204" s="1">
        <v>45032</v>
      </c>
      <c r="D204" s="4">
        <f t="shared" si="36"/>
        <v>8</v>
      </c>
      <c r="E204" s="4" t="str">
        <f>TEXT(Table1[[#This Row],[Order_Date]],"dddd")</f>
        <v>Saturday</v>
      </c>
      <c r="F204" s="4">
        <f t="shared" si="37"/>
        <v>4</v>
      </c>
      <c r="G204" t="str">
        <f t="shared" si="40"/>
        <v>April</v>
      </c>
      <c r="H204">
        <f t="shared" si="41"/>
        <v>2023</v>
      </c>
      <c r="I204" t="str">
        <f t="shared" si="42"/>
        <v>2023-Q2</v>
      </c>
      <c r="J204" t="s">
        <v>21</v>
      </c>
      <c r="K204" t="s">
        <v>5039</v>
      </c>
      <c r="L204" t="s">
        <v>5040</v>
      </c>
      <c r="M204" t="s">
        <v>47</v>
      </c>
      <c r="N204" t="s">
        <v>25</v>
      </c>
      <c r="O204" t="s">
        <v>156</v>
      </c>
      <c r="P204" t="s">
        <v>143</v>
      </c>
      <c r="Q204" t="s">
        <v>87</v>
      </c>
      <c r="R204" t="s">
        <v>5041</v>
      </c>
      <c r="S204" t="s">
        <v>59</v>
      </c>
      <c r="T204" t="s">
        <v>101</v>
      </c>
      <c r="U204" t="s">
        <v>5042</v>
      </c>
      <c r="V204" s="3">
        <v>3046.01</v>
      </c>
      <c r="W204" s="4">
        <v>9</v>
      </c>
      <c r="X204" s="2">
        <v>0</v>
      </c>
      <c r="Y204" s="3">
        <v>23.27</v>
      </c>
      <c r="Z204" t="str">
        <f t="shared" si="38"/>
        <v>Normal</v>
      </c>
      <c r="AA204" t="str">
        <f t="shared" si="39"/>
        <v>Low</v>
      </c>
      <c r="AB204" t="str">
        <f t="shared" si="43"/>
        <v>Low Profit</v>
      </c>
      <c r="AC204" s="3">
        <f t="shared" si="44"/>
        <v>7.6395021684104777E-3</v>
      </c>
      <c r="AD204" s="3">
        <f t="shared" si="45"/>
        <v>338.44555555555559</v>
      </c>
      <c r="AE204" s="3">
        <f t="shared" si="46"/>
        <v>2.5855555555555556</v>
      </c>
      <c r="AF204" t="str">
        <f t="shared" si="47"/>
        <v>Regular</v>
      </c>
    </row>
    <row r="205" spans="1:32" x14ac:dyDescent="0.25">
      <c r="A205" t="s">
        <v>897</v>
      </c>
      <c r="B205" s="1">
        <v>45024</v>
      </c>
      <c r="C205" s="1">
        <v>45031</v>
      </c>
      <c r="D205" s="4">
        <f t="shared" si="36"/>
        <v>7</v>
      </c>
      <c r="E205" s="4" t="str">
        <f>TEXT(Table1[[#This Row],[Order_Date]],"dddd")</f>
        <v>Saturday</v>
      </c>
      <c r="F205" s="4">
        <f t="shared" si="37"/>
        <v>4</v>
      </c>
      <c r="G205" t="str">
        <f t="shared" si="40"/>
        <v>April</v>
      </c>
      <c r="H205">
        <f t="shared" si="41"/>
        <v>2023</v>
      </c>
      <c r="I205" t="str">
        <f t="shared" si="42"/>
        <v>2023-Q2</v>
      </c>
      <c r="J205" t="s">
        <v>21</v>
      </c>
      <c r="K205" t="s">
        <v>898</v>
      </c>
      <c r="L205" t="s">
        <v>899</v>
      </c>
      <c r="M205" t="s">
        <v>36</v>
      </c>
      <c r="N205" t="s">
        <v>25</v>
      </c>
      <c r="O205" t="s">
        <v>190</v>
      </c>
      <c r="P205" t="s">
        <v>120</v>
      </c>
      <c r="Q205" t="s">
        <v>28</v>
      </c>
      <c r="R205" t="s">
        <v>900</v>
      </c>
      <c r="S205" t="s">
        <v>59</v>
      </c>
      <c r="T205" t="s">
        <v>303</v>
      </c>
      <c r="U205" t="s">
        <v>901</v>
      </c>
      <c r="V205" s="3">
        <v>1936.7</v>
      </c>
      <c r="W205" s="4">
        <v>1</v>
      </c>
      <c r="X205" s="2">
        <v>0.2</v>
      </c>
      <c r="Y205" s="3">
        <v>-53.34</v>
      </c>
      <c r="Z205" t="str">
        <f t="shared" si="38"/>
        <v>Normal</v>
      </c>
      <c r="AA205" t="str">
        <f t="shared" si="39"/>
        <v>High</v>
      </c>
      <c r="AB205" t="str">
        <f t="shared" si="43"/>
        <v>Loss</v>
      </c>
      <c r="AC205" s="3">
        <f t="shared" si="44"/>
        <v>-2.7541694635204214E-2</v>
      </c>
      <c r="AD205" s="3">
        <f t="shared" si="45"/>
        <v>1936.7</v>
      </c>
      <c r="AE205" s="3">
        <f t="shared" si="46"/>
        <v>-53.34</v>
      </c>
      <c r="AF205" t="str">
        <f t="shared" si="47"/>
        <v>Regular</v>
      </c>
    </row>
    <row r="206" spans="1:32" x14ac:dyDescent="0.25">
      <c r="A206" t="s">
        <v>5613</v>
      </c>
      <c r="B206" s="1">
        <v>45024</v>
      </c>
      <c r="C206" s="1">
        <v>45027</v>
      </c>
      <c r="D206" s="4">
        <f t="shared" si="36"/>
        <v>3</v>
      </c>
      <c r="E206" s="4" t="str">
        <f>TEXT(Table1[[#This Row],[Order_Date]],"dddd")</f>
        <v>Saturday</v>
      </c>
      <c r="F206" s="4">
        <f t="shared" si="37"/>
        <v>4</v>
      </c>
      <c r="G206" t="str">
        <f t="shared" si="40"/>
        <v>April</v>
      </c>
      <c r="H206">
        <f t="shared" si="41"/>
        <v>2023</v>
      </c>
      <c r="I206" t="str">
        <f t="shared" si="42"/>
        <v>2023-Q2</v>
      </c>
      <c r="J206" t="s">
        <v>104</v>
      </c>
      <c r="K206" t="s">
        <v>5614</v>
      </c>
      <c r="L206" t="s">
        <v>5615</v>
      </c>
      <c r="M206" t="s">
        <v>24</v>
      </c>
      <c r="N206" t="s">
        <v>25</v>
      </c>
      <c r="O206" t="s">
        <v>162</v>
      </c>
      <c r="P206" t="s">
        <v>163</v>
      </c>
      <c r="Q206" t="s">
        <v>66</v>
      </c>
      <c r="R206" t="s">
        <v>5616</v>
      </c>
      <c r="S206" t="s">
        <v>59</v>
      </c>
      <c r="T206" t="s">
        <v>303</v>
      </c>
      <c r="U206" t="s">
        <v>5617</v>
      </c>
      <c r="V206" s="3">
        <v>3434.26</v>
      </c>
      <c r="W206" s="4">
        <v>7</v>
      </c>
      <c r="X206" s="2">
        <v>0.3</v>
      </c>
      <c r="Y206" s="3">
        <v>450.21</v>
      </c>
      <c r="Z206" t="str">
        <f t="shared" si="38"/>
        <v>Normal</v>
      </c>
      <c r="AA206" t="str">
        <f t="shared" si="39"/>
        <v>High</v>
      </c>
      <c r="AB206" t="str">
        <f t="shared" si="43"/>
        <v>Low Profit</v>
      </c>
      <c r="AC206" s="3">
        <f t="shared" si="44"/>
        <v>0.13109374363035994</v>
      </c>
      <c r="AD206" s="3">
        <f t="shared" si="45"/>
        <v>490.60857142857145</v>
      </c>
      <c r="AE206" s="3">
        <f t="shared" si="46"/>
        <v>64.315714285714279</v>
      </c>
      <c r="AF206" t="str">
        <f t="shared" si="47"/>
        <v>Regular</v>
      </c>
    </row>
    <row r="207" spans="1:32" x14ac:dyDescent="0.25">
      <c r="A207" t="s">
        <v>4535</v>
      </c>
      <c r="B207" s="1">
        <v>45024</v>
      </c>
      <c r="C207" s="1">
        <v>45030</v>
      </c>
      <c r="D207" s="4">
        <f t="shared" si="36"/>
        <v>6</v>
      </c>
      <c r="E207" s="4" t="str">
        <f>TEXT(Table1[[#This Row],[Order_Date]],"dddd")</f>
        <v>Saturday</v>
      </c>
      <c r="F207" s="4">
        <f t="shared" si="37"/>
        <v>4</v>
      </c>
      <c r="G207" t="str">
        <f t="shared" si="40"/>
        <v>April</v>
      </c>
      <c r="H207">
        <f t="shared" si="41"/>
        <v>2023</v>
      </c>
      <c r="I207" t="str">
        <f t="shared" si="42"/>
        <v>2023-Q2</v>
      </c>
      <c r="J207" t="s">
        <v>104</v>
      </c>
      <c r="K207" t="s">
        <v>4536</v>
      </c>
      <c r="L207" t="s">
        <v>4537</v>
      </c>
      <c r="M207" t="s">
        <v>47</v>
      </c>
      <c r="N207" t="s">
        <v>25</v>
      </c>
      <c r="O207" t="s">
        <v>611</v>
      </c>
      <c r="P207" t="s">
        <v>74</v>
      </c>
      <c r="Q207" t="s">
        <v>87</v>
      </c>
      <c r="R207" t="s">
        <v>4538</v>
      </c>
      <c r="S207" t="s">
        <v>59</v>
      </c>
      <c r="T207" t="s">
        <v>101</v>
      </c>
      <c r="U207" t="s">
        <v>4539</v>
      </c>
      <c r="V207" s="3">
        <v>1545.19</v>
      </c>
      <c r="W207" s="4">
        <v>5</v>
      </c>
      <c r="X207" s="2">
        <v>0</v>
      </c>
      <c r="Y207" s="3">
        <v>284.76</v>
      </c>
      <c r="Z207" t="str">
        <f t="shared" si="38"/>
        <v>Normal</v>
      </c>
      <c r="AA207" t="str">
        <f t="shared" si="39"/>
        <v>Low</v>
      </c>
      <c r="AB207" t="str">
        <f t="shared" si="43"/>
        <v>Low Profit</v>
      </c>
      <c r="AC207" s="3">
        <f t="shared" si="44"/>
        <v>0.18428801636044756</v>
      </c>
      <c r="AD207" s="3">
        <f t="shared" si="45"/>
        <v>309.03800000000001</v>
      </c>
      <c r="AE207" s="3">
        <f t="shared" si="46"/>
        <v>56.951999999999998</v>
      </c>
      <c r="AF207" t="str">
        <f t="shared" si="47"/>
        <v>Regular</v>
      </c>
    </row>
    <row r="208" spans="1:32" x14ac:dyDescent="0.25">
      <c r="A208" t="s">
        <v>4145</v>
      </c>
      <c r="B208" s="1">
        <v>45024</v>
      </c>
      <c r="C208" s="1">
        <v>45027</v>
      </c>
      <c r="D208" s="4">
        <f t="shared" si="36"/>
        <v>3</v>
      </c>
      <c r="E208" s="4" t="str">
        <f>TEXT(Table1[[#This Row],[Order_Date]],"dddd")</f>
        <v>Saturday</v>
      </c>
      <c r="F208" s="4">
        <f t="shared" si="37"/>
        <v>4</v>
      </c>
      <c r="G208" t="str">
        <f t="shared" si="40"/>
        <v>April</v>
      </c>
      <c r="H208">
        <f t="shared" si="41"/>
        <v>2023</v>
      </c>
      <c r="I208" t="str">
        <f t="shared" si="42"/>
        <v>2023-Q2</v>
      </c>
      <c r="J208" t="s">
        <v>104</v>
      </c>
      <c r="K208" t="s">
        <v>4146</v>
      </c>
      <c r="L208" t="s">
        <v>4147</v>
      </c>
      <c r="M208" t="s">
        <v>36</v>
      </c>
      <c r="N208" t="s">
        <v>25</v>
      </c>
      <c r="O208" t="s">
        <v>382</v>
      </c>
      <c r="P208" t="s">
        <v>38</v>
      </c>
      <c r="Q208" t="s">
        <v>39</v>
      </c>
      <c r="R208" t="s">
        <v>4148</v>
      </c>
      <c r="S208" t="s">
        <v>59</v>
      </c>
      <c r="T208" t="s">
        <v>277</v>
      </c>
      <c r="U208" t="s">
        <v>4149</v>
      </c>
      <c r="V208" s="3">
        <v>3990.03</v>
      </c>
      <c r="W208" s="4">
        <v>9</v>
      </c>
      <c r="X208" s="2">
        <v>0</v>
      </c>
      <c r="Y208" s="3">
        <v>-712.79</v>
      </c>
      <c r="Z208" t="str">
        <f t="shared" si="38"/>
        <v>Normal</v>
      </c>
      <c r="AA208" t="str">
        <f t="shared" si="39"/>
        <v>Low</v>
      </c>
      <c r="AB208" t="str">
        <f t="shared" si="43"/>
        <v>Loss</v>
      </c>
      <c r="AC208" s="3">
        <f t="shared" si="44"/>
        <v>-0.17864276709698923</v>
      </c>
      <c r="AD208" s="3">
        <f t="shared" si="45"/>
        <v>443.3366666666667</v>
      </c>
      <c r="AE208" s="3">
        <f t="shared" si="46"/>
        <v>-79.198888888888888</v>
      </c>
      <c r="AF208" t="str">
        <f t="shared" si="47"/>
        <v>Regular</v>
      </c>
    </row>
    <row r="209" spans="1:32" x14ac:dyDescent="0.25">
      <c r="A209" t="s">
        <v>2578</v>
      </c>
      <c r="B209" s="1">
        <v>45025</v>
      </c>
      <c r="C209" s="1">
        <v>45032</v>
      </c>
      <c r="D209" s="4">
        <f t="shared" si="36"/>
        <v>7</v>
      </c>
      <c r="E209" s="4" t="str">
        <f>TEXT(Table1[[#This Row],[Order_Date]],"dddd")</f>
        <v>Sunday</v>
      </c>
      <c r="F209" s="4">
        <f t="shared" si="37"/>
        <v>4</v>
      </c>
      <c r="G209" t="str">
        <f t="shared" si="40"/>
        <v>April</v>
      </c>
      <c r="H209">
        <f t="shared" si="41"/>
        <v>2023</v>
      </c>
      <c r="I209" t="str">
        <f t="shared" si="42"/>
        <v>2023-Q2</v>
      </c>
      <c r="J209" t="s">
        <v>55</v>
      </c>
      <c r="K209" t="s">
        <v>2579</v>
      </c>
      <c r="L209" t="s">
        <v>2580</v>
      </c>
      <c r="M209" t="s">
        <v>47</v>
      </c>
      <c r="N209" t="s">
        <v>25</v>
      </c>
      <c r="O209" t="s">
        <v>255</v>
      </c>
      <c r="P209" t="s">
        <v>143</v>
      </c>
      <c r="Q209" t="s">
        <v>87</v>
      </c>
      <c r="R209" t="s">
        <v>2581</v>
      </c>
      <c r="S209" t="s">
        <v>30</v>
      </c>
      <c r="T209" t="s">
        <v>31</v>
      </c>
      <c r="U209" t="s">
        <v>2582</v>
      </c>
      <c r="V209" s="3">
        <v>2812.7</v>
      </c>
      <c r="W209" s="4">
        <v>8</v>
      </c>
      <c r="X209" s="2">
        <v>0.2</v>
      </c>
      <c r="Y209" s="3">
        <v>407.79</v>
      </c>
      <c r="Z209" t="str">
        <f t="shared" si="38"/>
        <v>Normal</v>
      </c>
      <c r="AA209" t="str">
        <f t="shared" si="39"/>
        <v>High</v>
      </c>
      <c r="AB209" t="str">
        <f t="shared" si="43"/>
        <v>Low Profit</v>
      </c>
      <c r="AC209" s="3">
        <f t="shared" si="44"/>
        <v>0.14498169019091978</v>
      </c>
      <c r="AD209" s="3">
        <f t="shared" si="45"/>
        <v>351.58749999999998</v>
      </c>
      <c r="AE209" s="3">
        <f t="shared" si="46"/>
        <v>50.973750000000003</v>
      </c>
      <c r="AF209" t="str">
        <f t="shared" si="47"/>
        <v>Regular</v>
      </c>
    </row>
    <row r="210" spans="1:32" x14ac:dyDescent="0.25">
      <c r="A210" t="s">
        <v>5564</v>
      </c>
      <c r="B210" s="1">
        <v>45026</v>
      </c>
      <c r="C210" s="1">
        <v>45027</v>
      </c>
      <c r="D210" s="4">
        <f t="shared" si="36"/>
        <v>1</v>
      </c>
      <c r="E210" s="4" t="str">
        <f>TEXT(Table1[[#This Row],[Order_Date]],"dddd")</f>
        <v>Monday</v>
      </c>
      <c r="F210" s="4">
        <f t="shared" si="37"/>
        <v>4</v>
      </c>
      <c r="G210" t="str">
        <f t="shared" si="40"/>
        <v>April</v>
      </c>
      <c r="H210">
        <f t="shared" si="41"/>
        <v>2023</v>
      </c>
      <c r="I210" t="str">
        <f t="shared" si="42"/>
        <v>2023-Q2</v>
      </c>
      <c r="J210" t="s">
        <v>55</v>
      </c>
      <c r="K210" t="s">
        <v>5565</v>
      </c>
      <c r="L210" t="s">
        <v>5566</v>
      </c>
      <c r="M210" t="s">
        <v>36</v>
      </c>
      <c r="N210" t="s">
        <v>25</v>
      </c>
      <c r="O210" t="s">
        <v>149</v>
      </c>
      <c r="P210" t="s">
        <v>113</v>
      </c>
      <c r="Q210" t="s">
        <v>87</v>
      </c>
      <c r="R210" t="s">
        <v>5567</v>
      </c>
      <c r="S210" t="s">
        <v>59</v>
      </c>
      <c r="T210" t="s">
        <v>101</v>
      </c>
      <c r="U210" t="s">
        <v>5568</v>
      </c>
      <c r="V210" s="3">
        <v>2064.86</v>
      </c>
      <c r="W210" s="4">
        <v>4</v>
      </c>
      <c r="X210" s="2">
        <v>0.1</v>
      </c>
      <c r="Y210" s="3">
        <v>344.34</v>
      </c>
      <c r="Z210" t="str">
        <f t="shared" si="38"/>
        <v>Normal</v>
      </c>
      <c r="AA210" t="str">
        <f t="shared" si="39"/>
        <v>Medium</v>
      </c>
      <c r="AB210" t="str">
        <f t="shared" si="43"/>
        <v>Low Profit</v>
      </c>
      <c r="AC210" s="3">
        <f t="shared" si="44"/>
        <v>0.16676191121916253</v>
      </c>
      <c r="AD210" s="3">
        <f t="shared" si="45"/>
        <v>516.21500000000003</v>
      </c>
      <c r="AE210" s="3">
        <f t="shared" si="46"/>
        <v>86.084999999999994</v>
      </c>
      <c r="AF210" t="str">
        <f t="shared" si="47"/>
        <v>Regular</v>
      </c>
    </row>
    <row r="211" spans="1:32" x14ac:dyDescent="0.25">
      <c r="A211" t="s">
        <v>3440</v>
      </c>
      <c r="B211" s="1">
        <v>45026</v>
      </c>
      <c r="C211" s="1">
        <v>45029</v>
      </c>
      <c r="D211" s="4">
        <f t="shared" si="36"/>
        <v>3</v>
      </c>
      <c r="E211" s="4" t="str">
        <f>TEXT(Table1[[#This Row],[Order_Date]],"dddd")</f>
        <v>Monday</v>
      </c>
      <c r="F211" s="4">
        <f t="shared" si="37"/>
        <v>4</v>
      </c>
      <c r="G211" t="str">
        <f t="shared" si="40"/>
        <v>April</v>
      </c>
      <c r="H211">
        <f t="shared" si="41"/>
        <v>2023</v>
      </c>
      <c r="I211" t="str">
        <f t="shared" si="42"/>
        <v>2023-Q2</v>
      </c>
      <c r="J211" t="s">
        <v>104</v>
      </c>
      <c r="K211" t="s">
        <v>3441</v>
      </c>
      <c r="L211" t="s">
        <v>3442</v>
      </c>
      <c r="M211" t="s">
        <v>47</v>
      </c>
      <c r="N211" t="s">
        <v>25</v>
      </c>
      <c r="O211" t="s">
        <v>611</v>
      </c>
      <c r="P211" t="s">
        <v>74</v>
      </c>
      <c r="Q211" t="s">
        <v>28</v>
      </c>
      <c r="R211" t="s">
        <v>3443</v>
      </c>
      <c r="S211" t="s">
        <v>51</v>
      </c>
      <c r="T211" t="s">
        <v>127</v>
      </c>
      <c r="U211" t="s">
        <v>3444</v>
      </c>
      <c r="V211" s="3">
        <v>699.82</v>
      </c>
      <c r="W211" s="4">
        <v>2</v>
      </c>
      <c r="X211" s="2">
        <v>0.3</v>
      </c>
      <c r="Y211" s="3">
        <v>191.33</v>
      </c>
      <c r="Z211" t="str">
        <f t="shared" si="38"/>
        <v>Normal</v>
      </c>
      <c r="AA211" t="str">
        <f t="shared" si="39"/>
        <v>High</v>
      </c>
      <c r="AB211" t="str">
        <f t="shared" si="43"/>
        <v>Low Profit</v>
      </c>
      <c r="AC211" s="3">
        <f t="shared" si="44"/>
        <v>0.27339887399617047</v>
      </c>
      <c r="AD211" s="3">
        <f t="shared" si="45"/>
        <v>349.91</v>
      </c>
      <c r="AE211" s="3">
        <f t="shared" si="46"/>
        <v>95.665000000000006</v>
      </c>
      <c r="AF211" t="str">
        <f t="shared" si="47"/>
        <v>Regular</v>
      </c>
    </row>
    <row r="212" spans="1:32" x14ac:dyDescent="0.25">
      <c r="A212" t="s">
        <v>1282</v>
      </c>
      <c r="B212" s="1">
        <v>45027</v>
      </c>
      <c r="C212" s="1">
        <v>45035</v>
      </c>
      <c r="D212" s="4">
        <f t="shared" si="36"/>
        <v>8</v>
      </c>
      <c r="E212" s="4" t="str">
        <f>TEXT(Table1[[#This Row],[Order_Date]],"dddd")</f>
        <v>Tuesday</v>
      </c>
      <c r="F212" s="4">
        <f t="shared" si="37"/>
        <v>4</v>
      </c>
      <c r="G212" t="str">
        <f t="shared" si="40"/>
        <v>April</v>
      </c>
      <c r="H212">
        <f t="shared" si="41"/>
        <v>2023</v>
      </c>
      <c r="I212" t="str">
        <f t="shared" si="42"/>
        <v>2023-Q2</v>
      </c>
      <c r="J212" t="s">
        <v>21</v>
      </c>
      <c r="K212" t="s">
        <v>1283</v>
      </c>
      <c r="L212" t="s">
        <v>1284</v>
      </c>
      <c r="M212" t="s">
        <v>47</v>
      </c>
      <c r="N212" t="s">
        <v>25</v>
      </c>
      <c r="O212" t="s">
        <v>73</v>
      </c>
      <c r="P212" t="s">
        <v>74</v>
      </c>
      <c r="Q212" t="s">
        <v>87</v>
      </c>
      <c r="R212" t="s">
        <v>1285</v>
      </c>
      <c r="S212" t="s">
        <v>59</v>
      </c>
      <c r="T212" t="s">
        <v>101</v>
      </c>
      <c r="U212" t="s">
        <v>1286</v>
      </c>
      <c r="V212" s="3">
        <v>987.98</v>
      </c>
      <c r="W212" s="4">
        <v>3</v>
      </c>
      <c r="X212" s="2">
        <v>0.2</v>
      </c>
      <c r="Y212" s="3">
        <v>252.26</v>
      </c>
      <c r="Z212" t="str">
        <f t="shared" si="38"/>
        <v>Normal</v>
      </c>
      <c r="AA212" t="str">
        <f t="shared" si="39"/>
        <v>High</v>
      </c>
      <c r="AB212" t="str">
        <f t="shared" si="43"/>
        <v>Low Profit</v>
      </c>
      <c r="AC212" s="3">
        <f t="shared" si="44"/>
        <v>0.25532905524403327</v>
      </c>
      <c r="AD212" s="3">
        <f t="shared" si="45"/>
        <v>329.32666666666665</v>
      </c>
      <c r="AE212" s="3">
        <f t="shared" si="46"/>
        <v>84.086666666666659</v>
      </c>
      <c r="AF212" t="str">
        <f t="shared" si="47"/>
        <v>Regular</v>
      </c>
    </row>
    <row r="213" spans="1:32" x14ac:dyDescent="0.25">
      <c r="A213" t="s">
        <v>3964</v>
      </c>
      <c r="B213" s="1">
        <v>45027</v>
      </c>
      <c r="C213" s="1">
        <v>45028</v>
      </c>
      <c r="D213" s="4">
        <f t="shared" si="36"/>
        <v>1</v>
      </c>
      <c r="E213" s="4" t="str">
        <f>TEXT(Table1[[#This Row],[Order_Date]],"dddd")</f>
        <v>Tuesday</v>
      </c>
      <c r="F213" s="4">
        <f t="shared" si="37"/>
        <v>4</v>
      </c>
      <c r="G213" t="str">
        <f t="shared" si="40"/>
        <v>April</v>
      </c>
      <c r="H213">
        <f t="shared" si="41"/>
        <v>2023</v>
      </c>
      <c r="I213" t="str">
        <f t="shared" si="42"/>
        <v>2023-Q2</v>
      </c>
      <c r="J213" t="s">
        <v>55</v>
      </c>
      <c r="K213" t="s">
        <v>3965</v>
      </c>
      <c r="L213" t="s">
        <v>3966</v>
      </c>
      <c r="M213" t="s">
        <v>24</v>
      </c>
      <c r="N213" t="s">
        <v>25</v>
      </c>
      <c r="O213" t="s">
        <v>65</v>
      </c>
      <c r="P213" t="s">
        <v>27</v>
      </c>
      <c r="Q213" t="s">
        <v>87</v>
      </c>
      <c r="R213" t="s">
        <v>3967</v>
      </c>
      <c r="S213" t="s">
        <v>51</v>
      </c>
      <c r="T213" t="s">
        <v>94</v>
      </c>
      <c r="U213" t="s">
        <v>3968</v>
      </c>
      <c r="V213" s="3">
        <v>1347.36</v>
      </c>
      <c r="W213" s="4">
        <v>8</v>
      </c>
      <c r="X213" s="2">
        <v>0.3</v>
      </c>
      <c r="Y213" s="3">
        <v>49.96</v>
      </c>
      <c r="Z213" t="str">
        <f t="shared" si="38"/>
        <v>Normal</v>
      </c>
      <c r="AA213" t="str">
        <f t="shared" si="39"/>
        <v>High</v>
      </c>
      <c r="AB213" t="str">
        <f t="shared" si="43"/>
        <v>Low Profit</v>
      </c>
      <c r="AC213" s="3">
        <f t="shared" si="44"/>
        <v>3.7079919249495316E-2</v>
      </c>
      <c r="AD213" s="3">
        <f t="shared" si="45"/>
        <v>168.42</v>
      </c>
      <c r="AE213" s="3">
        <f t="shared" si="46"/>
        <v>6.2450000000000001</v>
      </c>
      <c r="AF213" t="str">
        <f t="shared" si="47"/>
        <v>Regular</v>
      </c>
    </row>
    <row r="214" spans="1:32" x14ac:dyDescent="0.25">
      <c r="A214" t="s">
        <v>1357</v>
      </c>
      <c r="B214" s="1">
        <v>45027</v>
      </c>
      <c r="C214" s="1">
        <v>45031</v>
      </c>
      <c r="D214" s="4">
        <f t="shared" si="36"/>
        <v>4</v>
      </c>
      <c r="E214" s="4" t="str">
        <f>TEXT(Table1[[#This Row],[Order_Date]],"dddd")</f>
        <v>Tuesday</v>
      </c>
      <c r="F214" s="4">
        <f t="shared" si="37"/>
        <v>4</v>
      </c>
      <c r="G214" t="str">
        <f t="shared" si="40"/>
        <v>April</v>
      </c>
      <c r="H214">
        <f t="shared" si="41"/>
        <v>2023</v>
      </c>
      <c r="I214" t="str">
        <f t="shared" si="42"/>
        <v>2023-Q2</v>
      </c>
      <c r="J214" t="s">
        <v>104</v>
      </c>
      <c r="K214" t="s">
        <v>1358</v>
      </c>
      <c r="L214" t="s">
        <v>1359</v>
      </c>
      <c r="M214" t="s">
        <v>47</v>
      </c>
      <c r="N214" t="s">
        <v>25</v>
      </c>
      <c r="O214" t="s">
        <v>179</v>
      </c>
      <c r="P214" t="s">
        <v>27</v>
      </c>
      <c r="Q214" t="s">
        <v>28</v>
      </c>
      <c r="R214" t="s">
        <v>1360</v>
      </c>
      <c r="S214" t="s">
        <v>30</v>
      </c>
      <c r="T214" t="s">
        <v>31</v>
      </c>
      <c r="U214" t="s">
        <v>1361</v>
      </c>
      <c r="V214" s="3">
        <v>897.92</v>
      </c>
      <c r="W214" s="4">
        <v>1</v>
      </c>
      <c r="X214" s="2">
        <v>0.4</v>
      </c>
      <c r="Y214" s="3">
        <v>-82.53</v>
      </c>
      <c r="Z214" t="str">
        <f t="shared" si="38"/>
        <v>Normal</v>
      </c>
      <c r="AA214" t="str">
        <f t="shared" si="39"/>
        <v>High</v>
      </c>
      <c r="AB214" t="str">
        <f t="shared" si="43"/>
        <v>Loss</v>
      </c>
      <c r="AC214" s="3">
        <f t="shared" si="44"/>
        <v>-9.191241981468283E-2</v>
      </c>
      <c r="AD214" s="3">
        <f t="shared" si="45"/>
        <v>897.92</v>
      </c>
      <c r="AE214" s="3">
        <f t="shared" si="46"/>
        <v>-82.53</v>
      </c>
      <c r="AF214" t="str">
        <f t="shared" si="47"/>
        <v>Regular</v>
      </c>
    </row>
    <row r="215" spans="1:32" x14ac:dyDescent="0.25">
      <c r="A215" t="s">
        <v>2050</v>
      </c>
      <c r="B215" s="1">
        <v>45027</v>
      </c>
      <c r="C215" s="1">
        <v>45032</v>
      </c>
      <c r="D215" s="4">
        <f t="shared" si="36"/>
        <v>5</v>
      </c>
      <c r="E215" s="4" t="str">
        <f>TEXT(Table1[[#This Row],[Order_Date]],"dddd")</f>
        <v>Tuesday</v>
      </c>
      <c r="F215" s="4">
        <f t="shared" si="37"/>
        <v>4</v>
      </c>
      <c r="G215" t="str">
        <f t="shared" si="40"/>
        <v>April</v>
      </c>
      <c r="H215">
        <f t="shared" si="41"/>
        <v>2023</v>
      </c>
      <c r="I215" t="str">
        <f t="shared" si="42"/>
        <v>2023-Q2</v>
      </c>
      <c r="J215" t="s">
        <v>21</v>
      </c>
      <c r="K215" t="s">
        <v>2051</v>
      </c>
      <c r="L215" t="s">
        <v>2052</v>
      </c>
      <c r="M215" t="s">
        <v>47</v>
      </c>
      <c r="N215" t="s">
        <v>25</v>
      </c>
      <c r="O215" t="s">
        <v>190</v>
      </c>
      <c r="P215" t="s">
        <v>120</v>
      </c>
      <c r="Q215" t="s">
        <v>39</v>
      </c>
      <c r="R215" t="s">
        <v>2053</v>
      </c>
      <c r="S215" t="s">
        <v>51</v>
      </c>
      <c r="T215" t="s">
        <v>151</v>
      </c>
      <c r="U215" t="s">
        <v>2054</v>
      </c>
      <c r="V215" s="3">
        <v>3184.97</v>
      </c>
      <c r="W215" s="4">
        <v>1</v>
      </c>
      <c r="X215" s="2">
        <v>0.2</v>
      </c>
      <c r="Y215" s="3">
        <v>75.86</v>
      </c>
      <c r="Z215" t="str">
        <f t="shared" si="38"/>
        <v>Normal</v>
      </c>
      <c r="AA215" t="str">
        <f t="shared" si="39"/>
        <v>High</v>
      </c>
      <c r="AB215" t="str">
        <f t="shared" si="43"/>
        <v>Low Profit</v>
      </c>
      <c r="AC215" s="3">
        <f t="shared" si="44"/>
        <v>2.381812073583111E-2</v>
      </c>
      <c r="AD215" s="3">
        <f t="shared" si="45"/>
        <v>3184.97</v>
      </c>
      <c r="AE215" s="3">
        <f t="shared" si="46"/>
        <v>75.86</v>
      </c>
      <c r="AF215" t="str">
        <f t="shared" si="47"/>
        <v>Regular</v>
      </c>
    </row>
    <row r="216" spans="1:32" x14ac:dyDescent="0.25">
      <c r="A216" t="s">
        <v>5043</v>
      </c>
      <c r="B216" s="1">
        <v>45027</v>
      </c>
      <c r="C216" s="1">
        <v>45031</v>
      </c>
      <c r="D216" s="4">
        <f t="shared" si="36"/>
        <v>4</v>
      </c>
      <c r="E216" s="4" t="str">
        <f>TEXT(Table1[[#This Row],[Order_Date]],"dddd")</f>
        <v>Tuesday</v>
      </c>
      <c r="F216" s="4">
        <f t="shared" si="37"/>
        <v>4</v>
      </c>
      <c r="G216" t="str">
        <f t="shared" si="40"/>
        <v>April</v>
      </c>
      <c r="H216">
        <f t="shared" si="41"/>
        <v>2023</v>
      </c>
      <c r="I216" t="str">
        <f t="shared" si="42"/>
        <v>2023-Q2</v>
      </c>
      <c r="J216" t="s">
        <v>44</v>
      </c>
      <c r="K216" t="s">
        <v>5044</v>
      </c>
      <c r="L216" t="s">
        <v>5045</v>
      </c>
      <c r="M216" t="s">
        <v>47</v>
      </c>
      <c r="N216" t="s">
        <v>25</v>
      </c>
      <c r="O216" t="s">
        <v>80</v>
      </c>
      <c r="P216" t="s">
        <v>49</v>
      </c>
      <c r="Q216" t="s">
        <v>28</v>
      </c>
      <c r="R216" t="s">
        <v>5046</v>
      </c>
      <c r="S216" t="s">
        <v>30</v>
      </c>
      <c r="T216" t="s">
        <v>31</v>
      </c>
      <c r="U216" t="s">
        <v>5047</v>
      </c>
      <c r="V216" s="3">
        <v>2362.94</v>
      </c>
      <c r="W216" s="4">
        <v>3</v>
      </c>
      <c r="X216" s="2">
        <v>0</v>
      </c>
      <c r="Y216" s="3">
        <v>641.52</v>
      </c>
      <c r="Z216" t="str">
        <f t="shared" si="38"/>
        <v>Normal</v>
      </c>
      <c r="AA216" t="str">
        <f t="shared" si="39"/>
        <v>Low</v>
      </c>
      <c r="AB216" t="str">
        <f t="shared" si="43"/>
        <v>High Profit</v>
      </c>
      <c r="AC216" s="3">
        <f t="shared" si="44"/>
        <v>0.27149229349877696</v>
      </c>
      <c r="AD216" s="3">
        <f t="shared" si="45"/>
        <v>787.64666666666665</v>
      </c>
      <c r="AE216" s="3">
        <f t="shared" si="46"/>
        <v>213.84</v>
      </c>
      <c r="AF216" t="str">
        <f t="shared" si="47"/>
        <v>Regular</v>
      </c>
    </row>
    <row r="217" spans="1:32" x14ac:dyDescent="0.25">
      <c r="A217" t="s">
        <v>2840</v>
      </c>
      <c r="B217" s="1">
        <v>45027</v>
      </c>
      <c r="C217" s="1">
        <v>45033</v>
      </c>
      <c r="D217" s="4">
        <f t="shared" si="36"/>
        <v>6</v>
      </c>
      <c r="E217" s="4" t="str">
        <f>TEXT(Table1[[#This Row],[Order_Date]],"dddd")</f>
        <v>Tuesday</v>
      </c>
      <c r="F217" s="4">
        <f t="shared" si="37"/>
        <v>4</v>
      </c>
      <c r="G217" t="str">
        <f t="shared" si="40"/>
        <v>April</v>
      </c>
      <c r="H217">
        <f t="shared" si="41"/>
        <v>2023</v>
      </c>
      <c r="I217" t="str">
        <f t="shared" si="42"/>
        <v>2023-Q2</v>
      </c>
      <c r="J217" t="s">
        <v>44</v>
      </c>
      <c r="K217" t="s">
        <v>2841</v>
      </c>
      <c r="L217" t="s">
        <v>2842</v>
      </c>
      <c r="M217" t="s">
        <v>36</v>
      </c>
      <c r="N217" t="s">
        <v>25</v>
      </c>
      <c r="O217" t="s">
        <v>99</v>
      </c>
      <c r="P217" t="s">
        <v>74</v>
      </c>
      <c r="Q217" t="s">
        <v>66</v>
      </c>
      <c r="R217" t="s">
        <v>2843</v>
      </c>
      <c r="S217" t="s">
        <v>30</v>
      </c>
      <c r="T217" t="s">
        <v>68</v>
      </c>
      <c r="U217" t="s">
        <v>2844</v>
      </c>
      <c r="V217" s="3">
        <v>4896.0200000000004</v>
      </c>
      <c r="W217" s="4">
        <v>6</v>
      </c>
      <c r="X217" s="2">
        <v>0</v>
      </c>
      <c r="Y217" s="3">
        <v>883.02</v>
      </c>
      <c r="Z217" t="str">
        <f t="shared" si="38"/>
        <v>Normal</v>
      </c>
      <c r="AA217" t="str">
        <f t="shared" si="39"/>
        <v>Low</v>
      </c>
      <c r="AB217" t="str">
        <f t="shared" si="43"/>
        <v>High Profit</v>
      </c>
      <c r="AC217" s="3">
        <f t="shared" si="44"/>
        <v>0.18035465541398929</v>
      </c>
      <c r="AD217" s="3">
        <f t="shared" si="45"/>
        <v>816.00333333333344</v>
      </c>
      <c r="AE217" s="3">
        <f t="shared" si="46"/>
        <v>147.16999999999999</v>
      </c>
      <c r="AF217" t="str">
        <f t="shared" si="47"/>
        <v>Regular</v>
      </c>
    </row>
    <row r="218" spans="1:32" x14ac:dyDescent="0.25">
      <c r="A218" t="s">
        <v>3736</v>
      </c>
      <c r="B218" s="1">
        <v>45028</v>
      </c>
      <c r="C218" s="1">
        <v>45031</v>
      </c>
      <c r="D218" s="4">
        <f t="shared" si="36"/>
        <v>3</v>
      </c>
      <c r="E218" s="4" t="str">
        <f>TEXT(Table1[[#This Row],[Order_Date]],"dddd")</f>
        <v>Wednesday</v>
      </c>
      <c r="F218" s="4">
        <f t="shared" si="37"/>
        <v>4</v>
      </c>
      <c r="G218" t="str">
        <f t="shared" si="40"/>
        <v>April</v>
      </c>
      <c r="H218">
        <f t="shared" si="41"/>
        <v>2023</v>
      </c>
      <c r="I218" t="str">
        <f t="shared" si="42"/>
        <v>2023-Q2</v>
      </c>
      <c r="J218" t="s">
        <v>55</v>
      </c>
      <c r="K218" t="s">
        <v>3737</v>
      </c>
      <c r="L218" t="s">
        <v>3738</v>
      </c>
      <c r="M218" t="s">
        <v>24</v>
      </c>
      <c r="N218" t="s">
        <v>25</v>
      </c>
      <c r="O218" t="s">
        <v>65</v>
      </c>
      <c r="P218" t="s">
        <v>27</v>
      </c>
      <c r="Q218" t="s">
        <v>28</v>
      </c>
      <c r="R218" t="s">
        <v>3739</v>
      </c>
      <c r="S218" t="s">
        <v>59</v>
      </c>
      <c r="T218" t="s">
        <v>101</v>
      </c>
      <c r="U218" t="s">
        <v>3740</v>
      </c>
      <c r="V218" s="3">
        <v>4721.12</v>
      </c>
      <c r="W218" s="4">
        <v>1</v>
      </c>
      <c r="X218" s="2">
        <v>0.2</v>
      </c>
      <c r="Y218" s="3">
        <v>-358.94</v>
      </c>
      <c r="Z218" t="str">
        <f t="shared" si="38"/>
        <v>Normal</v>
      </c>
      <c r="AA218" t="str">
        <f t="shared" si="39"/>
        <v>High</v>
      </c>
      <c r="AB218" t="str">
        <f t="shared" si="43"/>
        <v>Loss</v>
      </c>
      <c r="AC218" s="3">
        <f t="shared" si="44"/>
        <v>-7.6028569491984957E-2</v>
      </c>
      <c r="AD218" s="3">
        <f t="shared" si="45"/>
        <v>4721.12</v>
      </c>
      <c r="AE218" s="3">
        <f t="shared" si="46"/>
        <v>-358.94</v>
      </c>
      <c r="AF218" t="str">
        <f t="shared" si="47"/>
        <v>Regular</v>
      </c>
    </row>
    <row r="219" spans="1:32" x14ac:dyDescent="0.25">
      <c r="A219" t="s">
        <v>4911</v>
      </c>
      <c r="B219" s="1">
        <v>45028</v>
      </c>
      <c r="C219" s="1">
        <v>45032</v>
      </c>
      <c r="D219" s="4">
        <f t="shared" si="36"/>
        <v>4</v>
      </c>
      <c r="E219" s="4" t="str">
        <f>TEXT(Table1[[#This Row],[Order_Date]],"dddd")</f>
        <v>Wednesday</v>
      </c>
      <c r="F219" s="4">
        <f t="shared" si="37"/>
        <v>4</v>
      </c>
      <c r="G219" t="str">
        <f t="shared" si="40"/>
        <v>April</v>
      </c>
      <c r="H219">
        <f t="shared" si="41"/>
        <v>2023</v>
      </c>
      <c r="I219" t="str">
        <f t="shared" si="42"/>
        <v>2023-Q2</v>
      </c>
      <c r="J219" t="s">
        <v>21</v>
      </c>
      <c r="K219" t="s">
        <v>4912</v>
      </c>
      <c r="L219" t="s">
        <v>4913</v>
      </c>
      <c r="M219" t="s">
        <v>24</v>
      </c>
      <c r="N219" t="s">
        <v>25</v>
      </c>
      <c r="O219" t="s">
        <v>244</v>
      </c>
      <c r="P219" t="s">
        <v>163</v>
      </c>
      <c r="Q219" t="s">
        <v>28</v>
      </c>
      <c r="R219" t="s">
        <v>4914</v>
      </c>
      <c r="S219" t="s">
        <v>30</v>
      </c>
      <c r="T219" t="s">
        <v>82</v>
      </c>
      <c r="U219" t="s">
        <v>4915</v>
      </c>
      <c r="V219" s="3">
        <v>3222.1</v>
      </c>
      <c r="W219" s="4">
        <v>9</v>
      </c>
      <c r="X219" s="2">
        <v>0.3</v>
      </c>
      <c r="Y219" s="3">
        <v>351</v>
      </c>
      <c r="Z219" t="str">
        <f t="shared" si="38"/>
        <v>Normal</v>
      </c>
      <c r="AA219" t="str">
        <f t="shared" si="39"/>
        <v>High</v>
      </c>
      <c r="AB219" t="str">
        <f t="shared" si="43"/>
        <v>Low Profit</v>
      </c>
      <c r="AC219" s="3">
        <f t="shared" si="44"/>
        <v>0.10893516650631575</v>
      </c>
      <c r="AD219" s="3">
        <f t="shared" si="45"/>
        <v>358.01111111111112</v>
      </c>
      <c r="AE219" s="3">
        <f t="shared" si="46"/>
        <v>39</v>
      </c>
      <c r="AF219" t="str">
        <f t="shared" si="47"/>
        <v>Regular</v>
      </c>
    </row>
    <row r="220" spans="1:32" x14ac:dyDescent="0.25">
      <c r="A220" t="s">
        <v>5414</v>
      </c>
      <c r="B220" s="1">
        <v>45030</v>
      </c>
      <c r="C220" s="1">
        <v>45037</v>
      </c>
      <c r="D220" s="4">
        <f t="shared" si="36"/>
        <v>7</v>
      </c>
      <c r="E220" s="4" t="str">
        <f>TEXT(Table1[[#This Row],[Order_Date]],"dddd")</f>
        <v>Friday</v>
      </c>
      <c r="F220" s="4">
        <f t="shared" si="37"/>
        <v>4</v>
      </c>
      <c r="G220" t="str">
        <f t="shared" si="40"/>
        <v>April</v>
      </c>
      <c r="H220">
        <f t="shared" si="41"/>
        <v>2023</v>
      </c>
      <c r="I220" t="str">
        <f t="shared" si="42"/>
        <v>2023-Q2</v>
      </c>
      <c r="J220" t="s">
        <v>55</v>
      </c>
      <c r="K220" t="s">
        <v>5415</v>
      </c>
      <c r="L220" t="s">
        <v>5416</v>
      </c>
      <c r="M220" t="s">
        <v>47</v>
      </c>
      <c r="N220" t="s">
        <v>25</v>
      </c>
      <c r="O220" t="s">
        <v>142</v>
      </c>
      <c r="P220" t="s">
        <v>143</v>
      </c>
      <c r="Q220" t="s">
        <v>87</v>
      </c>
      <c r="R220" t="s">
        <v>5417</v>
      </c>
      <c r="S220" t="s">
        <v>59</v>
      </c>
      <c r="T220" t="s">
        <v>60</v>
      </c>
      <c r="U220" t="s">
        <v>5418</v>
      </c>
      <c r="V220" s="3">
        <v>4968.8599999999997</v>
      </c>
      <c r="W220" s="4">
        <v>3</v>
      </c>
      <c r="X220" s="2">
        <v>0.3</v>
      </c>
      <c r="Y220" s="3">
        <v>-104.42</v>
      </c>
      <c r="Z220" t="str">
        <f t="shared" si="38"/>
        <v>Normal</v>
      </c>
      <c r="AA220" t="str">
        <f t="shared" si="39"/>
        <v>High</v>
      </c>
      <c r="AB220" t="str">
        <f t="shared" si="43"/>
        <v>Loss</v>
      </c>
      <c r="AC220" s="3">
        <f t="shared" si="44"/>
        <v>-2.1014880676855457E-2</v>
      </c>
      <c r="AD220" s="3">
        <f t="shared" si="45"/>
        <v>1656.2866666666666</v>
      </c>
      <c r="AE220" s="3">
        <f t="shared" si="46"/>
        <v>-34.806666666666665</v>
      </c>
      <c r="AF220" t="str">
        <f t="shared" si="47"/>
        <v>Regular</v>
      </c>
    </row>
    <row r="221" spans="1:32" x14ac:dyDescent="0.25">
      <c r="A221" t="s">
        <v>4431</v>
      </c>
      <c r="B221" s="1">
        <v>45030</v>
      </c>
      <c r="C221" s="1">
        <v>45039</v>
      </c>
      <c r="D221" s="4">
        <f t="shared" si="36"/>
        <v>9</v>
      </c>
      <c r="E221" s="4" t="str">
        <f>TEXT(Table1[[#This Row],[Order_Date]],"dddd")</f>
        <v>Friday</v>
      </c>
      <c r="F221" s="4">
        <f t="shared" si="37"/>
        <v>4</v>
      </c>
      <c r="G221" t="str">
        <f t="shared" si="40"/>
        <v>April</v>
      </c>
      <c r="H221">
        <f t="shared" si="41"/>
        <v>2023</v>
      </c>
      <c r="I221" t="str">
        <f t="shared" si="42"/>
        <v>2023-Q2</v>
      </c>
      <c r="J221" t="s">
        <v>55</v>
      </c>
      <c r="K221" t="s">
        <v>4432</v>
      </c>
      <c r="L221" t="s">
        <v>4433</v>
      </c>
      <c r="M221" t="s">
        <v>36</v>
      </c>
      <c r="N221" t="s">
        <v>25</v>
      </c>
      <c r="O221" t="s">
        <v>99</v>
      </c>
      <c r="P221" t="s">
        <v>74</v>
      </c>
      <c r="Q221" t="s">
        <v>39</v>
      </c>
      <c r="R221" t="s">
        <v>4434</v>
      </c>
      <c r="S221" t="s">
        <v>59</v>
      </c>
      <c r="T221" t="s">
        <v>101</v>
      </c>
      <c r="U221" t="s">
        <v>4435</v>
      </c>
      <c r="V221" s="3">
        <v>172.23</v>
      </c>
      <c r="W221" s="4">
        <v>7</v>
      </c>
      <c r="X221" s="2">
        <v>0.2</v>
      </c>
      <c r="Y221" s="3">
        <v>-12.05</v>
      </c>
      <c r="Z221" t="str">
        <f t="shared" si="38"/>
        <v>Normal</v>
      </c>
      <c r="AA221" t="str">
        <f t="shared" si="39"/>
        <v>High</v>
      </c>
      <c r="AB221" t="str">
        <f t="shared" si="43"/>
        <v>Loss</v>
      </c>
      <c r="AC221" s="3">
        <f t="shared" si="44"/>
        <v>-6.9964582244672835E-2</v>
      </c>
      <c r="AD221" s="3">
        <f t="shared" si="45"/>
        <v>24.604285714285712</v>
      </c>
      <c r="AE221" s="3">
        <f t="shared" si="46"/>
        <v>-1.7214285714285715</v>
      </c>
      <c r="AF221" t="str">
        <f t="shared" si="47"/>
        <v>Regular</v>
      </c>
    </row>
    <row r="222" spans="1:32" x14ac:dyDescent="0.25">
      <c r="A222" t="s">
        <v>3298</v>
      </c>
      <c r="B222" s="1">
        <v>45031</v>
      </c>
      <c r="C222" s="1">
        <v>45038</v>
      </c>
      <c r="D222" s="4">
        <f t="shared" si="36"/>
        <v>7</v>
      </c>
      <c r="E222" s="4" t="str">
        <f>TEXT(Table1[[#This Row],[Order_Date]],"dddd")</f>
        <v>Saturday</v>
      </c>
      <c r="F222" s="4">
        <f t="shared" si="37"/>
        <v>4</v>
      </c>
      <c r="G222" t="str">
        <f t="shared" si="40"/>
        <v>April</v>
      </c>
      <c r="H222">
        <f t="shared" si="41"/>
        <v>2023</v>
      </c>
      <c r="I222" t="str">
        <f t="shared" si="42"/>
        <v>2023-Q2</v>
      </c>
      <c r="J222" t="s">
        <v>55</v>
      </c>
      <c r="K222" t="s">
        <v>3299</v>
      </c>
      <c r="L222" t="s">
        <v>3300</v>
      </c>
      <c r="M222" t="s">
        <v>36</v>
      </c>
      <c r="N222" t="s">
        <v>25</v>
      </c>
      <c r="O222" t="s">
        <v>233</v>
      </c>
      <c r="P222" t="s">
        <v>163</v>
      </c>
      <c r="Q222" t="s">
        <v>66</v>
      </c>
      <c r="R222" t="s">
        <v>7403</v>
      </c>
      <c r="S222" t="s">
        <v>51</v>
      </c>
      <c r="T222" t="s">
        <v>108</v>
      </c>
      <c r="U222" t="s">
        <v>3301</v>
      </c>
      <c r="V222" s="3">
        <v>4838.5</v>
      </c>
      <c r="W222" s="4">
        <v>7</v>
      </c>
      <c r="X222" s="2">
        <v>0.2</v>
      </c>
      <c r="Y222" s="3">
        <v>-906.26</v>
      </c>
      <c r="Z222" t="str">
        <f t="shared" si="38"/>
        <v>Outlier</v>
      </c>
      <c r="AA222" t="str">
        <f t="shared" si="39"/>
        <v>High</v>
      </c>
      <c r="AB222" t="str">
        <f t="shared" si="43"/>
        <v>Loss</v>
      </c>
      <c r="AC222" s="3">
        <f t="shared" si="44"/>
        <v>-0.18730184974682237</v>
      </c>
      <c r="AD222" s="3">
        <f t="shared" si="45"/>
        <v>691.21428571428567</v>
      </c>
      <c r="AE222" s="3">
        <f t="shared" si="46"/>
        <v>-129.46571428571428</v>
      </c>
      <c r="AF222" t="str">
        <f t="shared" si="47"/>
        <v>Regular</v>
      </c>
    </row>
    <row r="223" spans="1:32" x14ac:dyDescent="0.25">
      <c r="A223" t="s">
        <v>1101</v>
      </c>
      <c r="B223" s="1">
        <v>45031</v>
      </c>
      <c r="C223" s="1">
        <v>45032</v>
      </c>
      <c r="D223" s="4">
        <f t="shared" si="36"/>
        <v>1</v>
      </c>
      <c r="E223" s="4" t="str">
        <f>TEXT(Table1[[#This Row],[Order_Date]],"dddd")</f>
        <v>Saturday</v>
      </c>
      <c r="F223" s="4">
        <f t="shared" si="37"/>
        <v>4</v>
      </c>
      <c r="G223" t="str">
        <f t="shared" si="40"/>
        <v>April</v>
      </c>
      <c r="H223">
        <f t="shared" si="41"/>
        <v>2023</v>
      </c>
      <c r="I223" t="str">
        <f t="shared" si="42"/>
        <v>2023-Q2</v>
      </c>
      <c r="J223" t="s">
        <v>44</v>
      </c>
      <c r="K223" t="s">
        <v>1102</v>
      </c>
      <c r="L223" t="s">
        <v>1103</v>
      </c>
      <c r="M223" t="s">
        <v>47</v>
      </c>
      <c r="N223" t="s">
        <v>25</v>
      </c>
      <c r="O223" t="s">
        <v>255</v>
      </c>
      <c r="P223" t="s">
        <v>143</v>
      </c>
      <c r="Q223" t="s">
        <v>39</v>
      </c>
      <c r="R223" t="s">
        <v>1104</v>
      </c>
      <c r="S223" t="s">
        <v>59</v>
      </c>
      <c r="T223" t="s">
        <v>277</v>
      </c>
      <c r="U223" t="s">
        <v>1105</v>
      </c>
      <c r="V223" s="3">
        <v>1281.75</v>
      </c>
      <c r="W223" s="4">
        <v>2</v>
      </c>
      <c r="X223" s="2">
        <v>0.4</v>
      </c>
      <c r="Y223" s="3">
        <v>-245.92</v>
      </c>
      <c r="Z223" t="str">
        <f t="shared" si="38"/>
        <v>Normal</v>
      </c>
      <c r="AA223" t="str">
        <f t="shared" si="39"/>
        <v>High</v>
      </c>
      <c r="AB223" t="str">
        <f t="shared" si="43"/>
        <v>Loss</v>
      </c>
      <c r="AC223" s="3">
        <f t="shared" si="44"/>
        <v>-0.19186268773161691</v>
      </c>
      <c r="AD223" s="3">
        <f t="shared" si="45"/>
        <v>640.875</v>
      </c>
      <c r="AE223" s="3">
        <f t="shared" si="46"/>
        <v>-122.96</v>
      </c>
      <c r="AF223" t="str">
        <f t="shared" si="47"/>
        <v>Regular</v>
      </c>
    </row>
    <row r="224" spans="1:32" x14ac:dyDescent="0.25">
      <c r="A224" t="s">
        <v>5488</v>
      </c>
      <c r="B224" s="1">
        <v>45031</v>
      </c>
      <c r="C224" s="1">
        <v>45033</v>
      </c>
      <c r="D224" s="4">
        <f t="shared" si="36"/>
        <v>2</v>
      </c>
      <c r="E224" s="4" t="str">
        <f>TEXT(Table1[[#This Row],[Order_Date]],"dddd")</f>
        <v>Saturday</v>
      </c>
      <c r="F224" s="4">
        <f t="shared" si="37"/>
        <v>4</v>
      </c>
      <c r="G224" t="str">
        <f t="shared" si="40"/>
        <v>April</v>
      </c>
      <c r="H224">
        <f t="shared" si="41"/>
        <v>2023</v>
      </c>
      <c r="I224" t="str">
        <f t="shared" si="42"/>
        <v>2023-Q2</v>
      </c>
      <c r="J224" t="s">
        <v>55</v>
      </c>
      <c r="K224" t="s">
        <v>5489</v>
      </c>
      <c r="L224" t="s">
        <v>5490</v>
      </c>
      <c r="M224" t="s">
        <v>36</v>
      </c>
      <c r="N224" t="s">
        <v>25</v>
      </c>
      <c r="O224" t="s">
        <v>162</v>
      </c>
      <c r="P224" t="s">
        <v>163</v>
      </c>
      <c r="Q224" t="s">
        <v>87</v>
      </c>
      <c r="R224" t="s">
        <v>5491</v>
      </c>
      <c r="S224" t="s">
        <v>59</v>
      </c>
      <c r="T224" t="s">
        <v>277</v>
      </c>
      <c r="U224" t="s">
        <v>5492</v>
      </c>
      <c r="V224" s="3">
        <v>3826.09</v>
      </c>
      <c r="W224" s="4">
        <v>10</v>
      </c>
      <c r="X224" s="2">
        <v>0</v>
      </c>
      <c r="Y224" s="3">
        <v>425.11</v>
      </c>
      <c r="Z224" t="str">
        <f t="shared" si="38"/>
        <v>Normal</v>
      </c>
      <c r="AA224" t="str">
        <f t="shared" si="39"/>
        <v>Low</v>
      </c>
      <c r="AB224" t="str">
        <f t="shared" si="43"/>
        <v>Low Profit</v>
      </c>
      <c r="AC224" s="3">
        <f t="shared" si="44"/>
        <v>0.11110820707301711</v>
      </c>
      <c r="AD224" s="3">
        <f t="shared" si="45"/>
        <v>382.60900000000004</v>
      </c>
      <c r="AE224" s="3">
        <f t="shared" si="46"/>
        <v>42.511000000000003</v>
      </c>
      <c r="AF224" t="str">
        <f t="shared" si="47"/>
        <v>Regular</v>
      </c>
    </row>
    <row r="225" spans="1:32" x14ac:dyDescent="0.25">
      <c r="A225" t="s">
        <v>2701</v>
      </c>
      <c r="B225" s="1">
        <v>45032</v>
      </c>
      <c r="C225" s="1">
        <v>45039</v>
      </c>
      <c r="D225" s="4">
        <f t="shared" si="36"/>
        <v>7</v>
      </c>
      <c r="E225" s="4" t="str">
        <f>TEXT(Table1[[#This Row],[Order_Date]],"dddd")</f>
        <v>Sunday</v>
      </c>
      <c r="F225" s="4">
        <f t="shared" si="37"/>
        <v>4</v>
      </c>
      <c r="G225" t="str">
        <f t="shared" si="40"/>
        <v>April</v>
      </c>
      <c r="H225">
        <f t="shared" si="41"/>
        <v>2023</v>
      </c>
      <c r="I225" t="str">
        <f t="shared" si="42"/>
        <v>2023-Q2</v>
      </c>
      <c r="J225" t="s">
        <v>104</v>
      </c>
      <c r="K225" t="s">
        <v>2702</v>
      </c>
      <c r="L225" t="s">
        <v>2703</v>
      </c>
      <c r="M225" t="s">
        <v>47</v>
      </c>
      <c r="N225" t="s">
        <v>25</v>
      </c>
      <c r="O225" t="s">
        <v>80</v>
      </c>
      <c r="P225" t="s">
        <v>49</v>
      </c>
      <c r="Q225" t="s">
        <v>66</v>
      </c>
      <c r="R225" t="s">
        <v>2704</v>
      </c>
      <c r="S225" t="s">
        <v>51</v>
      </c>
      <c r="T225" t="s">
        <v>108</v>
      </c>
      <c r="U225" t="s">
        <v>2705</v>
      </c>
      <c r="V225" s="3">
        <v>495.19</v>
      </c>
      <c r="W225" s="4">
        <v>6</v>
      </c>
      <c r="X225" s="2">
        <v>0.1</v>
      </c>
      <c r="Y225" s="3">
        <v>60.85</v>
      </c>
      <c r="Z225" t="str">
        <f t="shared" si="38"/>
        <v>Normal</v>
      </c>
      <c r="AA225" t="str">
        <f t="shared" si="39"/>
        <v>Medium</v>
      </c>
      <c r="AB225" t="str">
        <f t="shared" si="43"/>
        <v>Low Profit</v>
      </c>
      <c r="AC225" s="3">
        <f t="shared" si="44"/>
        <v>0.12288212605262627</v>
      </c>
      <c r="AD225" s="3">
        <f t="shared" si="45"/>
        <v>82.531666666666666</v>
      </c>
      <c r="AE225" s="3">
        <f t="shared" si="46"/>
        <v>10.141666666666667</v>
      </c>
      <c r="AF225" t="str">
        <f t="shared" si="47"/>
        <v>Regular</v>
      </c>
    </row>
    <row r="226" spans="1:32" x14ac:dyDescent="0.25">
      <c r="A226" t="s">
        <v>489</v>
      </c>
      <c r="B226" s="1">
        <v>45032</v>
      </c>
      <c r="C226" s="1">
        <v>45039</v>
      </c>
      <c r="D226" s="4">
        <f t="shared" si="36"/>
        <v>7</v>
      </c>
      <c r="E226" s="4" t="str">
        <f>TEXT(Table1[[#This Row],[Order_Date]],"dddd")</f>
        <v>Sunday</v>
      </c>
      <c r="F226" s="4">
        <f t="shared" si="37"/>
        <v>4</v>
      </c>
      <c r="G226" t="str">
        <f t="shared" si="40"/>
        <v>April</v>
      </c>
      <c r="H226">
        <f t="shared" si="41"/>
        <v>2023</v>
      </c>
      <c r="I226" t="str">
        <f t="shared" si="42"/>
        <v>2023-Q2</v>
      </c>
      <c r="J226" t="s">
        <v>44</v>
      </c>
      <c r="K226" t="s">
        <v>490</v>
      </c>
      <c r="L226" t="s">
        <v>491</v>
      </c>
      <c r="M226" t="s">
        <v>36</v>
      </c>
      <c r="N226" t="s">
        <v>25</v>
      </c>
      <c r="O226" t="s">
        <v>382</v>
      </c>
      <c r="P226" t="s">
        <v>38</v>
      </c>
      <c r="Q226" t="s">
        <v>66</v>
      </c>
      <c r="R226" t="s">
        <v>492</v>
      </c>
      <c r="S226" t="s">
        <v>30</v>
      </c>
      <c r="T226" t="s">
        <v>68</v>
      </c>
      <c r="U226" t="s">
        <v>493</v>
      </c>
      <c r="V226" s="3">
        <v>185.42</v>
      </c>
      <c r="W226" s="4">
        <v>6</v>
      </c>
      <c r="X226" s="2">
        <v>0.2</v>
      </c>
      <c r="Y226" s="3">
        <v>43.04</v>
      </c>
      <c r="Z226" t="str">
        <f t="shared" si="38"/>
        <v>Normal</v>
      </c>
      <c r="AA226" t="str">
        <f t="shared" si="39"/>
        <v>High</v>
      </c>
      <c r="AB226" t="str">
        <f t="shared" si="43"/>
        <v>Low Profit</v>
      </c>
      <c r="AC226" s="3">
        <f t="shared" si="44"/>
        <v>0.23212166972279152</v>
      </c>
      <c r="AD226" s="3">
        <f t="shared" si="45"/>
        <v>30.903333333333332</v>
      </c>
      <c r="AE226" s="3">
        <f t="shared" si="46"/>
        <v>7.1733333333333329</v>
      </c>
      <c r="AF226" t="str">
        <f t="shared" si="47"/>
        <v>Regular</v>
      </c>
    </row>
    <row r="227" spans="1:32" x14ac:dyDescent="0.25">
      <c r="A227" t="s">
        <v>624</v>
      </c>
      <c r="B227" s="1">
        <v>45033</v>
      </c>
      <c r="C227" s="1">
        <v>45036</v>
      </c>
      <c r="D227" s="4">
        <f t="shared" si="36"/>
        <v>3</v>
      </c>
      <c r="E227" s="4" t="str">
        <f>TEXT(Table1[[#This Row],[Order_Date]],"dddd")</f>
        <v>Monday</v>
      </c>
      <c r="F227" s="4">
        <f t="shared" si="37"/>
        <v>4</v>
      </c>
      <c r="G227" t="str">
        <f t="shared" si="40"/>
        <v>April</v>
      </c>
      <c r="H227">
        <f t="shared" si="41"/>
        <v>2023</v>
      </c>
      <c r="I227" t="str">
        <f t="shared" si="42"/>
        <v>2023-Q2</v>
      </c>
      <c r="J227" t="s">
        <v>44</v>
      </c>
      <c r="K227" t="s">
        <v>625</v>
      </c>
      <c r="L227" t="s">
        <v>626</v>
      </c>
      <c r="M227" t="s">
        <v>36</v>
      </c>
      <c r="N227" t="s">
        <v>25</v>
      </c>
      <c r="O227" t="s">
        <v>244</v>
      </c>
      <c r="P227" t="s">
        <v>163</v>
      </c>
      <c r="Q227" t="s">
        <v>87</v>
      </c>
      <c r="R227" t="s">
        <v>627</v>
      </c>
      <c r="S227" t="s">
        <v>59</v>
      </c>
      <c r="T227" t="s">
        <v>303</v>
      </c>
      <c r="U227" t="s">
        <v>628</v>
      </c>
      <c r="V227" s="3">
        <v>1976.81</v>
      </c>
      <c r="W227" s="4">
        <v>10</v>
      </c>
      <c r="X227" s="2">
        <v>0.4</v>
      </c>
      <c r="Y227" s="3">
        <v>134.58000000000001</v>
      </c>
      <c r="Z227" t="str">
        <f t="shared" si="38"/>
        <v>Normal</v>
      </c>
      <c r="AA227" t="str">
        <f t="shared" si="39"/>
        <v>High</v>
      </c>
      <c r="AB227" t="str">
        <f t="shared" si="43"/>
        <v>Low Profit</v>
      </c>
      <c r="AC227" s="3">
        <f t="shared" si="44"/>
        <v>6.8079380415922625E-2</v>
      </c>
      <c r="AD227" s="3">
        <f t="shared" si="45"/>
        <v>197.68099999999998</v>
      </c>
      <c r="AE227" s="3">
        <f t="shared" si="46"/>
        <v>13.458000000000002</v>
      </c>
      <c r="AF227" t="str">
        <f t="shared" si="47"/>
        <v>Regular</v>
      </c>
    </row>
    <row r="228" spans="1:32" x14ac:dyDescent="0.25">
      <c r="A228" t="s">
        <v>5268</v>
      </c>
      <c r="B228" s="1">
        <v>45034</v>
      </c>
      <c r="C228" s="1">
        <v>45038</v>
      </c>
      <c r="D228" s="4">
        <f t="shared" si="36"/>
        <v>4</v>
      </c>
      <c r="E228" s="4" t="str">
        <f>TEXT(Table1[[#This Row],[Order_Date]],"dddd")</f>
        <v>Tuesday</v>
      </c>
      <c r="F228" s="4">
        <f t="shared" si="37"/>
        <v>4</v>
      </c>
      <c r="G228" t="str">
        <f t="shared" si="40"/>
        <v>April</v>
      </c>
      <c r="H228">
        <f t="shared" si="41"/>
        <v>2023</v>
      </c>
      <c r="I228" t="str">
        <f t="shared" si="42"/>
        <v>2023-Q2</v>
      </c>
      <c r="J228" t="s">
        <v>55</v>
      </c>
      <c r="K228" t="s">
        <v>5269</v>
      </c>
      <c r="L228" t="s">
        <v>5270</v>
      </c>
      <c r="M228" t="s">
        <v>47</v>
      </c>
      <c r="N228" t="s">
        <v>25</v>
      </c>
      <c r="O228" t="s">
        <v>233</v>
      </c>
      <c r="P228" t="s">
        <v>163</v>
      </c>
      <c r="Q228" t="s">
        <v>87</v>
      </c>
      <c r="R228" t="s">
        <v>5271</v>
      </c>
      <c r="S228" t="s">
        <v>30</v>
      </c>
      <c r="T228" t="s">
        <v>31</v>
      </c>
      <c r="U228" t="s">
        <v>5272</v>
      </c>
      <c r="V228" s="3">
        <v>3599.89</v>
      </c>
      <c r="W228" s="4">
        <v>1</v>
      </c>
      <c r="X228" s="2">
        <v>0.2</v>
      </c>
      <c r="Y228" s="3">
        <v>1025.33</v>
      </c>
      <c r="Z228" t="str">
        <f t="shared" si="38"/>
        <v>Normal</v>
      </c>
      <c r="AA228" t="str">
        <f t="shared" si="39"/>
        <v>High</v>
      </c>
      <c r="AB228" t="str">
        <f t="shared" si="43"/>
        <v>High Profit</v>
      </c>
      <c r="AC228" s="3">
        <f t="shared" si="44"/>
        <v>0.28482259180141617</v>
      </c>
      <c r="AD228" s="3">
        <f t="shared" si="45"/>
        <v>3599.89</v>
      </c>
      <c r="AE228" s="3">
        <f t="shared" si="46"/>
        <v>1025.33</v>
      </c>
      <c r="AF228" t="str">
        <f t="shared" si="47"/>
        <v>Regular</v>
      </c>
    </row>
    <row r="229" spans="1:32" x14ac:dyDescent="0.25">
      <c r="A229" t="s">
        <v>6931</v>
      </c>
      <c r="B229" s="1">
        <v>45034</v>
      </c>
      <c r="C229" s="1">
        <v>45040</v>
      </c>
      <c r="D229" s="4">
        <f t="shared" si="36"/>
        <v>6</v>
      </c>
      <c r="E229" s="4" t="str">
        <f>TEXT(Table1[[#This Row],[Order_Date]],"dddd")</f>
        <v>Tuesday</v>
      </c>
      <c r="F229" s="4">
        <f t="shared" si="37"/>
        <v>4</v>
      </c>
      <c r="G229" t="str">
        <f t="shared" si="40"/>
        <v>April</v>
      </c>
      <c r="H229">
        <f t="shared" si="41"/>
        <v>2023</v>
      </c>
      <c r="I229" t="str">
        <f t="shared" si="42"/>
        <v>2023-Q2</v>
      </c>
      <c r="J229" t="s">
        <v>55</v>
      </c>
      <c r="K229" t="s">
        <v>6932</v>
      </c>
      <c r="L229" t="s">
        <v>6933</v>
      </c>
      <c r="M229" t="s">
        <v>36</v>
      </c>
      <c r="N229" t="s">
        <v>25</v>
      </c>
      <c r="O229" t="s">
        <v>255</v>
      </c>
      <c r="P229" t="s">
        <v>143</v>
      </c>
      <c r="Q229" t="s">
        <v>66</v>
      </c>
      <c r="R229" t="s">
        <v>6934</v>
      </c>
      <c r="S229" t="s">
        <v>51</v>
      </c>
      <c r="T229" t="s">
        <v>108</v>
      </c>
      <c r="U229" t="s">
        <v>6935</v>
      </c>
      <c r="V229" s="3">
        <v>831.49</v>
      </c>
      <c r="W229" s="4">
        <v>7</v>
      </c>
      <c r="X229" s="2">
        <v>0.4</v>
      </c>
      <c r="Y229" s="3">
        <v>28.02</v>
      </c>
      <c r="Z229" t="str">
        <f t="shared" si="38"/>
        <v>Normal</v>
      </c>
      <c r="AA229" t="str">
        <f t="shared" si="39"/>
        <v>High</v>
      </c>
      <c r="AB229" t="str">
        <f t="shared" si="43"/>
        <v>Low Profit</v>
      </c>
      <c r="AC229" s="3">
        <f t="shared" si="44"/>
        <v>3.3698541173074838E-2</v>
      </c>
      <c r="AD229" s="3">
        <f t="shared" si="45"/>
        <v>118.78428571428572</v>
      </c>
      <c r="AE229" s="3">
        <f t="shared" si="46"/>
        <v>4.0028571428571427</v>
      </c>
      <c r="AF229" t="str">
        <f t="shared" si="47"/>
        <v>Regular</v>
      </c>
    </row>
    <row r="230" spans="1:32" x14ac:dyDescent="0.25">
      <c r="A230" t="s">
        <v>3093</v>
      </c>
      <c r="B230" s="1">
        <v>45034</v>
      </c>
      <c r="C230" s="1">
        <v>45042</v>
      </c>
      <c r="D230" s="4">
        <f t="shared" si="36"/>
        <v>8</v>
      </c>
      <c r="E230" s="4" t="str">
        <f>TEXT(Table1[[#This Row],[Order_Date]],"dddd")</f>
        <v>Tuesday</v>
      </c>
      <c r="F230" s="4">
        <f t="shared" si="37"/>
        <v>4</v>
      </c>
      <c r="G230" t="str">
        <f t="shared" si="40"/>
        <v>April</v>
      </c>
      <c r="H230">
        <f t="shared" si="41"/>
        <v>2023</v>
      </c>
      <c r="I230" t="str">
        <f t="shared" si="42"/>
        <v>2023-Q2</v>
      </c>
      <c r="J230" t="s">
        <v>55</v>
      </c>
      <c r="K230" t="s">
        <v>3094</v>
      </c>
      <c r="L230" t="s">
        <v>3095</v>
      </c>
      <c r="M230" t="s">
        <v>24</v>
      </c>
      <c r="N230" t="s">
        <v>25</v>
      </c>
      <c r="O230" t="s">
        <v>142</v>
      </c>
      <c r="P230" t="s">
        <v>143</v>
      </c>
      <c r="Q230" t="s">
        <v>39</v>
      </c>
      <c r="R230" t="s">
        <v>3096</v>
      </c>
      <c r="S230" t="s">
        <v>30</v>
      </c>
      <c r="T230" t="s">
        <v>82</v>
      </c>
      <c r="U230" t="s">
        <v>3097</v>
      </c>
      <c r="V230" s="3">
        <v>3310.01</v>
      </c>
      <c r="W230" s="4">
        <v>6</v>
      </c>
      <c r="X230" s="2">
        <v>0.2</v>
      </c>
      <c r="Y230" s="3">
        <v>697.71</v>
      </c>
      <c r="Z230" t="str">
        <f t="shared" si="38"/>
        <v>Normal</v>
      </c>
      <c r="AA230" t="str">
        <f t="shared" si="39"/>
        <v>High</v>
      </c>
      <c r="AB230" t="str">
        <f t="shared" si="43"/>
        <v>High Profit</v>
      </c>
      <c r="AC230" s="3">
        <f t="shared" si="44"/>
        <v>0.210787882816064</v>
      </c>
      <c r="AD230" s="3">
        <f t="shared" si="45"/>
        <v>551.66833333333341</v>
      </c>
      <c r="AE230" s="3">
        <f t="shared" si="46"/>
        <v>116.28500000000001</v>
      </c>
      <c r="AF230" t="str">
        <f t="shared" si="47"/>
        <v>Regular</v>
      </c>
    </row>
    <row r="231" spans="1:32" x14ac:dyDescent="0.25">
      <c r="A231" t="s">
        <v>1121</v>
      </c>
      <c r="B231" s="1">
        <v>45035</v>
      </c>
      <c r="C231" s="1">
        <v>45041</v>
      </c>
      <c r="D231" s="4">
        <f t="shared" si="36"/>
        <v>6</v>
      </c>
      <c r="E231" s="4" t="str">
        <f>TEXT(Table1[[#This Row],[Order_Date]],"dddd")</f>
        <v>Wednesday</v>
      </c>
      <c r="F231" s="4">
        <f t="shared" si="37"/>
        <v>4</v>
      </c>
      <c r="G231" t="str">
        <f t="shared" si="40"/>
        <v>April</v>
      </c>
      <c r="H231">
        <f t="shared" si="41"/>
        <v>2023</v>
      </c>
      <c r="I231" t="str">
        <f t="shared" si="42"/>
        <v>2023-Q2</v>
      </c>
      <c r="J231" t="s">
        <v>104</v>
      </c>
      <c r="K231" t="s">
        <v>1122</v>
      </c>
      <c r="L231" t="s">
        <v>1123</v>
      </c>
      <c r="M231" t="s">
        <v>47</v>
      </c>
      <c r="N231" t="s">
        <v>25</v>
      </c>
      <c r="O231" t="s">
        <v>511</v>
      </c>
      <c r="P231" t="s">
        <v>120</v>
      </c>
      <c r="Q231" t="s">
        <v>66</v>
      </c>
      <c r="R231" t="s">
        <v>1124</v>
      </c>
      <c r="S231" t="s">
        <v>51</v>
      </c>
      <c r="T231" t="s">
        <v>108</v>
      </c>
      <c r="U231" t="s">
        <v>1125</v>
      </c>
      <c r="V231" s="3">
        <v>3625.82</v>
      </c>
      <c r="W231" s="4">
        <v>8</v>
      </c>
      <c r="X231" s="2">
        <v>0.1</v>
      </c>
      <c r="Y231" s="3">
        <v>569.78</v>
      </c>
      <c r="Z231" t="str">
        <f t="shared" si="38"/>
        <v>Normal</v>
      </c>
      <c r="AA231" t="str">
        <f t="shared" si="39"/>
        <v>Medium</v>
      </c>
      <c r="AB231" t="str">
        <f t="shared" si="43"/>
        <v>High Profit</v>
      </c>
      <c r="AC231" s="3">
        <f t="shared" si="44"/>
        <v>0.15714514234021543</v>
      </c>
      <c r="AD231" s="3">
        <f t="shared" si="45"/>
        <v>453.22750000000002</v>
      </c>
      <c r="AE231" s="3">
        <f t="shared" si="46"/>
        <v>71.222499999999997</v>
      </c>
      <c r="AF231" t="str">
        <f t="shared" si="47"/>
        <v>Regular</v>
      </c>
    </row>
    <row r="232" spans="1:32" x14ac:dyDescent="0.25">
      <c r="A232" t="s">
        <v>3722</v>
      </c>
      <c r="B232" s="1">
        <v>45035</v>
      </c>
      <c r="C232" s="1">
        <v>45042</v>
      </c>
      <c r="D232" s="4">
        <f t="shared" si="36"/>
        <v>7</v>
      </c>
      <c r="E232" s="4" t="str">
        <f>TEXT(Table1[[#This Row],[Order_Date]],"dddd")</f>
        <v>Wednesday</v>
      </c>
      <c r="F232" s="4">
        <f t="shared" si="37"/>
        <v>4</v>
      </c>
      <c r="G232" t="str">
        <f t="shared" si="40"/>
        <v>April</v>
      </c>
      <c r="H232">
        <f t="shared" si="41"/>
        <v>2023</v>
      </c>
      <c r="I232" t="str">
        <f t="shared" si="42"/>
        <v>2023-Q2</v>
      </c>
      <c r="J232" t="s">
        <v>55</v>
      </c>
      <c r="K232" t="s">
        <v>3723</v>
      </c>
      <c r="L232" t="s">
        <v>3724</v>
      </c>
      <c r="M232" t="s">
        <v>24</v>
      </c>
      <c r="N232" t="s">
        <v>25</v>
      </c>
      <c r="O232" t="s">
        <v>611</v>
      </c>
      <c r="P232" t="s">
        <v>74</v>
      </c>
      <c r="Q232" t="s">
        <v>87</v>
      </c>
      <c r="R232" t="s">
        <v>7403</v>
      </c>
      <c r="S232" t="s">
        <v>30</v>
      </c>
      <c r="T232" t="s">
        <v>41</v>
      </c>
      <c r="U232" t="s">
        <v>3725</v>
      </c>
      <c r="V232" s="3">
        <v>4869.95</v>
      </c>
      <c r="W232" s="4">
        <v>6</v>
      </c>
      <c r="X232" s="2">
        <v>0.4</v>
      </c>
      <c r="Y232" s="3">
        <v>492.94</v>
      </c>
      <c r="Z232" t="str">
        <f t="shared" si="38"/>
        <v>Normal</v>
      </c>
      <c r="AA232" t="str">
        <f t="shared" si="39"/>
        <v>High</v>
      </c>
      <c r="AB232" t="str">
        <f t="shared" si="43"/>
        <v>Low Profit</v>
      </c>
      <c r="AC232" s="3">
        <f t="shared" si="44"/>
        <v>0.10122075175309808</v>
      </c>
      <c r="AD232" s="3">
        <f t="shared" si="45"/>
        <v>811.6583333333333</v>
      </c>
      <c r="AE232" s="3">
        <f t="shared" si="46"/>
        <v>82.156666666666666</v>
      </c>
      <c r="AF232" t="str">
        <f t="shared" si="47"/>
        <v>Regular</v>
      </c>
    </row>
    <row r="233" spans="1:32" x14ac:dyDescent="0.25">
      <c r="A233" t="s">
        <v>3126</v>
      </c>
      <c r="B233" s="1">
        <v>45036</v>
      </c>
      <c r="C233" s="1">
        <v>45043</v>
      </c>
      <c r="D233" s="4">
        <f t="shared" si="36"/>
        <v>7</v>
      </c>
      <c r="E233" s="4" t="str">
        <f>TEXT(Table1[[#This Row],[Order_Date]],"dddd")</f>
        <v>Thursday</v>
      </c>
      <c r="F233" s="4">
        <f t="shared" si="37"/>
        <v>4</v>
      </c>
      <c r="G233" t="str">
        <f t="shared" si="40"/>
        <v>April</v>
      </c>
      <c r="H233">
        <f t="shared" si="41"/>
        <v>2023</v>
      </c>
      <c r="I233" t="str">
        <f t="shared" si="42"/>
        <v>2023-Q2</v>
      </c>
      <c r="J233" t="s">
        <v>55</v>
      </c>
      <c r="K233" t="s">
        <v>3127</v>
      </c>
      <c r="L233" t="s">
        <v>3128</v>
      </c>
      <c r="M233" t="s">
        <v>47</v>
      </c>
      <c r="N233" t="s">
        <v>25</v>
      </c>
      <c r="O233" t="s">
        <v>201</v>
      </c>
      <c r="P233" t="s">
        <v>113</v>
      </c>
      <c r="Q233" t="s">
        <v>66</v>
      </c>
      <c r="R233" t="s">
        <v>3129</v>
      </c>
      <c r="S233" t="s">
        <v>30</v>
      </c>
      <c r="T233" t="s">
        <v>41</v>
      </c>
      <c r="U233" t="s">
        <v>3130</v>
      </c>
      <c r="V233" s="3">
        <v>4591.47</v>
      </c>
      <c r="W233" s="4">
        <v>10</v>
      </c>
      <c r="X233" s="2">
        <v>0.4</v>
      </c>
      <c r="Y233" s="3">
        <v>221.92</v>
      </c>
      <c r="Z233" t="str">
        <f t="shared" si="38"/>
        <v>Normal</v>
      </c>
      <c r="AA233" t="str">
        <f t="shared" si="39"/>
        <v>High</v>
      </c>
      <c r="AB233" t="str">
        <f t="shared" si="43"/>
        <v>Low Profit</v>
      </c>
      <c r="AC233" s="3">
        <f t="shared" si="44"/>
        <v>4.8333104648402361E-2</v>
      </c>
      <c r="AD233" s="3">
        <f t="shared" si="45"/>
        <v>459.14700000000005</v>
      </c>
      <c r="AE233" s="3">
        <f t="shared" si="46"/>
        <v>22.192</v>
      </c>
      <c r="AF233" t="str">
        <f t="shared" si="47"/>
        <v>Regular</v>
      </c>
    </row>
    <row r="234" spans="1:32" x14ac:dyDescent="0.25">
      <c r="A234" t="s">
        <v>1337</v>
      </c>
      <c r="B234" s="1">
        <v>45036</v>
      </c>
      <c r="C234" s="1">
        <v>45038</v>
      </c>
      <c r="D234" s="4">
        <f t="shared" si="36"/>
        <v>2</v>
      </c>
      <c r="E234" s="4" t="str">
        <f>TEXT(Table1[[#This Row],[Order_Date]],"dddd")</f>
        <v>Thursday</v>
      </c>
      <c r="F234" s="4">
        <f t="shared" si="37"/>
        <v>4</v>
      </c>
      <c r="G234" t="str">
        <f t="shared" si="40"/>
        <v>April</v>
      </c>
      <c r="H234">
        <f t="shared" si="41"/>
        <v>2023</v>
      </c>
      <c r="I234" t="str">
        <f t="shared" si="42"/>
        <v>2023-Q2</v>
      </c>
      <c r="J234" t="s">
        <v>21</v>
      </c>
      <c r="K234" t="s">
        <v>1338</v>
      </c>
      <c r="L234" t="s">
        <v>1339</v>
      </c>
      <c r="M234" t="s">
        <v>47</v>
      </c>
      <c r="N234" t="s">
        <v>25</v>
      </c>
      <c r="O234" t="s">
        <v>65</v>
      </c>
      <c r="P234" t="s">
        <v>27</v>
      </c>
      <c r="Q234" t="s">
        <v>87</v>
      </c>
      <c r="R234" t="s">
        <v>1340</v>
      </c>
      <c r="S234" t="s">
        <v>51</v>
      </c>
      <c r="T234" t="s">
        <v>94</v>
      </c>
      <c r="U234" t="s">
        <v>1341</v>
      </c>
      <c r="V234" s="3">
        <v>205.03</v>
      </c>
      <c r="W234" s="4">
        <v>2</v>
      </c>
      <c r="X234" s="2">
        <v>0.2</v>
      </c>
      <c r="Y234" s="3">
        <v>25.25</v>
      </c>
      <c r="Z234" t="str">
        <f t="shared" si="38"/>
        <v>Normal</v>
      </c>
      <c r="AA234" t="str">
        <f t="shared" si="39"/>
        <v>High</v>
      </c>
      <c r="AB234" t="str">
        <f t="shared" si="43"/>
        <v>Low Profit</v>
      </c>
      <c r="AC234" s="3">
        <f t="shared" si="44"/>
        <v>0.12315270935960591</v>
      </c>
      <c r="AD234" s="3">
        <f t="shared" si="45"/>
        <v>102.515</v>
      </c>
      <c r="AE234" s="3">
        <f t="shared" si="46"/>
        <v>12.625</v>
      </c>
      <c r="AF234" t="str">
        <f t="shared" si="47"/>
        <v>Regular</v>
      </c>
    </row>
    <row r="235" spans="1:32" x14ac:dyDescent="0.25">
      <c r="A235" t="s">
        <v>3988</v>
      </c>
      <c r="B235" s="1">
        <v>45036</v>
      </c>
      <c r="C235" s="1">
        <v>45045</v>
      </c>
      <c r="D235" s="4">
        <f t="shared" si="36"/>
        <v>9</v>
      </c>
      <c r="E235" s="4" t="str">
        <f>TEXT(Table1[[#This Row],[Order_Date]],"dddd")</f>
        <v>Thursday</v>
      </c>
      <c r="F235" s="4">
        <f t="shared" si="37"/>
        <v>4</v>
      </c>
      <c r="G235" t="str">
        <f t="shared" si="40"/>
        <v>April</v>
      </c>
      <c r="H235">
        <f t="shared" si="41"/>
        <v>2023</v>
      </c>
      <c r="I235" t="str">
        <f t="shared" si="42"/>
        <v>2023-Q2</v>
      </c>
      <c r="J235" t="s">
        <v>21</v>
      </c>
      <c r="K235" t="s">
        <v>3989</v>
      </c>
      <c r="L235" t="s">
        <v>3990</v>
      </c>
      <c r="M235" t="s">
        <v>24</v>
      </c>
      <c r="N235" t="s">
        <v>25</v>
      </c>
      <c r="O235" t="s">
        <v>119</v>
      </c>
      <c r="P235" t="s">
        <v>120</v>
      </c>
      <c r="Q235" t="s">
        <v>66</v>
      </c>
      <c r="R235" t="s">
        <v>3991</v>
      </c>
      <c r="S235" t="s">
        <v>51</v>
      </c>
      <c r="T235" t="s">
        <v>127</v>
      </c>
      <c r="U235" t="s">
        <v>3992</v>
      </c>
      <c r="V235" s="3">
        <v>3747.18</v>
      </c>
      <c r="W235" s="4">
        <v>2</v>
      </c>
      <c r="X235" s="2">
        <v>0.4</v>
      </c>
      <c r="Y235" s="3">
        <v>66.22</v>
      </c>
      <c r="Z235" t="str">
        <f t="shared" si="38"/>
        <v>Normal</v>
      </c>
      <c r="AA235" t="str">
        <f t="shared" si="39"/>
        <v>High</v>
      </c>
      <c r="AB235" t="str">
        <f t="shared" si="43"/>
        <v>Low Profit</v>
      </c>
      <c r="AC235" s="3">
        <f t="shared" si="44"/>
        <v>1.7671955977561795E-2</v>
      </c>
      <c r="AD235" s="3">
        <f t="shared" si="45"/>
        <v>1873.59</v>
      </c>
      <c r="AE235" s="3">
        <f t="shared" si="46"/>
        <v>33.11</v>
      </c>
      <c r="AF235" t="str">
        <f t="shared" si="47"/>
        <v>Regular</v>
      </c>
    </row>
    <row r="236" spans="1:32" x14ac:dyDescent="0.25">
      <c r="A236" t="s">
        <v>1404</v>
      </c>
      <c r="B236" s="1">
        <v>45036</v>
      </c>
      <c r="C236" s="1">
        <v>45041</v>
      </c>
      <c r="D236" s="4">
        <f t="shared" si="36"/>
        <v>5</v>
      </c>
      <c r="E236" s="4" t="str">
        <f>TEXT(Table1[[#This Row],[Order_Date]],"dddd")</f>
        <v>Thursday</v>
      </c>
      <c r="F236" s="4">
        <f t="shared" si="37"/>
        <v>4</v>
      </c>
      <c r="G236" t="str">
        <f t="shared" si="40"/>
        <v>April</v>
      </c>
      <c r="H236">
        <f t="shared" si="41"/>
        <v>2023</v>
      </c>
      <c r="I236" t="str">
        <f t="shared" si="42"/>
        <v>2023-Q2</v>
      </c>
      <c r="J236" t="s">
        <v>44</v>
      </c>
      <c r="K236" t="s">
        <v>1405</v>
      </c>
      <c r="L236" t="s">
        <v>1406</v>
      </c>
      <c r="M236" t="s">
        <v>36</v>
      </c>
      <c r="N236" t="s">
        <v>25</v>
      </c>
      <c r="O236" t="s">
        <v>190</v>
      </c>
      <c r="P236" t="s">
        <v>120</v>
      </c>
      <c r="Q236" t="s">
        <v>28</v>
      </c>
      <c r="R236" t="s">
        <v>1407</v>
      </c>
      <c r="S236" t="s">
        <v>51</v>
      </c>
      <c r="T236" t="s">
        <v>108</v>
      </c>
      <c r="U236" t="s">
        <v>1408</v>
      </c>
      <c r="V236" s="3">
        <v>979.2</v>
      </c>
      <c r="W236" s="4">
        <v>7</v>
      </c>
      <c r="X236" s="2">
        <v>0.2</v>
      </c>
      <c r="Y236" s="3">
        <v>181.77</v>
      </c>
      <c r="Z236" t="str">
        <f t="shared" si="38"/>
        <v>Normal</v>
      </c>
      <c r="AA236" t="str">
        <f t="shared" si="39"/>
        <v>High</v>
      </c>
      <c r="AB236" t="str">
        <f t="shared" si="43"/>
        <v>Low Profit</v>
      </c>
      <c r="AC236" s="3">
        <f t="shared" si="44"/>
        <v>0.1856311274509804</v>
      </c>
      <c r="AD236" s="3">
        <f t="shared" si="45"/>
        <v>139.8857142857143</v>
      </c>
      <c r="AE236" s="3">
        <f t="shared" si="46"/>
        <v>25.967142857142857</v>
      </c>
      <c r="AF236" t="str">
        <f t="shared" si="47"/>
        <v>Regular</v>
      </c>
    </row>
    <row r="237" spans="1:32" x14ac:dyDescent="0.25">
      <c r="A237" t="s">
        <v>6297</v>
      </c>
      <c r="B237" s="1">
        <v>45036</v>
      </c>
      <c r="C237" s="1">
        <v>45042</v>
      </c>
      <c r="D237" s="4">
        <f t="shared" si="36"/>
        <v>6</v>
      </c>
      <c r="E237" s="4" t="str">
        <f>TEXT(Table1[[#This Row],[Order_Date]],"dddd")</f>
        <v>Thursday</v>
      </c>
      <c r="F237" s="4">
        <f t="shared" si="37"/>
        <v>4</v>
      </c>
      <c r="G237" t="str">
        <f t="shared" si="40"/>
        <v>April</v>
      </c>
      <c r="H237">
        <f t="shared" si="41"/>
        <v>2023</v>
      </c>
      <c r="I237" t="str">
        <f t="shared" si="42"/>
        <v>2023-Q2</v>
      </c>
      <c r="J237" t="s">
        <v>21</v>
      </c>
      <c r="K237" t="s">
        <v>7402</v>
      </c>
      <c r="L237" t="s">
        <v>6298</v>
      </c>
      <c r="M237" t="s">
        <v>47</v>
      </c>
      <c r="N237" t="s">
        <v>25</v>
      </c>
      <c r="O237" t="s">
        <v>37</v>
      </c>
      <c r="P237" t="s">
        <v>38</v>
      </c>
      <c r="Q237" t="s">
        <v>66</v>
      </c>
      <c r="R237" t="s">
        <v>6299</v>
      </c>
      <c r="S237" t="s">
        <v>30</v>
      </c>
      <c r="T237" t="s">
        <v>41</v>
      </c>
      <c r="U237" t="s">
        <v>3361</v>
      </c>
      <c r="V237" s="3">
        <v>506.96</v>
      </c>
      <c r="W237" s="4">
        <v>7</v>
      </c>
      <c r="X237" s="2">
        <v>0.2</v>
      </c>
      <c r="Y237" s="3">
        <v>45.7</v>
      </c>
      <c r="Z237" t="str">
        <f t="shared" si="38"/>
        <v>Normal</v>
      </c>
      <c r="AA237" t="str">
        <f t="shared" si="39"/>
        <v>High</v>
      </c>
      <c r="AB237" t="str">
        <f t="shared" si="43"/>
        <v>Low Profit</v>
      </c>
      <c r="AC237" s="3">
        <f t="shared" si="44"/>
        <v>9.0145179106832896E-2</v>
      </c>
      <c r="AD237" s="3">
        <f t="shared" si="45"/>
        <v>72.42285714285714</v>
      </c>
      <c r="AE237" s="3">
        <f t="shared" si="46"/>
        <v>6.5285714285714294</v>
      </c>
      <c r="AF237" t="str">
        <f t="shared" si="47"/>
        <v>Regular</v>
      </c>
    </row>
    <row r="238" spans="1:32" x14ac:dyDescent="0.25">
      <c r="A238" t="s">
        <v>5559</v>
      </c>
      <c r="B238" s="1">
        <v>45036</v>
      </c>
      <c r="C238" s="1">
        <v>45043</v>
      </c>
      <c r="D238" s="4">
        <f t="shared" si="36"/>
        <v>7</v>
      </c>
      <c r="E238" s="4" t="str">
        <f>TEXT(Table1[[#This Row],[Order_Date]],"dddd")</f>
        <v>Thursday</v>
      </c>
      <c r="F238" s="4">
        <f t="shared" si="37"/>
        <v>4</v>
      </c>
      <c r="G238" t="str">
        <f t="shared" si="40"/>
        <v>April</v>
      </c>
      <c r="H238">
        <f t="shared" si="41"/>
        <v>2023</v>
      </c>
      <c r="I238" t="str">
        <f t="shared" si="42"/>
        <v>2023-Q2</v>
      </c>
      <c r="J238" t="s">
        <v>44</v>
      </c>
      <c r="K238" t="s">
        <v>5560</v>
      </c>
      <c r="L238" t="s">
        <v>5561</v>
      </c>
      <c r="M238" t="s">
        <v>24</v>
      </c>
      <c r="N238" t="s">
        <v>25</v>
      </c>
      <c r="O238" t="s">
        <v>451</v>
      </c>
      <c r="P238" t="s">
        <v>38</v>
      </c>
      <c r="Q238" t="s">
        <v>28</v>
      </c>
      <c r="R238" t="s">
        <v>5562</v>
      </c>
      <c r="S238" t="s">
        <v>30</v>
      </c>
      <c r="T238" t="s">
        <v>41</v>
      </c>
      <c r="U238" t="s">
        <v>5563</v>
      </c>
      <c r="V238" s="3">
        <v>1086.81</v>
      </c>
      <c r="W238" s="4">
        <v>10</v>
      </c>
      <c r="X238" s="2">
        <v>0.3</v>
      </c>
      <c r="Y238" s="3">
        <v>-112.97</v>
      </c>
      <c r="Z238" t="str">
        <f t="shared" si="38"/>
        <v>Normal</v>
      </c>
      <c r="AA238" t="str">
        <f t="shared" si="39"/>
        <v>High</v>
      </c>
      <c r="AB238" t="str">
        <f t="shared" si="43"/>
        <v>Loss</v>
      </c>
      <c r="AC238" s="3">
        <f t="shared" si="44"/>
        <v>-0.10394641197633442</v>
      </c>
      <c r="AD238" s="3">
        <f t="shared" si="45"/>
        <v>108.681</v>
      </c>
      <c r="AE238" s="3">
        <f t="shared" si="46"/>
        <v>-11.297000000000001</v>
      </c>
      <c r="AF238" t="str">
        <f t="shared" si="47"/>
        <v>Regular</v>
      </c>
    </row>
    <row r="239" spans="1:32" x14ac:dyDescent="0.25">
      <c r="A239" t="s">
        <v>6802</v>
      </c>
      <c r="B239" s="1">
        <v>45037</v>
      </c>
      <c r="C239" s="1">
        <v>45043</v>
      </c>
      <c r="D239" s="4">
        <f t="shared" si="36"/>
        <v>6</v>
      </c>
      <c r="E239" s="4" t="str">
        <f>TEXT(Table1[[#This Row],[Order_Date]],"dddd")</f>
        <v>Friday</v>
      </c>
      <c r="F239" s="4">
        <f t="shared" si="37"/>
        <v>4</v>
      </c>
      <c r="G239" t="str">
        <f t="shared" si="40"/>
        <v>April</v>
      </c>
      <c r="H239">
        <f t="shared" si="41"/>
        <v>2023</v>
      </c>
      <c r="I239" t="str">
        <f t="shared" si="42"/>
        <v>2023-Q2</v>
      </c>
      <c r="J239" t="s">
        <v>44</v>
      </c>
      <c r="K239" t="s">
        <v>6803</v>
      </c>
      <c r="L239" t="s">
        <v>6804</v>
      </c>
      <c r="M239" t="s">
        <v>36</v>
      </c>
      <c r="N239" t="s">
        <v>25</v>
      </c>
      <c r="O239" t="s">
        <v>255</v>
      </c>
      <c r="P239" t="s">
        <v>143</v>
      </c>
      <c r="Q239" t="s">
        <v>87</v>
      </c>
      <c r="R239" t="s">
        <v>6805</v>
      </c>
      <c r="S239" t="s">
        <v>51</v>
      </c>
      <c r="T239" t="s">
        <v>127</v>
      </c>
      <c r="U239" t="s">
        <v>6806</v>
      </c>
      <c r="V239" s="3">
        <v>3035.09</v>
      </c>
      <c r="W239" s="4">
        <v>7</v>
      </c>
      <c r="X239" s="2">
        <v>0.4</v>
      </c>
      <c r="Y239" s="3">
        <v>-123.06</v>
      </c>
      <c r="Z239" t="str">
        <f t="shared" si="38"/>
        <v>Normal</v>
      </c>
      <c r="AA239" t="str">
        <f t="shared" si="39"/>
        <v>High</v>
      </c>
      <c r="AB239" t="str">
        <f t="shared" si="43"/>
        <v>Loss</v>
      </c>
      <c r="AC239" s="3">
        <f t="shared" si="44"/>
        <v>-4.0545749878916272E-2</v>
      </c>
      <c r="AD239" s="3">
        <f t="shared" si="45"/>
        <v>433.58428571428573</v>
      </c>
      <c r="AE239" s="3">
        <f t="shared" si="46"/>
        <v>-17.580000000000002</v>
      </c>
      <c r="AF239" t="str">
        <f t="shared" si="47"/>
        <v>Regular</v>
      </c>
    </row>
    <row r="240" spans="1:32" x14ac:dyDescent="0.25">
      <c r="A240" t="s">
        <v>947</v>
      </c>
      <c r="B240" s="1">
        <v>45037</v>
      </c>
      <c r="C240" s="1">
        <v>45038</v>
      </c>
      <c r="D240" s="4">
        <f t="shared" si="36"/>
        <v>1</v>
      </c>
      <c r="E240" s="4" t="str">
        <f>TEXT(Table1[[#This Row],[Order_Date]],"dddd")</f>
        <v>Friday</v>
      </c>
      <c r="F240" s="4">
        <f t="shared" si="37"/>
        <v>4</v>
      </c>
      <c r="G240" t="str">
        <f t="shared" si="40"/>
        <v>April</v>
      </c>
      <c r="H240">
        <f t="shared" si="41"/>
        <v>2023</v>
      </c>
      <c r="I240" t="str">
        <f t="shared" si="42"/>
        <v>2023-Q2</v>
      </c>
      <c r="J240" t="s">
        <v>44</v>
      </c>
      <c r="K240" t="s">
        <v>948</v>
      </c>
      <c r="L240" t="s">
        <v>949</v>
      </c>
      <c r="M240" t="s">
        <v>24</v>
      </c>
      <c r="N240" t="s">
        <v>25</v>
      </c>
      <c r="O240" t="s">
        <v>156</v>
      </c>
      <c r="P240" t="s">
        <v>143</v>
      </c>
      <c r="Q240" t="s">
        <v>28</v>
      </c>
      <c r="R240" t="s">
        <v>950</v>
      </c>
      <c r="S240" t="s">
        <v>30</v>
      </c>
      <c r="T240" t="s">
        <v>31</v>
      </c>
      <c r="U240" t="s">
        <v>951</v>
      </c>
      <c r="V240" s="3">
        <v>3526.61</v>
      </c>
      <c r="W240" s="4">
        <v>9</v>
      </c>
      <c r="X240" s="2">
        <v>0</v>
      </c>
      <c r="Y240" s="3">
        <v>-560.29</v>
      </c>
      <c r="Z240" t="str">
        <f t="shared" si="38"/>
        <v>Normal</v>
      </c>
      <c r="AA240" t="str">
        <f t="shared" si="39"/>
        <v>Low</v>
      </c>
      <c r="AB240" t="str">
        <f t="shared" si="43"/>
        <v>Loss</v>
      </c>
      <c r="AC240" s="3">
        <f t="shared" si="44"/>
        <v>-0.15887495356730683</v>
      </c>
      <c r="AD240" s="3">
        <f t="shared" si="45"/>
        <v>391.84555555555556</v>
      </c>
      <c r="AE240" s="3">
        <f t="shared" si="46"/>
        <v>-62.254444444444438</v>
      </c>
      <c r="AF240" t="str">
        <f t="shared" si="47"/>
        <v>Regular</v>
      </c>
    </row>
    <row r="241" spans="1:32" x14ac:dyDescent="0.25">
      <c r="A241" t="s">
        <v>1573</v>
      </c>
      <c r="B241" s="1">
        <v>45037</v>
      </c>
      <c r="C241" s="1">
        <v>45044</v>
      </c>
      <c r="D241" s="4">
        <f t="shared" si="36"/>
        <v>7</v>
      </c>
      <c r="E241" s="4" t="str">
        <f>TEXT(Table1[[#This Row],[Order_Date]],"dddd")</f>
        <v>Friday</v>
      </c>
      <c r="F241" s="4">
        <f t="shared" si="37"/>
        <v>4</v>
      </c>
      <c r="G241" t="str">
        <f t="shared" si="40"/>
        <v>April</v>
      </c>
      <c r="H241">
        <f t="shared" si="41"/>
        <v>2023</v>
      </c>
      <c r="I241" t="str">
        <f t="shared" si="42"/>
        <v>2023-Q2</v>
      </c>
      <c r="J241" t="s">
        <v>104</v>
      </c>
      <c r="K241" t="s">
        <v>1574</v>
      </c>
      <c r="L241" t="s">
        <v>1575</v>
      </c>
      <c r="M241" t="s">
        <v>36</v>
      </c>
      <c r="N241" t="s">
        <v>25</v>
      </c>
      <c r="O241" t="s">
        <v>162</v>
      </c>
      <c r="P241" t="s">
        <v>163</v>
      </c>
      <c r="Q241" t="s">
        <v>87</v>
      </c>
      <c r="R241" t="s">
        <v>1576</v>
      </c>
      <c r="S241" t="s">
        <v>59</v>
      </c>
      <c r="T241" t="s">
        <v>277</v>
      </c>
      <c r="U241" t="s">
        <v>1577</v>
      </c>
      <c r="V241" s="3">
        <v>1433.73</v>
      </c>
      <c r="W241" s="4">
        <v>5</v>
      </c>
      <c r="X241" s="2">
        <v>0.4</v>
      </c>
      <c r="Y241" s="3">
        <v>-214.51</v>
      </c>
      <c r="Z241" t="str">
        <f t="shared" si="38"/>
        <v>Normal</v>
      </c>
      <c r="AA241" t="str">
        <f t="shared" si="39"/>
        <v>High</v>
      </c>
      <c r="AB241" t="str">
        <f t="shared" si="43"/>
        <v>Loss</v>
      </c>
      <c r="AC241" s="3">
        <f t="shared" si="44"/>
        <v>-0.14961673397362124</v>
      </c>
      <c r="AD241" s="3">
        <f t="shared" si="45"/>
        <v>286.74599999999998</v>
      </c>
      <c r="AE241" s="3">
        <f t="shared" si="46"/>
        <v>-42.902000000000001</v>
      </c>
      <c r="AF241" t="str">
        <f t="shared" si="47"/>
        <v>Regular</v>
      </c>
    </row>
    <row r="242" spans="1:32" x14ac:dyDescent="0.25">
      <c r="A242" t="s">
        <v>3771</v>
      </c>
      <c r="B242" s="1">
        <v>45038</v>
      </c>
      <c r="C242" s="1">
        <v>45042</v>
      </c>
      <c r="D242" s="4">
        <f t="shared" si="36"/>
        <v>4</v>
      </c>
      <c r="E242" s="4" t="str">
        <f>TEXT(Table1[[#This Row],[Order_Date]],"dddd")</f>
        <v>Saturday</v>
      </c>
      <c r="F242" s="4">
        <f t="shared" si="37"/>
        <v>4</v>
      </c>
      <c r="G242" t="str">
        <f t="shared" si="40"/>
        <v>April</v>
      </c>
      <c r="H242">
        <f t="shared" si="41"/>
        <v>2023</v>
      </c>
      <c r="I242" t="str">
        <f t="shared" si="42"/>
        <v>2023-Q2</v>
      </c>
      <c r="J242" t="s">
        <v>104</v>
      </c>
      <c r="K242" t="s">
        <v>3772</v>
      </c>
      <c r="L242" t="s">
        <v>3773</v>
      </c>
      <c r="M242" t="s">
        <v>24</v>
      </c>
      <c r="N242" t="s">
        <v>25</v>
      </c>
      <c r="O242" t="s">
        <v>244</v>
      </c>
      <c r="P242" t="s">
        <v>163</v>
      </c>
      <c r="Q242" t="s">
        <v>66</v>
      </c>
      <c r="R242" t="s">
        <v>3774</v>
      </c>
      <c r="S242" t="s">
        <v>30</v>
      </c>
      <c r="T242" t="s">
        <v>82</v>
      </c>
      <c r="U242" t="s">
        <v>3775</v>
      </c>
      <c r="V242" s="3">
        <v>4586.1499999999996</v>
      </c>
      <c r="W242" s="4">
        <v>5</v>
      </c>
      <c r="X242" s="2">
        <v>0.4</v>
      </c>
      <c r="Y242" s="3">
        <v>-716.5</v>
      </c>
      <c r="Z242" t="str">
        <f t="shared" si="38"/>
        <v>Normal</v>
      </c>
      <c r="AA242" t="str">
        <f t="shared" si="39"/>
        <v>High</v>
      </c>
      <c r="AB242" t="str">
        <f t="shared" si="43"/>
        <v>Loss</v>
      </c>
      <c r="AC242" s="3">
        <f t="shared" si="44"/>
        <v>-0.15623126151565039</v>
      </c>
      <c r="AD242" s="3">
        <f t="shared" si="45"/>
        <v>917.2299999999999</v>
      </c>
      <c r="AE242" s="3">
        <f t="shared" si="46"/>
        <v>-143.30000000000001</v>
      </c>
      <c r="AF242" t="str">
        <f t="shared" si="47"/>
        <v>Regular</v>
      </c>
    </row>
    <row r="243" spans="1:32" x14ac:dyDescent="0.25">
      <c r="A243" t="s">
        <v>6673</v>
      </c>
      <c r="B243" s="1">
        <v>45039</v>
      </c>
      <c r="C243" s="1">
        <v>45048</v>
      </c>
      <c r="D243" s="4">
        <f t="shared" si="36"/>
        <v>9</v>
      </c>
      <c r="E243" s="4" t="str">
        <f>TEXT(Table1[[#This Row],[Order_Date]],"dddd")</f>
        <v>Sunday</v>
      </c>
      <c r="F243" s="4">
        <f t="shared" si="37"/>
        <v>4</v>
      </c>
      <c r="G243" t="str">
        <f t="shared" si="40"/>
        <v>April</v>
      </c>
      <c r="H243">
        <f t="shared" si="41"/>
        <v>2023</v>
      </c>
      <c r="I243" t="str">
        <f t="shared" si="42"/>
        <v>2023-Q2</v>
      </c>
      <c r="J243" t="s">
        <v>21</v>
      </c>
      <c r="K243" t="s">
        <v>6674</v>
      </c>
      <c r="L243" t="s">
        <v>6675</v>
      </c>
      <c r="M243" t="s">
        <v>36</v>
      </c>
      <c r="N243" t="s">
        <v>25</v>
      </c>
      <c r="O243" t="s">
        <v>511</v>
      </c>
      <c r="P243" t="s">
        <v>120</v>
      </c>
      <c r="Q243" t="s">
        <v>66</v>
      </c>
      <c r="R243" t="s">
        <v>6676</v>
      </c>
      <c r="S243" t="s">
        <v>30</v>
      </c>
      <c r="T243" t="s">
        <v>82</v>
      </c>
      <c r="U243" t="s">
        <v>6677</v>
      </c>
      <c r="V243" s="3">
        <v>596.54</v>
      </c>
      <c r="W243" s="4">
        <v>7</v>
      </c>
      <c r="X243" s="2">
        <v>0.1</v>
      </c>
      <c r="Y243" s="3">
        <v>44.98</v>
      </c>
      <c r="Z243" t="str">
        <f t="shared" si="38"/>
        <v>Normal</v>
      </c>
      <c r="AA243" t="str">
        <f t="shared" si="39"/>
        <v>Medium</v>
      </c>
      <c r="AB243" t="str">
        <f t="shared" si="43"/>
        <v>Low Profit</v>
      </c>
      <c r="AC243" s="3">
        <f t="shared" si="44"/>
        <v>7.5401481878834609E-2</v>
      </c>
      <c r="AD243" s="3">
        <f t="shared" si="45"/>
        <v>85.22</v>
      </c>
      <c r="AE243" s="3">
        <f t="shared" si="46"/>
        <v>6.4257142857142853</v>
      </c>
      <c r="AF243" t="str">
        <f t="shared" si="47"/>
        <v>Regular</v>
      </c>
    </row>
    <row r="244" spans="1:32" x14ac:dyDescent="0.25">
      <c r="A244" t="s">
        <v>2030</v>
      </c>
      <c r="B244" s="1">
        <v>45039</v>
      </c>
      <c r="C244" s="1">
        <v>45049</v>
      </c>
      <c r="D244" s="4">
        <f t="shared" si="36"/>
        <v>10</v>
      </c>
      <c r="E244" s="4" t="str">
        <f>TEXT(Table1[[#This Row],[Order_Date]],"dddd")</f>
        <v>Sunday</v>
      </c>
      <c r="F244" s="4">
        <f t="shared" si="37"/>
        <v>4</v>
      </c>
      <c r="G244" t="str">
        <f t="shared" si="40"/>
        <v>April</v>
      </c>
      <c r="H244">
        <f t="shared" si="41"/>
        <v>2023</v>
      </c>
      <c r="I244" t="str">
        <f t="shared" si="42"/>
        <v>2023-Q2</v>
      </c>
      <c r="J244" t="s">
        <v>55</v>
      </c>
      <c r="K244" t="s">
        <v>2031</v>
      </c>
      <c r="L244" t="s">
        <v>2032</v>
      </c>
      <c r="M244" t="s">
        <v>24</v>
      </c>
      <c r="N244" t="s">
        <v>25</v>
      </c>
      <c r="O244" t="s">
        <v>255</v>
      </c>
      <c r="P244" t="s">
        <v>143</v>
      </c>
      <c r="Q244" t="s">
        <v>66</v>
      </c>
      <c r="R244" t="s">
        <v>2033</v>
      </c>
      <c r="S244" t="s">
        <v>59</v>
      </c>
      <c r="T244" t="s">
        <v>60</v>
      </c>
      <c r="U244" t="s">
        <v>2034</v>
      </c>
      <c r="V244" s="3">
        <v>3140.15</v>
      </c>
      <c r="W244" s="4">
        <v>4</v>
      </c>
      <c r="X244" s="2">
        <v>0.1</v>
      </c>
      <c r="Y244" s="3">
        <v>292.57</v>
      </c>
      <c r="Z244" t="str">
        <f t="shared" si="38"/>
        <v>Normal</v>
      </c>
      <c r="AA244" t="str">
        <f t="shared" si="39"/>
        <v>Medium</v>
      </c>
      <c r="AB244" t="str">
        <f t="shared" si="43"/>
        <v>Low Profit</v>
      </c>
      <c r="AC244" s="3">
        <f t="shared" si="44"/>
        <v>9.3170708405649408E-2</v>
      </c>
      <c r="AD244" s="3">
        <f t="shared" si="45"/>
        <v>785.03750000000002</v>
      </c>
      <c r="AE244" s="3">
        <f t="shared" si="46"/>
        <v>73.142499999999998</v>
      </c>
      <c r="AF244" t="str">
        <f t="shared" si="47"/>
        <v>Regular</v>
      </c>
    </row>
    <row r="245" spans="1:32" x14ac:dyDescent="0.25">
      <c r="A245" t="s">
        <v>603</v>
      </c>
      <c r="B245" s="1">
        <v>45039</v>
      </c>
      <c r="C245" s="1">
        <v>45041</v>
      </c>
      <c r="D245" s="4">
        <f t="shared" si="36"/>
        <v>2</v>
      </c>
      <c r="E245" s="4" t="str">
        <f>TEXT(Table1[[#This Row],[Order_Date]],"dddd")</f>
        <v>Sunday</v>
      </c>
      <c r="F245" s="4">
        <f t="shared" si="37"/>
        <v>4</v>
      </c>
      <c r="G245" t="str">
        <f t="shared" si="40"/>
        <v>April</v>
      </c>
      <c r="H245">
        <f t="shared" si="41"/>
        <v>2023</v>
      </c>
      <c r="I245" t="str">
        <f t="shared" si="42"/>
        <v>2023-Q2</v>
      </c>
      <c r="J245" t="s">
        <v>55</v>
      </c>
      <c r="K245" t="s">
        <v>604</v>
      </c>
      <c r="L245" t="s">
        <v>605</v>
      </c>
      <c r="M245" t="s">
        <v>24</v>
      </c>
      <c r="N245" t="s">
        <v>25</v>
      </c>
      <c r="O245" t="s">
        <v>201</v>
      </c>
      <c r="P245" t="s">
        <v>113</v>
      </c>
      <c r="Q245" t="s">
        <v>39</v>
      </c>
      <c r="R245" t="s">
        <v>606</v>
      </c>
      <c r="S245" t="s">
        <v>51</v>
      </c>
      <c r="T245" t="s">
        <v>108</v>
      </c>
      <c r="U245" t="s">
        <v>607</v>
      </c>
      <c r="V245" s="3">
        <v>3066.12</v>
      </c>
      <c r="W245" s="4">
        <v>4</v>
      </c>
      <c r="X245" s="2">
        <v>0.3</v>
      </c>
      <c r="Y245" s="3">
        <v>-244.74</v>
      </c>
      <c r="Z245" t="str">
        <f t="shared" si="38"/>
        <v>Normal</v>
      </c>
      <c r="AA245" t="str">
        <f t="shared" si="39"/>
        <v>High</v>
      </c>
      <c r="AB245" t="str">
        <f t="shared" si="43"/>
        <v>Loss</v>
      </c>
      <c r="AC245" s="3">
        <f t="shared" si="44"/>
        <v>-7.982075065555165E-2</v>
      </c>
      <c r="AD245" s="3">
        <f t="shared" si="45"/>
        <v>766.53</v>
      </c>
      <c r="AE245" s="3">
        <f t="shared" si="46"/>
        <v>-61.185000000000002</v>
      </c>
      <c r="AF245" t="str">
        <f t="shared" si="47"/>
        <v>Regular</v>
      </c>
    </row>
    <row r="246" spans="1:32" x14ac:dyDescent="0.25">
      <c r="A246" t="s">
        <v>2040</v>
      </c>
      <c r="B246" s="1">
        <v>45039</v>
      </c>
      <c r="C246" s="1">
        <v>45047</v>
      </c>
      <c r="D246" s="4">
        <f t="shared" si="36"/>
        <v>8</v>
      </c>
      <c r="E246" s="4" t="str">
        <f>TEXT(Table1[[#This Row],[Order_Date]],"dddd")</f>
        <v>Sunday</v>
      </c>
      <c r="F246" s="4">
        <f t="shared" si="37"/>
        <v>4</v>
      </c>
      <c r="G246" t="str">
        <f t="shared" si="40"/>
        <v>April</v>
      </c>
      <c r="H246">
        <f t="shared" si="41"/>
        <v>2023</v>
      </c>
      <c r="I246" t="str">
        <f t="shared" si="42"/>
        <v>2023-Q2</v>
      </c>
      <c r="J246" t="s">
        <v>44</v>
      </c>
      <c r="K246" t="s">
        <v>2041</v>
      </c>
      <c r="L246" t="s">
        <v>2042</v>
      </c>
      <c r="M246" t="s">
        <v>47</v>
      </c>
      <c r="N246" t="s">
        <v>25</v>
      </c>
      <c r="O246" t="s">
        <v>451</v>
      </c>
      <c r="P246" t="s">
        <v>38</v>
      </c>
      <c r="Q246" t="s">
        <v>39</v>
      </c>
      <c r="R246" t="s">
        <v>2043</v>
      </c>
      <c r="S246" t="s">
        <v>59</v>
      </c>
      <c r="T246" t="s">
        <v>277</v>
      </c>
      <c r="U246" t="s">
        <v>2044</v>
      </c>
      <c r="V246" s="3">
        <v>2409.9899999999998</v>
      </c>
      <c r="W246" s="4">
        <v>2</v>
      </c>
      <c r="X246" s="2">
        <v>0.1</v>
      </c>
      <c r="Y246" s="3">
        <v>-346.6</v>
      </c>
      <c r="Z246" t="str">
        <f t="shared" si="38"/>
        <v>Normal</v>
      </c>
      <c r="AA246" t="str">
        <f t="shared" si="39"/>
        <v>Medium</v>
      </c>
      <c r="AB246" t="str">
        <f t="shared" si="43"/>
        <v>Loss</v>
      </c>
      <c r="AC246" s="3">
        <f t="shared" si="44"/>
        <v>-0.14381802414117903</v>
      </c>
      <c r="AD246" s="3">
        <f t="shared" si="45"/>
        <v>1204.9949999999999</v>
      </c>
      <c r="AE246" s="3">
        <f t="shared" si="46"/>
        <v>-173.3</v>
      </c>
      <c r="AF246" t="str">
        <f t="shared" si="47"/>
        <v>Regular</v>
      </c>
    </row>
    <row r="247" spans="1:32" x14ac:dyDescent="0.25">
      <c r="A247" t="s">
        <v>443</v>
      </c>
      <c r="B247" s="1">
        <v>45040</v>
      </c>
      <c r="C247" s="1">
        <v>45046</v>
      </c>
      <c r="D247" s="4">
        <f t="shared" si="36"/>
        <v>6</v>
      </c>
      <c r="E247" s="4" t="str">
        <f>TEXT(Table1[[#This Row],[Order_Date]],"dddd")</f>
        <v>Monday</v>
      </c>
      <c r="F247" s="4">
        <f t="shared" si="37"/>
        <v>4</v>
      </c>
      <c r="G247" t="str">
        <f t="shared" si="40"/>
        <v>April</v>
      </c>
      <c r="H247">
        <f t="shared" si="41"/>
        <v>2023</v>
      </c>
      <c r="I247" t="str">
        <f t="shared" si="42"/>
        <v>2023-Q2</v>
      </c>
      <c r="J247" t="s">
        <v>104</v>
      </c>
      <c r="K247" t="s">
        <v>444</v>
      </c>
      <c r="L247" t="s">
        <v>445</v>
      </c>
      <c r="M247" t="s">
        <v>24</v>
      </c>
      <c r="N247" t="s">
        <v>25</v>
      </c>
      <c r="O247" t="s">
        <v>73</v>
      </c>
      <c r="P247" t="s">
        <v>74</v>
      </c>
      <c r="Q247" t="s">
        <v>66</v>
      </c>
      <c r="R247" t="s">
        <v>446</v>
      </c>
      <c r="S247" t="s">
        <v>59</v>
      </c>
      <c r="T247" t="s">
        <v>277</v>
      </c>
      <c r="U247" t="s">
        <v>447</v>
      </c>
      <c r="V247" s="3">
        <v>2777.21</v>
      </c>
      <c r="W247" s="4">
        <v>3</v>
      </c>
      <c r="X247" s="2">
        <v>0.3</v>
      </c>
      <c r="Y247" s="3">
        <v>-119.6</v>
      </c>
      <c r="Z247" t="str">
        <f t="shared" si="38"/>
        <v>Normal</v>
      </c>
      <c r="AA247" t="str">
        <f t="shared" si="39"/>
        <v>High</v>
      </c>
      <c r="AB247" t="str">
        <f t="shared" si="43"/>
        <v>Loss</v>
      </c>
      <c r="AC247" s="3">
        <f t="shared" si="44"/>
        <v>-4.3064802445619881E-2</v>
      </c>
      <c r="AD247" s="3">
        <f t="shared" si="45"/>
        <v>925.73666666666668</v>
      </c>
      <c r="AE247" s="3">
        <f t="shared" si="46"/>
        <v>-39.866666666666667</v>
      </c>
      <c r="AF247" t="str">
        <f t="shared" si="47"/>
        <v>Regular</v>
      </c>
    </row>
    <row r="248" spans="1:32" x14ac:dyDescent="0.25">
      <c r="A248" t="s">
        <v>3103</v>
      </c>
      <c r="B248" s="1">
        <v>45040</v>
      </c>
      <c r="C248" s="1">
        <v>45042</v>
      </c>
      <c r="D248" s="4">
        <f t="shared" si="36"/>
        <v>2</v>
      </c>
      <c r="E248" s="4" t="str">
        <f>TEXT(Table1[[#This Row],[Order_Date]],"dddd")</f>
        <v>Monday</v>
      </c>
      <c r="F248" s="4">
        <f t="shared" si="37"/>
        <v>4</v>
      </c>
      <c r="G248" t="str">
        <f t="shared" si="40"/>
        <v>April</v>
      </c>
      <c r="H248">
        <f t="shared" si="41"/>
        <v>2023</v>
      </c>
      <c r="I248" t="str">
        <f t="shared" si="42"/>
        <v>2023-Q2</v>
      </c>
      <c r="J248" t="s">
        <v>44</v>
      </c>
      <c r="K248" t="s">
        <v>3104</v>
      </c>
      <c r="L248" t="s">
        <v>3105</v>
      </c>
      <c r="M248" t="s">
        <v>24</v>
      </c>
      <c r="N248" t="s">
        <v>25</v>
      </c>
      <c r="O248" t="s">
        <v>149</v>
      </c>
      <c r="P248" t="s">
        <v>113</v>
      </c>
      <c r="Q248" t="s">
        <v>39</v>
      </c>
      <c r="R248" t="s">
        <v>3106</v>
      </c>
      <c r="S248" t="s">
        <v>30</v>
      </c>
      <c r="T248" t="s">
        <v>31</v>
      </c>
      <c r="U248" t="s">
        <v>2582</v>
      </c>
      <c r="V248" s="3">
        <v>2646.32</v>
      </c>
      <c r="W248" s="4">
        <v>2</v>
      </c>
      <c r="X248" s="2">
        <v>0.3</v>
      </c>
      <c r="Y248" s="3">
        <v>-174.92</v>
      </c>
      <c r="Z248" t="str">
        <f t="shared" si="38"/>
        <v>Normal</v>
      </c>
      <c r="AA248" t="str">
        <f t="shared" si="39"/>
        <v>High</v>
      </c>
      <c r="AB248" t="str">
        <f t="shared" si="43"/>
        <v>Loss</v>
      </c>
      <c r="AC248" s="3">
        <f t="shared" si="44"/>
        <v>-6.6099337948547401E-2</v>
      </c>
      <c r="AD248" s="3">
        <f t="shared" si="45"/>
        <v>1323.16</v>
      </c>
      <c r="AE248" s="3">
        <f t="shared" si="46"/>
        <v>-87.46</v>
      </c>
      <c r="AF248" t="str">
        <f t="shared" si="47"/>
        <v>Regular</v>
      </c>
    </row>
    <row r="249" spans="1:32" x14ac:dyDescent="0.25">
      <c r="A249" t="s">
        <v>674</v>
      </c>
      <c r="B249" s="1">
        <v>45041</v>
      </c>
      <c r="C249" s="1">
        <v>45048</v>
      </c>
      <c r="D249" s="4">
        <f t="shared" si="36"/>
        <v>7</v>
      </c>
      <c r="E249" s="4" t="str">
        <f>TEXT(Table1[[#This Row],[Order_Date]],"dddd")</f>
        <v>Tuesday</v>
      </c>
      <c r="F249" s="4">
        <f t="shared" si="37"/>
        <v>4</v>
      </c>
      <c r="G249" t="str">
        <f t="shared" si="40"/>
        <v>April</v>
      </c>
      <c r="H249">
        <f t="shared" si="41"/>
        <v>2023</v>
      </c>
      <c r="I249" t="str">
        <f t="shared" si="42"/>
        <v>2023-Q2</v>
      </c>
      <c r="J249" t="s">
        <v>104</v>
      </c>
      <c r="K249" t="s">
        <v>675</v>
      </c>
      <c r="L249" t="s">
        <v>676</v>
      </c>
      <c r="M249" t="s">
        <v>24</v>
      </c>
      <c r="N249" t="s">
        <v>25</v>
      </c>
      <c r="O249" t="s">
        <v>611</v>
      </c>
      <c r="P249" t="s">
        <v>74</v>
      </c>
      <c r="Q249" t="s">
        <v>66</v>
      </c>
      <c r="R249" t="s">
        <v>677</v>
      </c>
      <c r="S249" t="s">
        <v>59</v>
      </c>
      <c r="T249" t="s">
        <v>277</v>
      </c>
      <c r="U249" t="s">
        <v>678</v>
      </c>
      <c r="V249" s="3">
        <v>340.4</v>
      </c>
      <c r="W249" s="4">
        <v>3</v>
      </c>
      <c r="X249" s="2">
        <v>0.2</v>
      </c>
      <c r="Y249" s="3">
        <v>75.010000000000005</v>
      </c>
      <c r="Z249" t="str">
        <f t="shared" si="38"/>
        <v>Normal</v>
      </c>
      <c r="AA249" t="str">
        <f t="shared" si="39"/>
        <v>High</v>
      </c>
      <c r="AB249" t="str">
        <f t="shared" si="43"/>
        <v>Low Profit</v>
      </c>
      <c r="AC249" s="3">
        <f t="shared" si="44"/>
        <v>0.22035840188014105</v>
      </c>
      <c r="AD249" s="3">
        <f t="shared" si="45"/>
        <v>113.46666666666665</v>
      </c>
      <c r="AE249" s="3">
        <f t="shared" si="46"/>
        <v>25.003333333333334</v>
      </c>
      <c r="AF249" t="str">
        <f t="shared" si="47"/>
        <v>Regular</v>
      </c>
    </row>
    <row r="250" spans="1:32" x14ac:dyDescent="0.25">
      <c r="A250" t="s">
        <v>424</v>
      </c>
      <c r="B250" s="1">
        <v>45043</v>
      </c>
      <c r="C250" s="1">
        <v>45046</v>
      </c>
      <c r="D250" s="4">
        <f t="shared" si="36"/>
        <v>3</v>
      </c>
      <c r="E250" s="4" t="str">
        <f>TEXT(Table1[[#This Row],[Order_Date]],"dddd")</f>
        <v>Thursday</v>
      </c>
      <c r="F250" s="4">
        <f t="shared" si="37"/>
        <v>4</v>
      </c>
      <c r="G250" t="str">
        <f t="shared" si="40"/>
        <v>April</v>
      </c>
      <c r="H250">
        <f t="shared" si="41"/>
        <v>2023</v>
      </c>
      <c r="I250" t="str">
        <f t="shared" si="42"/>
        <v>2023-Q2</v>
      </c>
      <c r="J250" t="s">
        <v>44</v>
      </c>
      <c r="K250" t="s">
        <v>425</v>
      </c>
      <c r="L250" t="s">
        <v>426</v>
      </c>
      <c r="M250" t="s">
        <v>47</v>
      </c>
      <c r="N250" t="s">
        <v>25</v>
      </c>
      <c r="O250" t="s">
        <v>80</v>
      </c>
      <c r="P250" t="s">
        <v>49</v>
      </c>
      <c r="Q250" t="s">
        <v>87</v>
      </c>
      <c r="R250" t="s">
        <v>427</v>
      </c>
      <c r="S250" t="s">
        <v>30</v>
      </c>
      <c r="T250" t="s">
        <v>41</v>
      </c>
      <c r="U250" t="s">
        <v>428</v>
      </c>
      <c r="V250" s="3">
        <v>1116.6300000000001</v>
      </c>
      <c r="W250" s="4">
        <v>2</v>
      </c>
      <c r="X250" s="2">
        <v>0.4</v>
      </c>
      <c r="Y250" s="3">
        <v>-202.25</v>
      </c>
      <c r="Z250" t="str">
        <f t="shared" si="38"/>
        <v>Normal</v>
      </c>
      <c r="AA250" t="str">
        <f t="shared" si="39"/>
        <v>High</v>
      </c>
      <c r="AB250" t="str">
        <f t="shared" si="43"/>
        <v>Loss</v>
      </c>
      <c r="AC250" s="3">
        <f t="shared" si="44"/>
        <v>-0.18112535038463948</v>
      </c>
      <c r="AD250" s="3">
        <f t="shared" si="45"/>
        <v>558.31500000000005</v>
      </c>
      <c r="AE250" s="3">
        <f t="shared" si="46"/>
        <v>-101.125</v>
      </c>
      <c r="AF250" t="str">
        <f t="shared" si="47"/>
        <v>Regular</v>
      </c>
    </row>
    <row r="251" spans="1:32" x14ac:dyDescent="0.25">
      <c r="A251" t="s">
        <v>263</v>
      </c>
      <c r="B251" s="1">
        <v>45043</v>
      </c>
      <c r="C251" s="1">
        <v>45044</v>
      </c>
      <c r="D251" s="4">
        <f t="shared" si="36"/>
        <v>1</v>
      </c>
      <c r="E251" s="4" t="str">
        <f>TEXT(Table1[[#This Row],[Order_Date]],"dddd")</f>
        <v>Thursday</v>
      </c>
      <c r="F251" s="4">
        <f t="shared" si="37"/>
        <v>4</v>
      </c>
      <c r="G251" t="str">
        <f t="shared" si="40"/>
        <v>April</v>
      </c>
      <c r="H251">
        <f t="shared" si="41"/>
        <v>2023</v>
      </c>
      <c r="I251" t="str">
        <f t="shared" si="42"/>
        <v>2023-Q2</v>
      </c>
      <c r="J251" t="s">
        <v>104</v>
      </c>
      <c r="K251" t="s">
        <v>264</v>
      </c>
      <c r="L251" t="s">
        <v>265</v>
      </c>
      <c r="M251" t="s">
        <v>36</v>
      </c>
      <c r="N251" t="s">
        <v>25</v>
      </c>
      <c r="O251" t="s">
        <v>244</v>
      </c>
      <c r="P251" t="s">
        <v>163</v>
      </c>
      <c r="Q251" t="s">
        <v>28</v>
      </c>
      <c r="R251" t="s">
        <v>266</v>
      </c>
      <c r="S251" t="s">
        <v>30</v>
      </c>
      <c r="T251" t="s">
        <v>68</v>
      </c>
      <c r="U251" t="s">
        <v>267</v>
      </c>
      <c r="V251" s="3">
        <v>1794.06</v>
      </c>
      <c r="W251" s="4">
        <v>8</v>
      </c>
      <c r="X251" s="2">
        <v>0.4</v>
      </c>
      <c r="Y251" s="3">
        <v>-118.13</v>
      </c>
      <c r="Z251" t="str">
        <f t="shared" si="38"/>
        <v>Normal</v>
      </c>
      <c r="AA251" t="str">
        <f t="shared" si="39"/>
        <v>High</v>
      </c>
      <c r="AB251" t="str">
        <f t="shared" si="43"/>
        <v>Loss</v>
      </c>
      <c r="AC251" s="3">
        <f t="shared" si="44"/>
        <v>-6.5845066497218593E-2</v>
      </c>
      <c r="AD251" s="3">
        <f t="shared" si="45"/>
        <v>224.25749999999999</v>
      </c>
      <c r="AE251" s="3">
        <f t="shared" si="46"/>
        <v>-14.766249999999999</v>
      </c>
      <c r="AF251" t="str">
        <f t="shared" si="47"/>
        <v>Regular</v>
      </c>
    </row>
    <row r="252" spans="1:32" x14ac:dyDescent="0.25">
      <c r="A252" t="s">
        <v>3038</v>
      </c>
      <c r="B252" s="1">
        <v>45044</v>
      </c>
      <c r="C252" s="1">
        <v>45054</v>
      </c>
      <c r="D252" s="4">
        <f t="shared" si="36"/>
        <v>10</v>
      </c>
      <c r="E252" s="4" t="str">
        <f>TEXT(Table1[[#This Row],[Order_Date]],"dddd")</f>
        <v>Friday</v>
      </c>
      <c r="F252" s="4">
        <f t="shared" si="37"/>
        <v>4</v>
      </c>
      <c r="G252" t="str">
        <f t="shared" si="40"/>
        <v>April</v>
      </c>
      <c r="H252">
        <f t="shared" si="41"/>
        <v>2023</v>
      </c>
      <c r="I252" t="str">
        <f t="shared" si="42"/>
        <v>2023-Q2</v>
      </c>
      <c r="J252" t="s">
        <v>44</v>
      </c>
      <c r="K252" t="s">
        <v>3039</v>
      </c>
      <c r="L252" t="s">
        <v>3040</v>
      </c>
      <c r="M252" t="s">
        <v>24</v>
      </c>
      <c r="N252" t="s">
        <v>25</v>
      </c>
      <c r="O252" t="s">
        <v>80</v>
      </c>
      <c r="P252" t="s">
        <v>49</v>
      </c>
      <c r="Q252" t="s">
        <v>39</v>
      </c>
      <c r="R252" t="s">
        <v>3041</v>
      </c>
      <c r="S252" t="s">
        <v>30</v>
      </c>
      <c r="T252" t="s">
        <v>41</v>
      </c>
      <c r="U252" t="s">
        <v>3042</v>
      </c>
      <c r="V252" s="3">
        <v>4948.9799999999996</v>
      </c>
      <c r="W252" s="4">
        <v>9</v>
      </c>
      <c r="X252" s="2">
        <v>0.3</v>
      </c>
      <c r="Y252" s="3">
        <v>787.95</v>
      </c>
      <c r="Z252" t="str">
        <f t="shared" si="38"/>
        <v>Normal</v>
      </c>
      <c r="AA252" t="str">
        <f t="shared" si="39"/>
        <v>High</v>
      </c>
      <c r="AB252" t="str">
        <f t="shared" si="43"/>
        <v>High Profit</v>
      </c>
      <c r="AC252" s="3">
        <f t="shared" si="44"/>
        <v>0.15921462604415457</v>
      </c>
      <c r="AD252" s="3">
        <f t="shared" si="45"/>
        <v>549.88666666666666</v>
      </c>
      <c r="AE252" s="3">
        <f t="shared" si="46"/>
        <v>87.550000000000011</v>
      </c>
      <c r="AF252" t="str">
        <f t="shared" si="47"/>
        <v>Regular</v>
      </c>
    </row>
    <row r="253" spans="1:32" x14ac:dyDescent="0.25">
      <c r="A253" t="s">
        <v>2929</v>
      </c>
      <c r="B253" s="1">
        <v>45045</v>
      </c>
      <c r="C253" s="1">
        <v>45048</v>
      </c>
      <c r="D253" s="4">
        <f t="shared" si="36"/>
        <v>3</v>
      </c>
      <c r="E253" s="4" t="str">
        <f>TEXT(Table1[[#This Row],[Order_Date]],"dddd")</f>
        <v>Saturday</v>
      </c>
      <c r="F253" s="4">
        <f t="shared" si="37"/>
        <v>4</v>
      </c>
      <c r="G253" t="str">
        <f t="shared" si="40"/>
        <v>April</v>
      </c>
      <c r="H253">
        <f t="shared" si="41"/>
        <v>2023</v>
      </c>
      <c r="I253" t="str">
        <f t="shared" si="42"/>
        <v>2023-Q2</v>
      </c>
      <c r="J253" t="s">
        <v>55</v>
      </c>
      <c r="K253" t="s">
        <v>2930</v>
      </c>
      <c r="L253" t="s">
        <v>2931</v>
      </c>
      <c r="M253" t="s">
        <v>24</v>
      </c>
      <c r="N253" t="s">
        <v>25</v>
      </c>
      <c r="O253" t="s">
        <v>179</v>
      </c>
      <c r="P253" t="s">
        <v>27</v>
      </c>
      <c r="Q253" t="s">
        <v>66</v>
      </c>
      <c r="R253" t="s">
        <v>2932</v>
      </c>
      <c r="S253" t="s">
        <v>30</v>
      </c>
      <c r="T253" t="s">
        <v>82</v>
      </c>
      <c r="U253" t="s">
        <v>2933</v>
      </c>
      <c r="V253" s="3">
        <v>1960.06</v>
      </c>
      <c r="W253" s="4">
        <v>6</v>
      </c>
      <c r="X253" s="2">
        <v>0</v>
      </c>
      <c r="Y253" s="3">
        <v>-344.08</v>
      </c>
      <c r="Z253" t="str">
        <f t="shared" si="38"/>
        <v>Normal</v>
      </c>
      <c r="AA253" t="str">
        <f t="shared" si="39"/>
        <v>Low</v>
      </c>
      <c r="AB253" t="str">
        <f t="shared" si="43"/>
        <v>Loss</v>
      </c>
      <c r="AC253" s="3">
        <f t="shared" si="44"/>
        <v>-0.17554564656183994</v>
      </c>
      <c r="AD253" s="3">
        <f t="shared" si="45"/>
        <v>326.67666666666668</v>
      </c>
      <c r="AE253" s="3">
        <f t="shared" si="46"/>
        <v>-57.346666666666664</v>
      </c>
      <c r="AF253" t="str">
        <f t="shared" si="47"/>
        <v>Regular</v>
      </c>
    </row>
    <row r="254" spans="1:32" x14ac:dyDescent="0.25">
      <c r="A254" t="s">
        <v>5632</v>
      </c>
      <c r="B254" s="1">
        <v>45046</v>
      </c>
      <c r="C254" s="1">
        <v>45050</v>
      </c>
      <c r="D254" s="4">
        <f t="shared" si="36"/>
        <v>4</v>
      </c>
      <c r="E254" s="4" t="str">
        <f>TEXT(Table1[[#This Row],[Order_Date]],"dddd")</f>
        <v>Sunday</v>
      </c>
      <c r="F254" s="4">
        <f t="shared" si="37"/>
        <v>4</v>
      </c>
      <c r="G254" t="str">
        <f t="shared" si="40"/>
        <v>April</v>
      </c>
      <c r="H254">
        <f t="shared" si="41"/>
        <v>2023</v>
      </c>
      <c r="I254" t="str">
        <f t="shared" si="42"/>
        <v>2023-Q2</v>
      </c>
      <c r="J254" t="s">
        <v>21</v>
      </c>
      <c r="K254" t="s">
        <v>5633</v>
      </c>
      <c r="L254" t="s">
        <v>5634</v>
      </c>
      <c r="M254" t="s">
        <v>24</v>
      </c>
      <c r="N254" t="s">
        <v>25</v>
      </c>
      <c r="O254" t="s">
        <v>37</v>
      </c>
      <c r="P254" t="s">
        <v>38</v>
      </c>
      <c r="Q254" t="s">
        <v>66</v>
      </c>
      <c r="R254" t="s">
        <v>5635</v>
      </c>
      <c r="S254" t="s">
        <v>51</v>
      </c>
      <c r="T254" t="s">
        <v>94</v>
      </c>
      <c r="U254" t="s">
        <v>5636</v>
      </c>
      <c r="V254" s="3">
        <v>2625.66</v>
      </c>
      <c r="W254" s="4">
        <v>8</v>
      </c>
      <c r="X254" s="2">
        <v>0</v>
      </c>
      <c r="Y254" s="3">
        <v>645.29999999999995</v>
      </c>
      <c r="Z254" t="str">
        <f t="shared" si="38"/>
        <v>Normal</v>
      </c>
      <c r="AA254" t="str">
        <f t="shared" si="39"/>
        <v>Low</v>
      </c>
      <c r="AB254" t="str">
        <f t="shared" si="43"/>
        <v>High Profit</v>
      </c>
      <c r="AC254" s="3">
        <f t="shared" si="44"/>
        <v>0.24576677863851373</v>
      </c>
      <c r="AD254" s="3">
        <f t="shared" si="45"/>
        <v>328.20749999999998</v>
      </c>
      <c r="AE254" s="3">
        <f t="shared" si="46"/>
        <v>80.662499999999994</v>
      </c>
      <c r="AF254" t="str">
        <f t="shared" si="47"/>
        <v>Regular</v>
      </c>
    </row>
    <row r="255" spans="1:32" x14ac:dyDescent="0.25">
      <c r="A255" t="s">
        <v>6319</v>
      </c>
      <c r="B255" s="1">
        <v>45046</v>
      </c>
      <c r="C255" s="1">
        <v>45056</v>
      </c>
      <c r="D255" s="4">
        <f t="shared" si="36"/>
        <v>10</v>
      </c>
      <c r="E255" s="4" t="str">
        <f>TEXT(Table1[[#This Row],[Order_Date]],"dddd")</f>
        <v>Sunday</v>
      </c>
      <c r="F255" s="4">
        <f t="shared" si="37"/>
        <v>4</v>
      </c>
      <c r="G255" t="str">
        <f t="shared" si="40"/>
        <v>April</v>
      </c>
      <c r="H255">
        <f t="shared" si="41"/>
        <v>2023</v>
      </c>
      <c r="I255" t="str">
        <f t="shared" si="42"/>
        <v>2023-Q2</v>
      </c>
      <c r="J255" t="s">
        <v>21</v>
      </c>
      <c r="K255" t="s">
        <v>6320</v>
      </c>
      <c r="L255" t="s">
        <v>6321</v>
      </c>
      <c r="M255" t="s">
        <v>24</v>
      </c>
      <c r="N255" t="s">
        <v>25</v>
      </c>
      <c r="O255" t="s">
        <v>451</v>
      </c>
      <c r="P255" t="s">
        <v>38</v>
      </c>
      <c r="Q255" t="s">
        <v>66</v>
      </c>
      <c r="R255" t="s">
        <v>6322</v>
      </c>
      <c r="S255" t="s">
        <v>51</v>
      </c>
      <c r="T255" t="s">
        <v>108</v>
      </c>
      <c r="U255" t="s">
        <v>6323</v>
      </c>
      <c r="V255" s="3">
        <v>235.53</v>
      </c>
      <c r="W255" s="4">
        <v>6</v>
      </c>
      <c r="X255" s="2">
        <v>0.4</v>
      </c>
      <c r="Y255" s="3">
        <v>0.8</v>
      </c>
      <c r="Z255" t="str">
        <f t="shared" si="38"/>
        <v>Normal</v>
      </c>
      <c r="AA255" t="str">
        <f t="shared" si="39"/>
        <v>High</v>
      </c>
      <c r="AB255" t="str">
        <f t="shared" si="43"/>
        <v>Low Profit</v>
      </c>
      <c r="AC255" s="3">
        <f t="shared" si="44"/>
        <v>3.3965949135991171E-3</v>
      </c>
      <c r="AD255" s="3">
        <f t="shared" si="45"/>
        <v>39.255000000000003</v>
      </c>
      <c r="AE255" s="3">
        <f t="shared" si="46"/>
        <v>0.13333333333333333</v>
      </c>
      <c r="AF255" t="str">
        <f t="shared" si="47"/>
        <v>Regular</v>
      </c>
    </row>
    <row r="256" spans="1:32" x14ac:dyDescent="0.25">
      <c r="A256" t="s">
        <v>2740</v>
      </c>
      <c r="B256" s="1">
        <v>45047</v>
      </c>
      <c r="C256" s="1">
        <v>45057</v>
      </c>
      <c r="D256" s="4">
        <f t="shared" si="36"/>
        <v>10</v>
      </c>
      <c r="E256" s="4" t="str">
        <f>TEXT(Table1[[#This Row],[Order_Date]],"dddd")</f>
        <v>Monday</v>
      </c>
      <c r="F256" s="4">
        <f t="shared" si="37"/>
        <v>5</v>
      </c>
      <c r="G256" t="str">
        <f t="shared" si="40"/>
        <v>May</v>
      </c>
      <c r="H256">
        <f t="shared" si="41"/>
        <v>2023</v>
      </c>
      <c r="I256" t="str">
        <f t="shared" si="42"/>
        <v>2023-Q2</v>
      </c>
      <c r="J256" t="s">
        <v>104</v>
      </c>
      <c r="K256" t="s">
        <v>2741</v>
      </c>
      <c r="L256" t="s">
        <v>2742</v>
      </c>
      <c r="M256" t="s">
        <v>47</v>
      </c>
      <c r="N256" t="s">
        <v>25</v>
      </c>
      <c r="O256" t="s">
        <v>149</v>
      </c>
      <c r="P256" t="s">
        <v>113</v>
      </c>
      <c r="Q256" t="s">
        <v>28</v>
      </c>
      <c r="R256" t="s">
        <v>2743</v>
      </c>
      <c r="S256" t="s">
        <v>30</v>
      </c>
      <c r="T256" t="s">
        <v>31</v>
      </c>
      <c r="U256" t="s">
        <v>2744</v>
      </c>
      <c r="V256" s="3">
        <v>3311.31</v>
      </c>
      <c r="W256" s="4">
        <v>1</v>
      </c>
      <c r="X256" s="2">
        <v>0.4</v>
      </c>
      <c r="Y256" s="3">
        <v>-165.21</v>
      </c>
      <c r="Z256" t="str">
        <f t="shared" si="38"/>
        <v>Normal</v>
      </c>
      <c r="AA256" t="str">
        <f t="shared" si="39"/>
        <v>High</v>
      </c>
      <c r="AB256" t="str">
        <f t="shared" si="43"/>
        <v>Loss</v>
      </c>
      <c r="AC256" s="3">
        <f t="shared" si="44"/>
        <v>-4.9892640676952628E-2</v>
      </c>
      <c r="AD256" s="3">
        <f t="shared" si="45"/>
        <v>3311.31</v>
      </c>
      <c r="AE256" s="3">
        <f t="shared" si="46"/>
        <v>-165.21</v>
      </c>
      <c r="AF256" t="str">
        <f t="shared" si="47"/>
        <v>Regular</v>
      </c>
    </row>
    <row r="257" spans="1:32" x14ac:dyDescent="0.25">
      <c r="A257" t="s">
        <v>1211</v>
      </c>
      <c r="B257" s="1">
        <v>45047</v>
      </c>
      <c r="C257" s="1">
        <v>45051</v>
      </c>
      <c r="D257" s="4">
        <f t="shared" si="36"/>
        <v>4</v>
      </c>
      <c r="E257" s="4" t="str">
        <f>TEXT(Table1[[#This Row],[Order_Date]],"dddd")</f>
        <v>Monday</v>
      </c>
      <c r="F257" s="4">
        <f t="shared" si="37"/>
        <v>5</v>
      </c>
      <c r="G257" t="str">
        <f t="shared" si="40"/>
        <v>May</v>
      </c>
      <c r="H257">
        <f t="shared" si="41"/>
        <v>2023</v>
      </c>
      <c r="I257" t="str">
        <f t="shared" si="42"/>
        <v>2023-Q2</v>
      </c>
      <c r="J257" t="s">
        <v>44</v>
      </c>
      <c r="K257" t="s">
        <v>1212</v>
      </c>
      <c r="L257" t="s">
        <v>1213</v>
      </c>
      <c r="M257" t="s">
        <v>47</v>
      </c>
      <c r="N257" t="s">
        <v>25</v>
      </c>
      <c r="O257" t="s">
        <v>48</v>
      </c>
      <c r="P257" t="s">
        <v>49</v>
      </c>
      <c r="Q257" t="s">
        <v>39</v>
      </c>
      <c r="R257" t="s">
        <v>1214</v>
      </c>
      <c r="S257" t="s">
        <v>30</v>
      </c>
      <c r="T257" t="s">
        <v>31</v>
      </c>
      <c r="U257" t="s">
        <v>1215</v>
      </c>
      <c r="V257" s="3">
        <v>1176.3599999999999</v>
      </c>
      <c r="W257" s="4">
        <v>1</v>
      </c>
      <c r="X257" s="2">
        <v>0.2</v>
      </c>
      <c r="Y257" s="3">
        <v>90.62</v>
      </c>
      <c r="Z257" t="str">
        <f t="shared" si="38"/>
        <v>Normal</v>
      </c>
      <c r="AA257" t="str">
        <f t="shared" si="39"/>
        <v>High</v>
      </c>
      <c r="AB257" t="str">
        <f t="shared" si="43"/>
        <v>Low Profit</v>
      </c>
      <c r="AC257" s="3">
        <f t="shared" si="44"/>
        <v>7.7034241218674568E-2</v>
      </c>
      <c r="AD257" s="3">
        <f t="shared" si="45"/>
        <v>1176.3599999999999</v>
      </c>
      <c r="AE257" s="3">
        <f t="shared" si="46"/>
        <v>90.62</v>
      </c>
      <c r="AF257" t="str">
        <f t="shared" si="47"/>
        <v>Regular</v>
      </c>
    </row>
    <row r="258" spans="1:32" x14ac:dyDescent="0.25">
      <c r="A258" t="s">
        <v>3283</v>
      </c>
      <c r="B258" s="1">
        <v>45048</v>
      </c>
      <c r="C258" s="1">
        <v>45050</v>
      </c>
      <c r="D258" s="4">
        <f t="shared" ref="D258:D321" si="48">C258-B258</f>
        <v>2</v>
      </c>
      <c r="E258" s="4" t="str">
        <f>TEXT(Table1[[#This Row],[Order_Date]],"dddd")</f>
        <v>Tuesday</v>
      </c>
      <c r="F258" s="4">
        <f t="shared" ref="F258:F321" si="49">MONTH(B258)</f>
        <v>5</v>
      </c>
      <c r="G258" t="str">
        <f t="shared" si="40"/>
        <v>May</v>
      </c>
      <c r="H258">
        <f t="shared" si="41"/>
        <v>2023</v>
      </c>
      <c r="I258" t="str">
        <f t="shared" si="42"/>
        <v>2023-Q2</v>
      </c>
      <c r="J258" t="s">
        <v>44</v>
      </c>
      <c r="K258" t="s">
        <v>3284</v>
      </c>
      <c r="L258" t="s">
        <v>3285</v>
      </c>
      <c r="M258" t="s">
        <v>24</v>
      </c>
      <c r="N258" t="s">
        <v>25</v>
      </c>
      <c r="O258" t="s">
        <v>201</v>
      </c>
      <c r="P258" t="s">
        <v>113</v>
      </c>
      <c r="Q258" t="s">
        <v>87</v>
      </c>
      <c r="R258" t="s">
        <v>3286</v>
      </c>
      <c r="S258" t="s">
        <v>59</v>
      </c>
      <c r="T258" t="s">
        <v>60</v>
      </c>
      <c r="U258" t="s">
        <v>3287</v>
      </c>
      <c r="V258" s="3">
        <v>3996.03</v>
      </c>
      <c r="W258" s="4">
        <v>8</v>
      </c>
      <c r="X258" s="2">
        <v>0.2</v>
      </c>
      <c r="Y258" s="3">
        <v>-707.71</v>
      </c>
      <c r="Z258" t="str">
        <f t="shared" ref="Z258:Z321" si="50">IF(OR(Y258&lt;-800.884,Y258&gt;1030.126),"Outlier","Normal")</f>
        <v>Normal</v>
      </c>
      <c r="AA258" t="str">
        <f t="shared" ref="AA258:AA321" si="51">IF(X258&lt;10%,"Low",IF(X258&lt;0.2,"Medium","High"))</f>
        <v>High</v>
      </c>
      <c r="AB258" t="str">
        <f t="shared" si="43"/>
        <v>Loss</v>
      </c>
      <c r="AC258" s="3">
        <f t="shared" si="44"/>
        <v>-0.17710327500043793</v>
      </c>
      <c r="AD258" s="3">
        <f t="shared" si="45"/>
        <v>499.50375000000003</v>
      </c>
      <c r="AE258" s="3">
        <f t="shared" si="46"/>
        <v>-88.463750000000005</v>
      </c>
      <c r="AF258" t="str">
        <f t="shared" si="47"/>
        <v>Regular</v>
      </c>
    </row>
    <row r="259" spans="1:32" x14ac:dyDescent="0.25">
      <c r="A259" t="s">
        <v>6537</v>
      </c>
      <c r="B259" s="1">
        <v>45048</v>
      </c>
      <c r="C259" s="1">
        <v>45057</v>
      </c>
      <c r="D259" s="4">
        <f t="shared" si="48"/>
        <v>9</v>
      </c>
      <c r="E259" s="4" t="str">
        <f>TEXT(Table1[[#This Row],[Order_Date]],"dddd")</f>
        <v>Tuesday</v>
      </c>
      <c r="F259" s="4">
        <f t="shared" si="49"/>
        <v>5</v>
      </c>
      <c r="G259" t="str">
        <f t="shared" ref="G259:G322" si="52">TEXT(B259,"mmmm")</f>
        <v>May</v>
      </c>
      <c r="H259">
        <f t="shared" ref="H259:H322" si="53">YEAR(B259)</f>
        <v>2023</v>
      </c>
      <c r="I259" t="str">
        <f t="shared" ref="I259:I322" si="54">H259 &amp; "-Q" &amp; INT((MONTH(B259)+2)/3)</f>
        <v>2023-Q2</v>
      </c>
      <c r="J259" t="s">
        <v>21</v>
      </c>
      <c r="K259" t="s">
        <v>6538</v>
      </c>
      <c r="L259" t="s">
        <v>6539</v>
      </c>
      <c r="M259" t="s">
        <v>24</v>
      </c>
      <c r="N259" t="s">
        <v>25</v>
      </c>
      <c r="O259" t="s">
        <v>119</v>
      </c>
      <c r="P259" t="s">
        <v>120</v>
      </c>
      <c r="Q259" t="s">
        <v>39</v>
      </c>
      <c r="R259" t="s">
        <v>6540</v>
      </c>
      <c r="S259" t="s">
        <v>30</v>
      </c>
      <c r="T259" t="s">
        <v>82</v>
      </c>
      <c r="U259" t="s">
        <v>6541</v>
      </c>
      <c r="V259" s="3">
        <v>2579.35</v>
      </c>
      <c r="W259" s="4">
        <v>5</v>
      </c>
      <c r="X259" s="2">
        <v>0.3</v>
      </c>
      <c r="Y259" s="3">
        <v>128.27000000000001</v>
      </c>
      <c r="Z259" t="str">
        <f t="shared" si="50"/>
        <v>Normal</v>
      </c>
      <c r="AA259" t="str">
        <f t="shared" si="51"/>
        <v>High</v>
      </c>
      <c r="AB259" t="str">
        <f t="shared" ref="AB259:AB322" si="55">IF(Y259&lt;0, "Loss", IF(Y259&lt;500,"Low Profit", "High Profit"))</f>
        <v>Low Profit</v>
      </c>
      <c r="AC259" s="3">
        <f t="shared" ref="AC259:AC322" si="56">Y259/V259</f>
        <v>4.9729583034485436E-2</v>
      </c>
      <c r="AD259" s="3">
        <f t="shared" ref="AD259:AD322" si="57">V259/W259</f>
        <v>515.87</v>
      </c>
      <c r="AE259" s="3">
        <f t="shared" ref="AE259:AE322" si="58">Y259/W259</f>
        <v>25.654000000000003</v>
      </c>
      <c r="AF259" t="str">
        <f t="shared" ref="AF259:AF322" si="59">IF(V259&gt;5000,"High value", "Regular")</f>
        <v>Regular</v>
      </c>
    </row>
    <row r="260" spans="1:32" x14ac:dyDescent="0.25">
      <c r="A260" t="s">
        <v>1395</v>
      </c>
      <c r="B260" s="1">
        <v>45049</v>
      </c>
      <c r="C260" s="1">
        <v>45059</v>
      </c>
      <c r="D260" s="4">
        <f t="shared" si="48"/>
        <v>10</v>
      </c>
      <c r="E260" s="4" t="str">
        <f>TEXT(Table1[[#This Row],[Order_Date]],"dddd")</f>
        <v>Wednesday</v>
      </c>
      <c r="F260" s="4">
        <f t="shared" si="49"/>
        <v>5</v>
      </c>
      <c r="G260" t="str">
        <f t="shared" si="52"/>
        <v>May</v>
      </c>
      <c r="H260">
        <f t="shared" si="53"/>
        <v>2023</v>
      </c>
      <c r="I260" t="str">
        <f t="shared" si="54"/>
        <v>2023-Q2</v>
      </c>
      <c r="J260" t="s">
        <v>44</v>
      </c>
      <c r="K260" t="s">
        <v>1396</v>
      </c>
      <c r="L260" t="s">
        <v>1397</v>
      </c>
      <c r="M260" t="s">
        <v>47</v>
      </c>
      <c r="N260" t="s">
        <v>25</v>
      </c>
      <c r="O260" t="s">
        <v>26</v>
      </c>
      <c r="P260" t="s">
        <v>27</v>
      </c>
      <c r="Q260" t="s">
        <v>87</v>
      </c>
      <c r="R260" t="s">
        <v>1398</v>
      </c>
      <c r="S260" t="s">
        <v>59</v>
      </c>
      <c r="T260" t="s">
        <v>303</v>
      </c>
      <c r="U260" t="s">
        <v>1399</v>
      </c>
      <c r="V260" s="3">
        <v>4099.82</v>
      </c>
      <c r="W260" s="4">
        <v>8</v>
      </c>
      <c r="X260" s="2">
        <v>0</v>
      </c>
      <c r="Y260" s="3">
        <v>741.92</v>
      </c>
      <c r="Z260" t="str">
        <f t="shared" si="50"/>
        <v>Normal</v>
      </c>
      <c r="AA260" t="str">
        <f t="shared" si="51"/>
        <v>Low</v>
      </c>
      <c r="AB260" t="str">
        <f t="shared" si="55"/>
        <v>High Profit</v>
      </c>
      <c r="AC260" s="3">
        <f t="shared" si="56"/>
        <v>0.18096404232380933</v>
      </c>
      <c r="AD260" s="3">
        <f t="shared" si="57"/>
        <v>512.47749999999996</v>
      </c>
      <c r="AE260" s="3">
        <f t="shared" si="58"/>
        <v>92.74</v>
      </c>
      <c r="AF260" t="str">
        <f t="shared" si="59"/>
        <v>Regular</v>
      </c>
    </row>
    <row r="261" spans="1:32" x14ac:dyDescent="0.25">
      <c r="A261" t="s">
        <v>4312</v>
      </c>
      <c r="B261" s="1">
        <v>45049</v>
      </c>
      <c r="C261" s="1">
        <v>45054</v>
      </c>
      <c r="D261" s="4">
        <f t="shared" si="48"/>
        <v>5</v>
      </c>
      <c r="E261" s="4" t="str">
        <f>TEXT(Table1[[#This Row],[Order_Date]],"dddd")</f>
        <v>Wednesday</v>
      </c>
      <c r="F261" s="4">
        <f t="shared" si="49"/>
        <v>5</v>
      </c>
      <c r="G261" t="str">
        <f t="shared" si="52"/>
        <v>May</v>
      </c>
      <c r="H261">
        <f t="shared" si="53"/>
        <v>2023</v>
      </c>
      <c r="I261" t="str">
        <f t="shared" si="54"/>
        <v>2023-Q2</v>
      </c>
      <c r="J261" t="s">
        <v>44</v>
      </c>
      <c r="K261" t="s">
        <v>4313</v>
      </c>
      <c r="L261" t="s">
        <v>4314</v>
      </c>
      <c r="M261" t="s">
        <v>36</v>
      </c>
      <c r="N261" t="s">
        <v>25</v>
      </c>
      <c r="O261" t="s">
        <v>611</v>
      </c>
      <c r="P261" t="s">
        <v>74</v>
      </c>
      <c r="Q261" t="s">
        <v>39</v>
      </c>
      <c r="R261" t="s">
        <v>4315</v>
      </c>
      <c r="S261" t="s">
        <v>30</v>
      </c>
      <c r="T261" t="s">
        <v>68</v>
      </c>
      <c r="U261" t="s">
        <v>4316</v>
      </c>
      <c r="V261" s="3">
        <v>1688.03</v>
      </c>
      <c r="W261" s="4">
        <v>7</v>
      </c>
      <c r="X261" s="2">
        <v>0.2</v>
      </c>
      <c r="Y261" s="3">
        <v>172.69</v>
      </c>
      <c r="Z261" t="str">
        <f t="shared" si="50"/>
        <v>Normal</v>
      </c>
      <c r="AA261" t="str">
        <f t="shared" si="51"/>
        <v>High</v>
      </c>
      <c r="AB261" t="str">
        <f t="shared" si="55"/>
        <v>Low Profit</v>
      </c>
      <c r="AC261" s="3">
        <f t="shared" si="56"/>
        <v>0.10230268419400129</v>
      </c>
      <c r="AD261" s="3">
        <f t="shared" si="57"/>
        <v>241.14714285714285</v>
      </c>
      <c r="AE261" s="3">
        <f t="shared" si="58"/>
        <v>24.669999999999998</v>
      </c>
      <c r="AF261" t="str">
        <f t="shared" si="59"/>
        <v>Regular</v>
      </c>
    </row>
    <row r="262" spans="1:32" x14ac:dyDescent="0.25">
      <c r="A262" t="s">
        <v>6470</v>
      </c>
      <c r="B262" s="1">
        <v>45050</v>
      </c>
      <c r="C262" s="1">
        <v>45055</v>
      </c>
      <c r="D262" s="4">
        <f t="shared" si="48"/>
        <v>5</v>
      </c>
      <c r="E262" s="4" t="str">
        <f>TEXT(Table1[[#This Row],[Order_Date]],"dddd")</f>
        <v>Thursday</v>
      </c>
      <c r="F262" s="4">
        <f t="shared" si="49"/>
        <v>5</v>
      </c>
      <c r="G262" t="str">
        <f t="shared" si="52"/>
        <v>May</v>
      </c>
      <c r="H262">
        <f t="shared" si="53"/>
        <v>2023</v>
      </c>
      <c r="I262" t="str">
        <f t="shared" si="54"/>
        <v>2023-Q2</v>
      </c>
      <c r="J262" t="s">
        <v>104</v>
      </c>
      <c r="K262" t="s">
        <v>6471</v>
      </c>
      <c r="L262" t="s">
        <v>6472</v>
      </c>
      <c r="M262" t="s">
        <v>47</v>
      </c>
      <c r="N262" t="s">
        <v>25</v>
      </c>
      <c r="O262" t="s">
        <v>511</v>
      </c>
      <c r="P262" t="s">
        <v>120</v>
      </c>
      <c r="Q262" t="s">
        <v>87</v>
      </c>
      <c r="R262" t="s">
        <v>6473</v>
      </c>
      <c r="S262" t="s">
        <v>51</v>
      </c>
      <c r="T262" t="s">
        <v>108</v>
      </c>
      <c r="U262" t="s">
        <v>6474</v>
      </c>
      <c r="V262" s="3">
        <v>4114.95</v>
      </c>
      <c r="W262" s="4">
        <v>9</v>
      </c>
      <c r="X262" s="2">
        <v>0.3</v>
      </c>
      <c r="Y262" s="3">
        <v>1072.74</v>
      </c>
      <c r="Z262" t="str">
        <f t="shared" si="50"/>
        <v>Outlier</v>
      </c>
      <c r="AA262" t="str">
        <f t="shared" si="51"/>
        <v>High</v>
      </c>
      <c r="AB262" t="str">
        <f t="shared" si="55"/>
        <v>High Profit</v>
      </c>
      <c r="AC262" s="3">
        <f t="shared" si="56"/>
        <v>0.26069332555681113</v>
      </c>
      <c r="AD262" s="3">
        <f t="shared" si="57"/>
        <v>457.21666666666664</v>
      </c>
      <c r="AE262" s="3">
        <f t="shared" si="58"/>
        <v>119.19333333333333</v>
      </c>
      <c r="AF262" t="str">
        <f t="shared" si="59"/>
        <v>Regular</v>
      </c>
    </row>
    <row r="263" spans="1:32" x14ac:dyDescent="0.25">
      <c r="A263" t="s">
        <v>2642</v>
      </c>
      <c r="B263" s="1">
        <v>45050</v>
      </c>
      <c r="C263" s="1">
        <v>45056</v>
      </c>
      <c r="D263" s="4">
        <f t="shared" si="48"/>
        <v>6</v>
      </c>
      <c r="E263" s="4" t="str">
        <f>TEXT(Table1[[#This Row],[Order_Date]],"dddd")</f>
        <v>Thursday</v>
      </c>
      <c r="F263" s="4">
        <f t="shared" si="49"/>
        <v>5</v>
      </c>
      <c r="G263" t="str">
        <f t="shared" si="52"/>
        <v>May</v>
      </c>
      <c r="H263">
        <f t="shared" si="53"/>
        <v>2023</v>
      </c>
      <c r="I263" t="str">
        <f t="shared" si="54"/>
        <v>2023-Q2</v>
      </c>
      <c r="J263" t="s">
        <v>104</v>
      </c>
      <c r="K263" t="s">
        <v>2643</v>
      </c>
      <c r="L263" t="s">
        <v>2644</v>
      </c>
      <c r="M263" t="s">
        <v>36</v>
      </c>
      <c r="N263" t="s">
        <v>25</v>
      </c>
      <c r="O263" t="s">
        <v>611</v>
      </c>
      <c r="P263" t="s">
        <v>74</v>
      </c>
      <c r="Q263" t="s">
        <v>39</v>
      </c>
      <c r="R263" t="s">
        <v>7403</v>
      </c>
      <c r="S263" t="s">
        <v>59</v>
      </c>
      <c r="T263" t="s">
        <v>277</v>
      </c>
      <c r="U263" t="s">
        <v>2645</v>
      </c>
      <c r="V263" s="3">
        <v>3626.54</v>
      </c>
      <c r="W263" s="4">
        <v>3</v>
      </c>
      <c r="X263" s="2">
        <v>0.2</v>
      </c>
      <c r="Y263" s="3">
        <v>299.77999999999997</v>
      </c>
      <c r="Z263" t="str">
        <f t="shared" si="50"/>
        <v>Normal</v>
      </c>
      <c r="AA263" t="str">
        <f t="shared" si="51"/>
        <v>High</v>
      </c>
      <c r="AB263" t="str">
        <f t="shared" si="55"/>
        <v>Low Profit</v>
      </c>
      <c r="AC263" s="3">
        <f t="shared" si="56"/>
        <v>8.2662813590915846E-2</v>
      </c>
      <c r="AD263" s="3">
        <f t="shared" si="57"/>
        <v>1208.8466666666666</v>
      </c>
      <c r="AE263" s="3">
        <f t="shared" si="58"/>
        <v>99.926666666666662</v>
      </c>
      <c r="AF263" t="str">
        <f t="shared" si="59"/>
        <v>Regular</v>
      </c>
    </row>
    <row r="264" spans="1:32" x14ac:dyDescent="0.25">
      <c r="A264" t="s">
        <v>5008</v>
      </c>
      <c r="B264" s="1">
        <v>45051</v>
      </c>
      <c r="C264" s="1">
        <v>45055</v>
      </c>
      <c r="D264" s="4">
        <f t="shared" si="48"/>
        <v>4</v>
      </c>
      <c r="E264" s="4" t="str">
        <f>TEXT(Table1[[#This Row],[Order_Date]],"dddd")</f>
        <v>Friday</v>
      </c>
      <c r="F264" s="4">
        <f t="shared" si="49"/>
        <v>5</v>
      </c>
      <c r="G264" t="str">
        <f t="shared" si="52"/>
        <v>May</v>
      </c>
      <c r="H264">
        <f t="shared" si="53"/>
        <v>2023</v>
      </c>
      <c r="I264" t="str">
        <f t="shared" si="54"/>
        <v>2023-Q2</v>
      </c>
      <c r="J264" t="s">
        <v>104</v>
      </c>
      <c r="K264" t="s">
        <v>5009</v>
      </c>
      <c r="L264" t="s">
        <v>5010</v>
      </c>
      <c r="M264" t="s">
        <v>36</v>
      </c>
      <c r="N264" t="s">
        <v>25</v>
      </c>
      <c r="O264" t="s">
        <v>73</v>
      </c>
      <c r="P264" t="s">
        <v>74</v>
      </c>
      <c r="Q264" t="s">
        <v>87</v>
      </c>
      <c r="R264" t="s">
        <v>5011</v>
      </c>
      <c r="S264" t="s">
        <v>59</v>
      </c>
      <c r="T264" t="s">
        <v>101</v>
      </c>
      <c r="U264" t="s">
        <v>5012</v>
      </c>
      <c r="V264" s="3">
        <v>915.86</v>
      </c>
      <c r="W264" s="4">
        <v>7</v>
      </c>
      <c r="X264" s="2">
        <v>0</v>
      </c>
      <c r="Y264" s="3">
        <v>181.62</v>
      </c>
      <c r="Z264" t="str">
        <f t="shared" si="50"/>
        <v>Normal</v>
      </c>
      <c r="AA264" t="str">
        <f t="shared" si="51"/>
        <v>Low</v>
      </c>
      <c r="AB264" t="str">
        <f t="shared" si="55"/>
        <v>Low Profit</v>
      </c>
      <c r="AC264" s="3">
        <f t="shared" si="56"/>
        <v>0.19830541785862468</v>
      </c>
      <c r="AD264" s="3">
        <f t="shared" si="57"/>
        <v>130.83714285714285</v>
      </c>
      <c r="AE264" s="3">
        <f t="shared" si="58"/>
        <v>25.945714285714285</v>
      </c>
      <c r="AF264" t="str">
        <f t="shared" si="59"/>
        <v>Regular</v>
      </c>
    </row>
    <row r="265" spans="1:32" x14ac:dyDescent="0.25">
      <c r="A265" t="s">
        <v>3698</v>
      </c>
      <c r="B265" s="1">
        <v>45051</v>
      </c>
      <c r="C265" s="1">
        <v>45053</v>
      </c>
      <c r="D265" s="4">
        <f t="shared" si="48"/>
        <v>2</v>
      </c>
      <c r="E265" s="4" t="str">
        <f>TEXT(Table1[[#This Row],[Order_Date]],"dddd")</f>
        <v>Friday</v>
      </c>
      <c r="F265" s="4">
        <f t="shared" si="49"/>
        <v>5</v>
      </c>
      <c r="G265" t="str">
        <f t="shared" si="52"/>
        <v>May</v>
      </c>
      <c r="H265">
        <f t="shared" si="53"/>
        <v>2023</v>
      </c>
      <c r="I265" t="str">
        <f t="shared" si="54"/>
        <v>2023-Q2</v>
      </c>
      <c r="J265" t="s">
        <v>44</v>
      </c>
      <c r="K265" t="s">
        <v>3699</v>
      </c>
      <c r="L265" t="s">
        <v>3700</v>
      </c>
      <c r="M265" t="s">
        <v>36</v>
      </c>
      <c r="N265" t="s">
        <v>25</v>
      </c>
      <c r="O265" t="s">
        <v>113</v>
      </c>
      <c r="P265" t="s">
        <v>113</v>
      </c>
      <c r="Q265" t="s">
        <v>87</v>
      </c>
      <c r="R265" t="s">
        <v>3701</v>
      </c>
      <c r="S265" t="s">
        <v>51</v>
      </c>
      <c r="T265" t="s">
        <v>52</v>
      </c>
      <c r="U265" t="s">
        <v>3702</v>
      </c>
      <c r="V265" s="3">
        <v>4766.72</v>
      </c>
      <c r="W265" s="4">
        <v>4</v>
      </c>
      <c r="X265" s="2">
        <v>0.3</v>
      </c>
      <c r="Y265" s="3">
        <v>645.98</v>
      </c>
      <c r="Z265" t="str">
        <f t="shared" si="50"/>
        <v>Normal</v>
      </c>
      <c r="AA265" t="str">
        <f t="shared" si="51"/>
        <v>High</v>
      </c>
      <c r="AB265" t="str">
        <f t="shared" si="55"/>
        <v>High Profit</v>
      </c>
      <c r="AC265" s="3">
        <f t="shared" si="56"/>
        <v>0.13551876342642319</v>
      </c>
      <c r="AD265" s="3">
        <f t="shared" si="57"/>
        <v>1191.68</v>
      </c>
      <c r="AE265" s="3">
        <f t="shared" si="58"/>
        <v>161.495</v>
      </c>
      <c r="AF265" t="str">
        <f t="shared" si="59"/>
        <v>Regular</v>
      </c>
    </row>
    <row r="266" spans="1:32" x14ac:dyDescent="0.25">
      <c r="A266" t="s">
        <v>6984</v>
      </c>
      <c r="B266" s="1">
        <v>45051</v>
      </c>
      <c r="C266" s="1">
        <v>45059</v>
      </c>
      <c r="D266" s="4">
        <f t="shared" si="48"/>
        <v>8</v>
      </c>
      <c r="E266" s="4" t="str">
        <f>TEXT(Table1[[#This Row],[Order_Date]],"dddd")</f>
        <v>Friday</v>
      </c>
      <c r="F266" s="4">
        <f t="shared" si="49"/>
        <v>5</v>
      </c>
      <c r="G266" t="str">
        <f t="shared" si="52"/>
        <v>May</v>
      </c>
      <c r="H266">
        <f t="shared" si="53"/>
        <v>2023</v>
      </c>
      <c r="I266" t="str">
        <f t="shared" si="54"/>
        <v>2023-Q2</v>
      </c>
      <c r="J266" t="s">
        <v>21</v>
      </c>
      <c r="K266" t="s">
        <v>6985</v>
      </c>
      <c r="L266" t="s">
        <v>6986</v>
      </c>
      <c r="M266" t="s">
        <v>36</v>
      </c>
      <c r="N266" t="s">
        <v>25</v>
      </c>
      <c r="O266" t="s">
        <v>48</v>
      </c>
      <c r="P266" t="s">
        <v>49</v>
      </c>
      <c r="Q266" t="s">
        <v>28</v>
      </c>
      <c r="R266" t="s">
        <v>6987</v>
      </c>
      <c r="S266" t="s">
        <v>59</v>
      </c>
      <c r="T266" t="s">
        <v>60</v>
      </c>
      <c r="U266" t="s">
        <v>6988</v>
      </c>
      <c r="V266" s="3">
        <v>2276.4</v>
      </c>
      <c r="W266" s="4">
        <v>10</v>
      </c>
      <c r="X266" s="2">
        <v>0.3</v>
      </c>
      <c r="Y266" s="3">
        <v>70.33</v>
      </c>
      <c r="Z266" t="str">
        <f t="shared" si="50"/>
        <v>Normal</v>
      </c>
      <c r="AA266" t="str">
        <f t="shared" si="51"/>
        <v>High</v>
      </c>
      <c r="AB266" t="str">
        <f t="shared" si="55"/>
        <v>Low Profit</v>
      </c>
      <c r="AC266" s="3">
        <f t="shared" si="56"/>
        <v>3.089527323844667E-2</v>
      </c>
      <c r="AD266" s="3">
        <f t="shared" si="57"/>
        <v>227.64000000000001</v>
      </c>
      <c r="AE266" s="3">
        <f t="shared" si="58"/>
        <v>7.0329999999999995</v>
      </c>
      <c r="AF266" t="str">
        <f t="shared" si="59"/>
        <v>Regular</v>
      </c>
    </row>
    <row r="267" spans="1:32" x14ac:dyDescent="0.25">
      <c r="A267" t="s">
        <v>932</v>
      </c>
      <c r="B267" s="1">
        <v>45052</v>
      </c>
      <c r="C267" s="1">
        <v>45055</v>
      </c>
      <c r="D267" s="4">
        <f t="shared" si="48"/>
        <v>3</v>
      </c>
      <c r="E267" s="4" t="str">
        <f>TEXT(Table1[[#This Row],[Order_Date]],"dddd")</f>
        <v>Saturday</v>
      </c>
      <c r="F267" s="4">
        <f t="shared" si="49"/>
        <v>5</v>
      </c>
      <c r="G267" t="str">
        <f t="shared" si="52"/>
        <v>May</v>
      </c>
      <c r="H267">
        <f t="shared" si="53"/>
        <v>2023</v>
      </c>
      <c r="I267" t="str">
        <f t="shared" si="54"/>
        <v>2023-Q2</v>
      </c>
      <c r="J267" t="s">
        <v>21</v>
      </c>
      <c r="K267" t="s">
        <v>933</v>
      </c>
      <c r="L267" t="s">
        <v>934</v>
      </c>
      <c r="M267" t="s">
        <v>36</v>
      </c>
      <c r="N267" t="s">
        <v>25</v>
      </c>
      <c r="O267" t="s">
        <v>149</v>
      </c>
      <c r="P267" t="s">
        <v>113</v>
      </c>
      <c r="Q267" t="s">
        <v>87</v>
      </c>
      <c r="R267" t="s">
        <v>935</v>
      </c>
      <c r="S267" t="s">
        <v>30</v>
      </c>
      <c r="T267" t="s">
        <v>41</v>
      </c>
      <c r="U267" t="s">
        <v>936</v>
      </c>
      <c r="V267" s="3">
        <v>3457.18</v>
      </c>
      <c r="W267" s="4">
        <v>2</v>
      </c>
      <c r="X267" s="2">
        <v>0</v>
      </c>
      <c r="Y267" s="3">
        <v>-658.93</v>
      </c>
      <c r="Z267" t="str">
        <f t="shared" si="50"/>
        <v>Normal</v>
      </c>
      <c r="AA267" t="str">
        <f t="shared" si="51"/>
        <v>Low</v>
      </c>
      <c r="AB267" t="str">
        <f t="shared" si="55"/>
        <v>Loss</v>
      </c>
      <c r="AC267" s="3">
        <f t="shared" si="56"/>
        <v>-0.19059753903470458</v>
      </c>
      <c r="AD267" s="3">
        <f t="shared" si="57"/>
        <v>1728.59</v>
      </c>
      <c r="AE267" s="3">
        <f t="shared" si="58"/>
        <v>-329.46499999999997</v>
      </c>
      <c r="AF267" t="str">
        <f t="shared" si="59"/>
        <v>Regular</v>
      </c>
    </row>
    <row r="268" spans="1:32" x14ac:dyDescent="0.25">
      <c r="A268" t="s">
        <v>2473</v>
      </c>
      <c r="B268" s="1">
        <v>45052</v>
      </c>
      <c r="C268" s="1">
        <v>45058</v>
      </c>
      <c r="D268" s="4">
        <f t="shared" si="48"/>
        <v>6</v>
      </c>
      <c r="E268" s="4" t="str">
        <f>TEXT(Table1[[#This Row],[Order_Date]],"dddd")</f>
        <v>Saturday</v>
      </c>
      <c r="F268" s="4">
        <f t="shared" si="49"/>
        <v>5</v>
      </c>
      <c r="G268" t="str">
        <f t="shared" si="52"/>
        <v>May</v>
      </c>
      <c r="H268">
        <f t="shared" si="53"/>
        <v>2023</v>
      </c>
      <c r="I268" t="str">
        <f t="shared" si="54"/>
        <v>2023-Q2</v>
      </c>
      <c r="J268" t="s">
        <v>55</v>
      </c>
      <c r="K268" t="s">
        <v>2474</v>
      </c>
      <c r="L268" t="s">
        <v>2475</v>
      </c>
      <c r="M268" t="s">
        <v>24</v>
      </c>
      <c r="N268" t="s">
        <v>25</v>
      </c>
      <c r="O268" t="s">
        <v>48</v>
      </c>
      <c r="P268" t="s">
        <v>49</v>
      </c>
      <c r="Q268" t="s">
        <v>39</v>
      </c>
      <c r="R268" t="s">
        <v>2476</v>
      </c>
      <c r="S268" t="s">
        <v>51</v>
      </c>
      <c r="T268" t="s">
        <v>52</v>
      </c>
      <c r="U268" t="s">
        <v>1498</v>
      </c>
      <c r="V268" s="3">
        <v>2853.07</v>
      </c>
      <c r="W268" s="4">
        <v>1</v>
      </c>
      <c r="X268" s="2">
        <v>0.4</v>
      </c>
      <c r="Y268" s="3">
        <v>129.54</v>
      </c>
      <c r="Z268" t="str">
        <f t="shared" si="50"/>
        <v>Normal</v>
      </c>
      <c r="AA268" t="str">
        <f t="shared" si="51"/>
        <v>High</v>
      </c>
      <c r="AB268" t="str">
        <f t="shared" si="55"/>
        <v>Low Profit</v>
      </c>
      <c r="AC268" s="3">
        <f t="shared" si="56"/>
        <v>4.5403723007146679E-2</v>
      </c>
      <c r="AD268" s="3">
        <f t="shared" si="57"/>
        <v>2853.07</v>
      </c>
      <c r="AE268" s="3">
        <f t="shared" si="58"/>
        <v>129.54</v>
      </c>
      <c r="AF268" t="str">
        <f t="shared" si="59"/>
        <v>Regular</v>
      </c>
    </row>
    <row r="269" spans="1:32" x14ac:dyDescent="0.25">
      <c r="A269" t="s">
        <v>3558</v>
      </c>
      <c r="B269" s="1">
        <v>45053</v>
      </c>
      <c r="C269" s="1">
        <v>45054</v>
      </c>
      <c r="D269" s="4">
        <f t="shared" si="48"/>
        <v>1</v>
      </c>
      <c r="E269" s="4" t="str">
        <f>TEXT(Table1[[#This Row],[Order_Date]],"dddd")</f>
        <v>Sunday</v>
      </c>
      <c r="F269" s="4">
        <f t="shared" si="49"/>
        <v>5</v>
      </c>
      <c r="G269" t="str">
        <f t="shared" si="52"/>
        <v>May</v>
      </c>
      <c r="H269">
        <f t="shared" si="53"/>
        <v>2023</v>
      </c>
      <c r="I269" t="str">
        <f t="shared" si="54"/>
        <v>2023-Q2</v>
      </c>
      <c r="J269" t="s">
        <v>44</v>
      </c>
      <c r="K269" t="s">
        <v>3559</v>
      </c>
      <c r="L269" t="s">
        <v>3560</v>
      </c>
      <c r="M269" t="s">
        <v>47</v>
      </c>
      <c r="N269" t="s">
        <v>25</v>
      </c>
      <c r="O269" t="s">
        <v>244</v>
      </c>
      <c r="P269" t="s">
        <v>163</v>
      </c>
      <c r="Q269" t="s">
        <v>87</v>
      </c>
      <c r="R269" t="s">
        <v>3561</v>
      </c>
      <c r="S269" t="s">
        <v>51</v>
      </c>
      <c r="T269" t="s">
        <v>151</v>
      </c>
      <c r="U269" t="s">
        <v>3562</v>
      </c>
      <c r="V269" s="3">
        <v>1890.44</v>
      </c>
      <c r="W269" s="4">
        <v>1</v>
      </c>
      <c r="X269" s="2">
        <v>0</v>
      </c>
      <c r="Y269" s="3">
        <v>436.55</v>
      </c>
      <c r="Z269" t="str">
        <f t="shared" si="50"/>
        <v>Normal</v>
      </c>
      <c r="AA269" t="str">
        <f t="shared" si="51"/>
        <v>Low</v>
      </c>
      <c r="AB269" t="str">
        <f t="shared" si="55"/>
        <v>Low Profit</v>
      </c>
      <c r="AC269" s="3">
        <f t="shared" si="56"/>
        <v>0.23092507564376547</v>
      </c>
      <c r="AD269" s="3">
        <f t="shared" si="57"/>
        <v>1890.44</v>
      </c>
      <c r="AE269" s="3">
        <f t="shared" si="58"/>
        <v>436.55</v>
      </c>
      <c r="AF269" t="str">
        <f t="shared" si="59"/>
        <v>Regular</v>
      </c>
    </row>
    <row r="270" spans="1:32" x14ac:dyDescent="0.25">
      <c r="A270" t="s">
        <v>1790</v>
      </c>
      <c r="B270" s="1">
        <v>45054</v>
      </c>
      <c r="C270" s="1">
        <v>45058</v>
      </c>
      <c r="D270" s="4">
        <f t="shared" si="48"/>
        <v>4</v>
      </c>
      <c r="E270" s="4" t="str">
        <f>TEXT(Table1[[#This Row],[Order_Date]],"dddd")</f>
        <v>Monday</v>
      </c>
      <c r="F270" s="4">
        <f t="shared" si="49"/>
        <v>5</v>
      </c>
      <c r="G270" t="str">
        <f t="shared" si="52"/>
        <v>May</v>
      </c>
      <c r="H270">
        <f t="shared" si="53"/>
        <v>2023</v>
      </c>
      <c r="I270" t="str">
        <f t="shared" si="54"/>
        <v>2023-Q2</v>
      </c>
      <c r="J270" t="s">
        <v>104</v>
      </c>
      <c r="K270" t="s">
        <v>1791</v>
      </c>
      <c r="L270" t="s">
        <v>1792</v>
      </c>
      <c r="M270" t="s">
        <v>36</v>
      </c>
      <c r="N270" t="s">
        <v>25</v>
      </c>
      <c r="O270" t="s">
        <v>156</v>
      </c>
      <c r="P270" t="s">
        <v>143</v>
      </c>
      <c r="Q270" t="s">
        <v>28</v>
      </c>
      <c r="R270" t="s">
        <v>1793</v>
      </c>
      <c r="S270" t="s">
        <v>30</v>
      </c>
      <c r="T270" t="s">
        <v>68</v>
      </c>
      <c r="U270" t="s">
        <v>1794</v>
      </c>
      <c r="V270" s="3">
        <v>4967.7700000000004</v>
      </c>
      <c r="W270" s="4">
        <v>7</v>
      </c>
      <c r="X270" s="2">
        <v>0.1</v>
      </c>
      <c r="Y270" s="3">
        <v>-570.82000000000005</v>
      </c>
      <c r="Z270" t="str">
        <f t="shared" si="50"/>
        <v>Normal</v>
      </c>
      <c r="AA270" t="str">
        <f t="shared" si="51"/>
        <v>Medium</v>
      </c>
      <c r="AB270" t="str">
        <f t="shared" si="55"/>
        <v>Loss</v>
      </c>
      <c r="AC270" s="3">
        <f t="shared" si="56"/>
        <v>-0.11490467553852131</v>
      </c>
      <c r="AD270" s="3">
        <f t="shared" si="57"/>
        <v>709.68142857142868</v>
      </c>
      <c r="AE270" s="3">
        <f t="shared" si="58"/>
        <v>-81.545714285714297</v>
      </c>
      <c r="AF270" t="str">
        <f t="shared" si="59"/>
        <v>Regular</v>
      </c>
    </row>
    <row r="271" spans="1:32" x14ac:dyDescent="0.25">
      <c r="A271" t="s">
        <v>3005</v>
      </c>
      <c r="B271" s="1">
        <v>45054</v>
      </c>
      <c r="C271" s="1">
        <v>45062</v>
      </c>
      <c r="D271" s="4">
        <f t="shared" si="48"/>
        <v>8</v>
      </c>
      <c r="E271" s="4" t="str">
        <f>TEXT(Table1[[#This Row],[Order_Date]],"dddd")</f>
        <v>Monday</v>
      </c>
      <c r="F271" s="4">
        <f t="shared" si="49"/>
        <v>5</v>
      </c>
      <c r="G271" t="str">
        <f t="shared" si="52"/>
        <v>May</v>
      </c>
      <c r="H271">
        <f t="shared" si="53"/>
        <v>2023</v>
      </c>
      <c r="I271" t="str">
        <f t="shared" si="54"/>
        <v>2023-Q2</v>
      </c>
      <c r="J271" t="s">
        <v>21</v>
      </c>
      <c r="K271" t="s">
        <v>3006</v>
      </c>
      <c r="L271" t="s">
        <v>3007</v>
      </c>
      <c r="M271" t="s">
        <v>24</v>
      </c>
      <c r="N271" t="s">
        <v>25</v>
      </c>
      <c r="O271" t="s">
        <v>156</v>
      </c>
      <c r="P271" t="s">
        <v>143</v>
      </c>
      <c r="Q271" t="s">
        <v>87</v>
      </c>
      <c r="R271" t="s">
        <v>3008</v>
      </c>
      <c r="S271" t="s">
        <v>30</v>
      </c>
      <c r="T271" t="s">
        <v>41</v>
      </c>
      <c r="U271" t="s">
        <v>3009</v>
      </c>
      <c r="V271" s="3">
        <v>1251.4100000000001</v>
      </c>
      <c r="W271" s="4">
        <v>1</v>
      </c>
      <c r="X271" s="2">
        <v>0.1</v>
      </c>
      <c r="Y271" s="3">
        <v>374.26</v>
      </c>
      <c r="Z271" t="str">
        <f t="shared" si="50"/>
        <v>Normal</v>
      </c>
      <c r="AA271" t="str">
        <f t="shared" si="51"/>
        <v>Medium</v>
      </c>
      <c r="AB271" t="str">
        <f t="shared" si="55"/>
        <v>Low Profit</v>
      </c>
      <c r="AC271" s="3">
        <f t="shared" si="56"/>
        <v>0.29907064830870778</v>
      </c>
      <c r="AD271" s="3">
        <f t="shared" si="57"/>
        <v>1251.4100000000001</v>
      </c>
      <c r="AE271" s="3">
        <f t="shared" si="58"/>
        <v>374.26</v>
      </c>
      <c r="AF271" t="str">
        <f t="shared" si="59"/>
        <v>Regular</v>
      </c>
    </row>
    <row r="272" spans="1:32" x14ac:dyDescent="0.25">
      <c r="A272" t="s">
        <v>3538</v>
      </c>
      <c r="B272" s="1">
        <v>45055</v>
      </c>
      <c r="C272" s="1">
        <v>45056</v>
      </c>
      <c r="D272" s="4">
        <f t="shared" si="48"/>
        <v>1</v>
      </c>
      <c r="E272" s="4" t="str">
        <f>TEXT(Table1[[#This Row],[Order_Date]],"dddd")</f>
        <v>Tuesday</v>
      </c>
      <c r="F272" s="4">
        <f t="shared" si="49"/>
        <v>5</v>
      </c>
      <c r="G272" t="str">
        <f t="shared" si="52"/>
        <v>May</v>
      </c>
      <c r="H272">
        <f t="shared" si="53"/>
        <v>2023</v>
      </c>
      <c r="I272" t="str">
        <f t="shared" si="54"/>
        <v>2023-Q2</v>
      </c>
      <c r="J272" t="s">
        <v>21</v>
      </c>
      <c r="K272" t="s">
        <v>3539</v>
      </c>
      <c r="L272" t="s">
        <v>3540</v>
      </c>
      <c r="M272" t="s">
        <v>24</v>
      </c>
      <c r="N272" t="s">
        <v>25</v>
      </c>
      <c r="O272" t="s">
        <v>179</v>
      </c>
      <c r="P272" t="s">
        <v>27</v>
      </c>
      <c r="Q272" t="s">
        <v>87</v>
      </c>
      <c r="R272" t="s">
        <v>3541</v>
      </c>
      <c r="S272" t="s">
        <v>59</v>
      </c>
      <c r="T272" t="s">
        <v>101</v>
      </c>
      <c r="U272" t="s">
        <v>3542</v>
      </c>
      <c r="V272" s="3">
        <v>856.91</v>
      </c>
      <c r="W272" s="4">
        <v>4</v>
      </c>
      <c r="X272" s="2">
        <v>0.4</v>
      </c>
      <c r="Y272" s="3">
        <v>59.51</v>
      </c>
      <c r="Z272" t="str">
        <f t="shared" si="50"/>
        <v>Normal</v>
      </c>
      <c r="AA272" t="str">
        <f t="shared" si="51"/>
        <v>High</v>
      </c>
      <c r="AB272" t="str">
        <f t="shared" si="55"/>
        <v>Low Profit</v>
      </c>
      <c r="AC272" s="3">
        <f t="shared" si="56"/>
        <v>6.9447199822618474E-2</v>
      </c>
      <c r="AD272" s="3">
        <f t="shared" si="57"/>
        <v>214.22749999999999</v>
      </c>
      <c r="AE272" s="3">
        <f t="shared" si="58"/>
        <v>14.8775</v>
      </c>
      <c r="AF272" t="str">
        <f t="shared" si="59"/>
        <v>Regular</v>
      </c>
    </row>
    <row r="273" spans="1:32" x14ac:dyDescent="0.25">
      <c r="A273" t="s">
        <v>5642</v>
      </c>
      <c r="B273" s="1">
        <v>45056</v>
      </c>
      <c r="C273" s="1">
        <v>45066</v>
      </c>
      <c r="D273" s="4">
        <f t="shared" si="48"/>
        <v>10</v>
      </c>
      <c r="E273" s="4" t="str">
        <f>TEXT(Table1[[#This Row],[Order_Date]],"dddd")</f>
        <v>Wednesday</v>
      </c>
      <c r="F273" s="4">
        <f t="shared" si="49"/>
        <v>5</v>
      </c>
      <c r="G273" t="str">
        <f t="shared" si="52"/>
        <v>May</v>
      </c>
      <c r="H273">
        <f t="shared" si="53"/>
        <v>2023</v>
      </c>
      <c r="I273" t="str">
        <f t="shared" si="54"/>
        <v>2023-Q2</v>
      </c>
      <c r="J273" t="s">
        <v>44</v>
      </c>
      <c r="K273" t="s">
        <v>5643</v>
      </c>
      <c r="L273" t="s">
        <v>5644</v>
      </c>
      <c r="M273" t="s">
        <v>36</v>
      </c>
      <c r="N273" t="s">
        <v>25</v>
      </c>
      <c r="O273" t="s">
        <v>99</v>
      </c>
      <c r="P273" t="s">
        <v>74</v>
      </c>
      <c r="Q273" t="s">
        <v>39</v>
      </c>
      <c r="R273" t="s">
        <v>5645</v>
      </c>
      <c r="S273" t="s">
        <v>59</v>
      </c>
      <c r="T273" t="s">
        <v>303</v>
      </c>
      <c r="U273" t="s">
        <v>5646</v>
      </c>
      <c r="V273" s="3">
        <v>1946.74</v>
      </c>
      <c r="W273" s="4">
        <v>7</v>
      </c>
      <c r="X273" s="2">
        <v>0.3</v>
      </c>
      <c r="Y273" s="3">
        <v>134.5</v>
      </c>
      <c r="Z273" t="str">
        <f t="shared" si="50"/>
        <v>Normal</v>
      </c>
      <c r="AA273" t="str">
        <f t="shared" si="51"/>
        <v>High</v>
      </c>
      <c r="AB273" t="str">
        <f t="shared" si="55"/>
        <v>Low Profit</v>
      </c>
      <c r="AC273" s="3">
        <f t="shared" si="56"/>
        <v>6.9089863053104161E-2</v>
      </c>
      <c r="AD273" s="3">
        <f t="shared" si="57"/>
        <v>278.10571428571427</v>
      </c>
      <c r="AE273" s="3">
        <f t="shared" si="58"/>
        <v>19.214285714285715</v>
      </c>
      <c r="AF273" t="str">
        <f t="shared" si="59"/>
        <v>Regular</v>
      </c>
    </row>
    <row r="274" spans="1:32" x14ac:dyDescent="0.25">
      <c r="A274" t="s">
        <v>7052</v>
      </c>
      <c r="B274" s="1">
        <v>45057</v>
      </c>
      <c r="C274" s="1">
        <v>45061</v>
      </c>
      <c r="D274" s="4">
        <f t="shared" si="48"/>
        <v>4</v>
      </c>
      <c r="E274" s="4" t="str">
        <f>TEXT(Table1[[#This Row],[Order_Date]],"dddd")</f>
        <v>Thursday</v>
      </c>
      <c r="F274" s="4">
        <f t="shared" si="49"/>
        <v>5</v>
      </c>
      <c r="G274" t="str">
        <f t="shared" si="52"/>
        <v>May</v>
      </c>
      <c r="H274">
        <f t="shared" si="53"/>
        <v>2023</v>
      </c>
      <c r="I274" t="str">
        <f t="shared" si="54"/>
        <v>2023-Q2</v>
      </c>
      <c r="J274" t="s">
        <v>104</v>
      </c>
      <c r="K274" t="s">
        <v>7402</v>
      </c>
      <c r="L274" t="s">
        <v>7053</v>
      </c>
      <c r="M274" t="s">
        <v>47</v>
      </c>
      <c r="N274" t="s">
        <v>25</v>
      </c>
      <c r="O274" t="s">
        <v>611</v>
      </c>
      <c r="P274" t="s">
        <v>74</v>
      </c>
      <c r="Q274" t="s">
        <v>87</v>
      </c>
      <c r="R274" t="s">
        <v>7054</v>
      </c>
      <c r="S274" t="s">
        <v>59</v>
      </c>
      <c r="T274" t="s">
        <v>277</v>
      </c>
      <c r="U274" t="s">
        <v>7055</v>
      </c>
      <c r="V274" s="3">
        <v>1073.2</v>
      </c>
      <c r="W274" s="4">
        <v>6</v>
      </c>
      <c r="X274" s="2">
        <v>0.2</v>
      </c>
      <c r="Y274" s="3">
        <v>155.66999999999999</v>
      </c>
      <c r="Z274" t="str">
        <f t="shared" si="50"/>
        <v>Normal</v>
      </c>
      <c r="AA274" t="str">
        <f t="shared" si="51"/>
        <v>High</v>
      </c>
      <c r="AB274" t="str">
        <f t="shared" si="55"/>
        <v>Low Profit</v>
      </c>
      <c r="AC274" s="3">
        <f t="shared" si="56"/>
        <v>0.14505218039508011</v>
      </c>
      <c r="AD274" s="3">
        <f t="shared" si="57"/>
        <v>178.86666666666667</v>
      </c>
      <c r="AE274" s="3">
        <f t="shared" si="58"/>
        <v>25.944999999999997</v>
      </c>
      <c r="AF274" t="str">
        <f t="shared" si="59"/>
        <v>Regular</v>
      </c>
    </row>
    <row r="275" spans="1:32" x14ac:dyDescent="0.25">
      <c r="A275" t="s">
        <v>508</v>
      </c>
      <c r="B275" s="1">
        <v>45059</v>
      </c>
      <c r="C275" s="1">
        <v>45065</v>
      </c>
      <c r="D275" s="4">
        <f t="shared" si="48"/>
        <v>6</v>
      </c>
      <c r="E275" s="4" t="str">
        <f>TEXT(Table1[[#This Row],[Order_Date]],"dddd")</f>
        <v>Saturday</v>
      </c>
      <c r="F275" s="4">
        <f t="shared" si="49"/>
        <v>5</v>
      </c>
      <c r="G275" t="str">
        <f t="shared" si="52"/>
        <v>May</v>
      </c>
      <c r="H275">
        <f t="shared" si="53"/>
        <v>2023</v>
      </c>
      <c r="I275" t="str">
        <f t="shared" si="54"/>
        <v>2023-Q2</v>
      </c>
      <c r="J275" t="s">
        <v>55</v>
      </c>
      <c r="K275" t="s">
        <v>509</v>
      </c>
      <c r="L275" t="s">
        <v>510</v>
      </c>
      <c r="M275" t="s">
        <v>36</v>
      </c>
      <c r="N275" t="s">
        <v>25</v>
      </c>
      <c r="O275" t="s">
        <v>511</v>
      </c>
      <c r="P275" t="s">
        <v>120</v>
      </c>
      <c r="Q275" t="s">
        <v>28</v>
      </c>
      <c r="R275" t="s">
        <v>512</v>
      </c>
      <c r="S275" t="s">
        <v>30</v>
      </c>
      <c r="T275" t="s">
        <v>31</v>
      </c>
      <c r="U275" t="s">
        <v>513</v>
      </c>
      <c r="V275" s="3">
        <v>1716.15</v>
      </c>
      <c r="W275" s="4">
        <v>5</v>
      </c>
      <c r="X275" s="2">
        <v>0.3</v>
      </c>
      <c r="Y275" s="3">
        <v>513.1</v>
      </c>
      <c r="Z275" t="str">
        <f t="shared" si="50"/>
        <v>Normal</v>
      </c>
      <c r="AA275" t="str">
        <f t="shared" si="51"/>
        <v>High</v>
      </c>
      <c r="AB275" t="str">
        <f t="shared" si="55"/>
        <v>High Profit</v>
      </c>
      <c r="AC275" s="3">
        <f t="shared" si="56"/>
        <v>0.29898318911517058</v>
      </c>
      <c r="AD275" s="3">
        <f t="shared" si="57"/>
        <v>343.23</v>
      </c>
      <c r="AE275" s="3">
        <f t="shared" si="58"/>
        <v>102.62</v>
      </c>
      <c r="AF275" t="str">
        <f t="shared" si="59"/>
        <v>Regular</v>
      </c>
    </row>
    <row r="276" spans="1:32" x14ac:dyDescent="0.25">
      <c r="A276" t="s">
        <v>2755</v>
      </c>
      <c r="B276" s="1">
        <v>45061</v>
      </c>
      <c r="C276" s="1">
        <v>45063</v>
      </c>
      <c r="D276" s="4">
        <f t="shared" si="48"/>
        <v>2</v>
      </c>
      <c r="E276" s="4" t="str">
        <f>TEXT(Table1[[#This Row],[Order_Date]],"dddd")</f>
        <v>Monday</v>
      </c>
      <c r="F276" s="4">
        <f t="shared" si="49"/>
        <v>5</v>
      </c>
      <c r="G276" t="str">
        <f t="shared" si="52"/>
        <v>May</v>
      </c>
      <c r="H276">
        <f t="shared" si="53"/>
        <v>2023</v>
      </c>
      <c r="I276" t="str">
        <f t="shared" si="54"/>
        <v>2023-Q2</v>
      </c>
      <c r="J276" t="s">
        <v>44</v>
      </c>
      <c r="K276" t="s">
        <v>2756</v>
      </c>
      <c r="L276" t="s">
        <v>2757</v>
      </c>
      <c r="M276" t="s">
        <v>24</v>
      </c>
      <c r="N276" t="s">
        <v>25</v>
      </c>
      <c r="O276" t="s">
        <v>201</v>
      </c>
      <c r="P276" t="s">
        <v>113</v>
      </c>
      <c r="Q276" t="s">
        <v>66</v>
      </c>
      <c r="R276" t="s">
        <v>2758</v>
      </c>
      <c r="S276" t="s">
        <v>59</v>
      </c>
      <c r="T276" t="s">
        <v>60</v>
      </c>
      <c r="U276" t="s">
        <v>2759</v>
      </c>
      <c r="V276" s="3">
        <v>2932.45</v>
      </c>
      <c r="W276" s="4">
        <v>9</v>
      </c>
      <c r="X276" s="2">
        <v>0.3</v>
      </c>
      <c r="Y276" s="3">
        <v>-331.49</v>
      </c>
      <c r="Z276" t="str">
        <f t="shared" si="50"/>
        <v>Normal</v>
      </c>
      <c r="AA276" t="str">
        <f t="shared" si="51"/>
        <v>High</v>
      </c>
      <c r="AB276" t="str">
        <f t="shared" si="55"/>
        <v>Loss</v>
      </c>
      <c r="AC276" s="3">
        <f t="shared" si="56"/>
        <v>-0.11304199560094802</v>
      </c>
      <c r="AD276" s="3">
        <f t="shared" si="57"/>
        <v>325.82777777777778</v>
      </c>
      <c r="AE276" s="3">
        <f t="shared" si="58"/>
        <v>-36.832222222222221</v>
      </c>
      <c r="AF276" t="str">
        <f t="shared" si="59"/>
        <v>Regular</v>
      </c>
    </row>
    <row r="277" spans="1:32" x14ac:dyDescent="0.25">
      <c r="A277" t="s">
        <v>2011</v>
      </c>
      <c r="B277" s="1">
        <v>45063</v>
      </c>
      <c r="C277" s="1">
        <v>45072</v>
      </c>
      <c r="D277" s="4">
        <f t="shared" si="48"/>
        <v>9</v>
      </c>
      <c r="E277" s="4" t="str">
        <f>TEXT(Table1[[#This Row],[Order_Date]],"dddd")</f>
        <v>Wednesday</v>
      </c>
      <c r="F277" s="4">
        <f t="shared" si="49"/>
        <v>5</v>
      </c>
      <c r="G277" t="str">
        <f t="shared" si="52"/>
        <v>May</v>
      </c>
      <c r="H277">
        <f t="shared" si="53"/>
        <v>2023</v>
      </c>
      <c r="I277" t="str">
        <f t="shared" si="54"/>
        <v>2023-Q2</v>
      </c>
      <c r="J277" t="s">
        <v>44</v>
      </c>
      <c r="K277" t="s">
        <v>2012</v>
      </c>
      <c r="L277" t="s">
        <v>2013</v>
      </c>
      <c r="M277" t="s">
        <v>47</v>
      </c>
      <c r="N277" t="s">
        <v>25</v>
      </c>
      <c r="O277" t="s">
        <v>233</v>
      </c>
      <c r="P277" t="s">
        <v>163</v>
      </c>
      <c r="Q277" t="s">
        <v>39</v>
      </c>
      <c r="R277" t="s">
        <v>2014</v>
      </c>
      <c r="S277" t="s">
        <v>30</v>
      </c>
      <c r="T277" t="s">
        <v>82</v>
      </c>
      <c r="U277" t="s">
        <v>2015</v>
      </c>
      <c r="V277" s="3">
        <v>1169</v>
      </c>
      <c r="W277" s="4">
        <v>8</v>
      </c>
      <c r="X277" s="2">
        <v>0.2</v>
      </c>
      <c r="Y277" s="3">
        <v>-205.58</v>
      </c>
      <c r="Z277" t="str">
        <f t="shared" si="50"/>
        <v>Normal</v>
      </c>
      <c r="AA277" t="str">
        <f t="shared" si="51"/>
        <v>High</v>
      </c>
      <c r="AB277" t="str">
        <f t="shared" si="55"/>
        <v>Loss</v>
      </c>
      <c r="AC277" s="3">
        <f t="shared" si="56"/>
        <v>-0.17585970915312235</v>
      </c>
      <c r="AD277" s="3">
        <f t="shared" si="57"/>
        <v>146.125</v>
      </c>
      <c r="AE277" s="3">
        <f t="shared" si="58"/>
        <v>-25.697500000000002</v>
      </c>
      <c r="AF277" t="str">
        <f t="shared" si="59"/>
        <v>Regular</v>
      </c>
    </row>
    <row r="278" spans="1:32" x14ac:dyDescent="0.25">
      <c r="A278" t="s">
        <v>5197</v>
      </c>
      <c r="B278" s="1">
        <v>45063</v>
      </c>
      <c r="C278" s="1">
        <v>45069</v>
      </c>
      <c r="D278" s="4">
        <f t="shared" si="48"/>
        <v>6</v>
      </c>
      <c r="E278" s="4" t="str">
        <f>TEXT(Table1[[#This Row],[Order_Date]],"dddd")</f>
        <v>Wednesday</v>
      </c>
      <c r="F278" s="4">
        <f t="shared" si="49"/>
        <v>5</v>
      </c>
      <c r="G278" t="str">
        <f t="shared" si="52"/>
        <v>May</v>
      </c>
      <c r="H278">
        <f t="shared" si="53"/>
        <v>2023</v>
      </c>
      <c r="I278" t="str">
        <f t="shared" si="54"/>
        <v>2023-Q2</v>
      </c>
      <c r="J278" t="s">
        <v>55</v>
      </c>
      <c r="K278" t="s">
        <v>5198</v>
      </c>
      <c r="L278" t="s">
        <v>5199</v>
      </c>
      <c r="M278" t="s">
        <v>36</v>
      </c>
      <c r="N278" t="s">
        <v>25</v>
      </c>
      <c r="O278" t="s">
        <v>511</v>
      </c>
      <c r="P278" t="s">
        <v>120</v>
      </c>
      <c r="Q278" t="s">
        <v>39</v>
      </c>
      <c r="R278" t="s">
        <v>5200</v>
      </c>
      <c r="S278" t="s">
        <v>30</v>
      </c>
      <c r="T278" t="s">
        <v>68</v>
      </c>
      <c r="U278" t="s">
        <v>5201</v>
      </c>
      <c r="V278" s="3">
        <v>3422.94</v>
      </c>
      <c r="W278" s="4">
        <v>2</v>
      </c>
      <c r="X278" s="2">
        <v>0.4</v>
      </c>
      <c r="Y278" s="3">
        <v>-75.760000000000005</v>
      </c>
      <c r="Z278" t="str">
        <f t="shared" si="50"/>
        <v>Normal</v>
      </c>
      <c r="AA278" t="str">
        <f t="shared" si="51"/>
        <v>High</v>
      </c>
      <c r="AB278" t="str">
        <f t="shared" si="55"/>
        <v>Loss</v>
      </c>
      <c r="AC278" s="3">
        <f t="shared" si="56"/>
        <v>-2.2133020152266765E-2</v>
      </c>
      <c r="AD278" s="3">
        <f t="shared" si="57"/>
        <v>1711.47</v>
      </c>
      <c r="AE278" s="3">
        <f t="shared" si="58"/>
        <v>-37.880000000000003</v>
      </c>
      <c r="AF278" t="str">
        <f t="shared" si="59"/>
        <v>Regular</v>
      </c>
    </row>
    <row r="279" spans="1:32" x14ac:dyDescent="0.25">
      <c r="A279" t="s">
        <v>6616</v>
      </c>
      <c r="B279" s="1">
        <v>45064</v>
      </c>
      <c r="C279" s="1">
        <v>45074</v>
      </c>
      <c r="D279" s="4">
        <f t="shared" si="48"/>
        <v>10</v>
      </c>
      <c r="E279" s="4" t="str">
        <f>TEXT(Table1[[#This Row],[Order_Date]],"dddd")</f>
        <v>Thursday</v>
      </c>
      <c r="F279" s="4">
        <f t="shared" si="49"/>
        <v>5</v>
      </c>
      <c r="G279" t="str">
        <f t="shared" si="52"/>
        <v>May</v>
      </c>
      <c r="H279">
        <f t="shared" si="53"/>
        <v>2023</v>
      </c>
      <c r="I279" t="str">
        <f t="shared" si="54"/>
        <v>2023-Q2</v>
      </c>
      <c r="J279" t="s">
        <v>44</v>
      </c>
      <c r="K279" t="s">
        <v>6617</v>
      </c>
      <c r="L279" t="s">
        <v>6618</v>
      </c>
      <c r="M279" t="s">
        <v>24</v>
      </c>
      <c r="N279" t="s">
        <v>25</v>
      </c>
      <c r="O279" t="s">
        <v>119</v>
      </c>
      <c r="P279" t="s">
        <v>120</v>
      </c>
      <c r="Q279" t="s">
        <v>28</v>
      </c>
      <c r="R279" t="s">
        <v>6619</v>
      </c>
      <c r="S279" t="s">
        <v>59</v>
      </c>
      <c r="T279" t="s">
        <v>277</v>
      </c>
      <c r="U279" t="s">
        <v>6620</v>
      </c>
      <c r="V279" s="3">
        <v>4095.77</v>
      </c>
      <c r="W279" s="4">
        <v>1</v>
      </c>
      <c r="X279" s="2">
        <v>0.4</v>
      </c>
      <c r="Y279" s="3">
        <v>195.53</v>
      </c>
      <c r="Z279" t="str">
        <f t="shared" si="50"/>
        <v>Normal</v>
      </c>
      <c r="AA279" t="str">
        <f t="shared" si="51"/>
        <v>High</v>
      </c>
      <c r="AB279" t="str">
        <f t="shared" si="55"/>
        <v>Low Profit</v>
      </c>
      <c r="AC279" s="3">
        <f t="shared" si="56"/>
        <v>4.7739497090901098E-2</v>
      </c>
      <c r="AD279" s="3">
        <f t="shared" si="57"/>
        <v>4095.77</v>
      </c>
      <c r="AE279" s="3">
        <f t="shared" si="58"/>
        <v>195.53</v>
      </c>
      <c r="AF279" t="str">
        <f t="shared" si="59"/>
        <v>Regular</v>
      </c>
    </row>
    <row r="280" spans="1:32" x14ac:dyDescent="0.25">
      <c r="A280" t="s">
        <v>4062</v>
      </c>
      <c r="B280" s="1">
        <v>45065</v>
      </c>
      <c r="C280" s="1">
        <v>45069</v>
      </c>
      <c r="D280" s="4">
        <f t="shared" si="48"/>
        <v>4</v>
      </c>
      <c r="E280" s="4" t="str">
        <f>TEXT(Table1[[#This Row],[Order_Date]],"dddd")</f>
        <v>Friday</v>
      </c>
      <c r="F280" s="4">
        <f t="shared" si="49"/>
        <v>5</v>
      </c>
      <c r="G280" t="str">
        <f t="shared" si="52"/>
        <v>May</v>
      </c>
      <c r="H280">
        <f t="shared" si="53"/>
        <v>2023</v>
      </c>
      <c r="I280" t="str">
        <f t="shared" si="54"/>
        <v>2023-Q2</v>
      </c>
      <c r="J280" t="s">
        <v>104</v>
      </c>
      <c r="K280" t="s">
        <v>4063</v>
      </c>
      <c r="L280" t="s">
        <v>4064</v>
      </c>
      <c r="M280" t="s">
        <v>47</v>
      </c>
      <c r="N280" t="s">
        <v>25</v>
      </c>
      <c r="O280" t="s">
        <v>99</v>
      </c>
      <c r="P280" t="s">
        <v>74</v>
      </c>
      <c r="Q280" t="s">
        <v>39</v>
      </c>
      <c r="R280" t="s">
        <v>4065</v>
      </c>
      <c r="S280" t="s">
        <v>59</v>
      </c>
      <c r="T280" t="s">
        <v>60</v>
      </c>
      <c r="U280" t="s">
        <v>4066</v>
      </c>
      <c r="V280" s="3">
        <v>600.39</v>
      </c>
      <c r="W280" s="4">
        <v>8</v>
      </c>
      <c r="X280" s="2">
        <v>0.1</v>
      </c>
      <c r="Y280" s="3">
        <v>4.34</v>
      </c>
      <c r="Z280" t="str">
        <f t="shared" si="50"/>
        <v>Normal</v>
      </c>
      <c r="AA280" t="str">
        <f t="shared" si="51"/>
        <v>Medium</v>
      </c>
      <c r="AB280" t="str">
        <f t="shared" si="55"/>
        <v>Low Profit</v>
      </c>
      <c r="AC280" s="3">
        <f t="shared" si="56"/>
        <v>7.2286347207648361E-3</v>
      </c>
      <c r="AD280" s="3">
        <f t="shared" si="57"/>
        <v>75.048749999999998</v>
      </c>
      <c r="AE280" s="3">
        <f t="shared" si="58"/>
        <v>0.54249999999999998</v>
      </c>
      <c r="AF280" t="str">
        <f t="shared" si="59"/>
        <v>Regular</v>
      </c>
    </row>
    <row r="281" spans="1:32" x14ac:dyDescent="0.25">
      <c r="A281" t="s">
        <v>7338</v>
      </c>
      <c r="B281" s="1">
        <v>45065</v>
      </c>
      <c r="C281" s="1">
        <v>45069</v>
      </c>
      <c r="D281" s="4">
        <f t="shared" si="48"/>
        <v>4</v>
      </c>
      <c r="E281" s="4" t="str">
        <f>TEXT(Table1[[#This Row],[Order_Date]],"dddd")</f>
        <v>Friday</v>
      </c>
      <c r="F281" s="4">
        <f t="shared" si="49"/>
        <v>5</v>
      </c>
      <c r="G281" t="str">
        <f t="shared" si="52"/>
        <v>May</v>
      </c>
      <c r="H281">
        <f t="shared" si="53"/>
        <v>2023</v>
      </c>
      <c r="I281" t="str">
        <f t="shared" si="54"/>
        <v>2023-Q2</v>
      </c>
      <c r="J281" t="s">
        <v>55</v>
      </c>
      <c r="K281" t="s">
        <v>7339</v>
      </c>
      <c r="L281" t="s">
        <v>7340</v>
      </c>
      <c r="M281" t="s">
        <v>36</v>
      </c>
      <c r="N281" t="s">
        <v>25</v>
      </c>
      <c r="O281" t="s">
        <v>611</v>
      </c>
      <c r="P281" t="s">
        <v>74</v>
      </c>
      <c r="Q281" t="s">
        <v>28</v>
      </c>
      <c r="R281" t="s">
        <v>7341</v>
      </c>
      <c r="S281" t="s">
        <v>59</v>
      </c>
      <c r="T281" t="s">
        <v>60</v>
      </c>
      <c r="U281" t="s">
        <v>7342</v>
      </c>
      <c r="V281" s="3">
        <v>3313.75</v>
      </c>
      <c r="W281" s="4">
        <v>8</v>
      </c>
      <c r="X281" s="2">
        <v>0.2</v>
      </c>
      <c r="Y281" s="3">
        <v>910.33</v>
      </c>
      <c r="Z281" t="str">
        <f t="shared" si="50"/>
        <v>Normal</v>
      </c>
      <c r="AA281" t="str">
        <f t="shared" si="51"/>
        <v>High</v>
      </c>
      <c r="AB281" t="str">
        <f t="shared" si="55"/>
        <v>High Profit</v>
      </c>
      <c r="AC281" s="3">
        <f t="shared" si="56"/>
        <v>0.27471293851376838</v>
      </c>
      <c r="AD281" s="3">
        <f t="shared" si="57"/>
        <v>414.21875</v>
      </c>
      <c r="AE281" s="3">
        <f t="shared" si="58"/>
        <v>113.79125000000001</v>
      </c>
      <c r="AF281" t="str">
        <f t="shared" si="59"/>
        <v>Regular</v>
      </c>
    </row>
    <row r="282" spans="1:32" x14ac:dyDescent="0.25">
      <c r="A282" t="s">
        <v>5969</v>
      </c>
      <c r="B282" s="1">
        <v>45066</v>
      </c>
      <c r="C282" s="1">
        <v>45072</v>
      </c>
      <c r="D282" s="4">
        <f t="shared" si="48"/>
        <v>6</v>
      </c>
      <c r="E282" s="4" t="str">
        <f>TEXT(Table1[[#This Row],[Order_Date]],"dddd")</f>
        <v>Saturday</v>
      </c>
      <c r="F282" s="4">
        <f t="shared" si="49"/>
        <v>5</v>
      </c>
      <c r="G282" t="str">
        <f t="shared" si="52"/>
        <v>May</v>
      </c>
      <c r="H282">
        <f t="shared" si="53"/>
        <v>2023</v>
      </c>
      <c r="I282" t="str">
        <f t="shared" si="54"/>
        <v>2023-Q2</v>
      </c>
      <c r="J282" t="s">
        <v>21</v>
      </c>
      <c r="K282" t="s">
        <v>5970</v>
      </c>
      <c r="L282" t="s">
        <v>5971</v>
      </c>
      <c r="M282" t="s">
        <v>47</v>
      </c>
      <c r="N282" t="s">
        <v>25</v>
      </c>
      <c r="O282" t="s">
        <v>255</v>
      </c>
      <c r="P282" t="s">
        <v>143</v>
      </c>
      <c r="Q282" t="s">
        <v>28</v>
      </c>
      <c r="R282" t="s">
        <v>5972</v>
      </c>
      <c r="S282" t="s">
        <v>51</v>
      </c>
      <c r="T282" t="s">
        <v>127</v>
      </c>
      <c r="U282" t="s">
        <v>5973</v>
      </c>
      <c r="V282" s="3">
        <v>2651.74</v>
      </c>
      <c r="W282" s="4">
        <v>1</v>
      </c>
      <c r="X282" s="2">
        <v>0.2</v>
      </c>
      <c r="Y282" s="3">
        <v>-202.09</v>
      </c>
      <c r="Z282" t="str">
        <f t="shared" si="50"/>
        <v>Normal</v>
      </c>
      <c r="AA282" t="str">
        <f t="shared" si="51"/>
        <v>High</v>
      </c>
      <c r="AB282" t="str">
        <f t="shared" si="55"/>
        <v>Loss</v>
      </c>
      <c r="AC282" s="3">
        <f t="shared" si="56"/>
        <v>-7.6210337363391598E-2</v>
      </c>
      <c r="AD282" s="3">
        <f t="shared" si="57"/>
        <v>2651.74</v>
      </c>
      <c r="AE282" s="3">
        <f t="shared" si="58"/>
        <v>-202.09</v>
      </c>
      <c r="AF282" t="str">
        <f t="shared" si="59"/>
        <v>Regular</v>
      </c>
    </row>
    <row r="283" spans="1:32" x14ac:dyDescent="0.25">
      <c r="A283" t="s">
        <v>7024</v>
      </c>
      <c r="B283" s="1">
        <v>45067</v>
      </c>
      <c r="C283" s="1">
        <v>45072</v>
      </c>
      <c r="D283" s="4">
        <f t="shared" si="48"/>
        <v>5</v>
      </c>
      <c r="E283" s="4" t="str">
        <f>TEXT(Table1[[#This Row],[Order_Date]],"dddd")</f>
        <v>Sunday</v>
      </c>
      <c r="F283" s="4">
        <f t="shared" si="49"/>
        <v>5</v>
      </c>
      <c r="G283" t="str">
        <f t="shared" si="52"/>
        <v>May</v>
      </c>
      <c r="H283">
        <f t="shared" si="53"/>
        <v>2023</v>
      </c>
      <c r="I283" t="str">
        <f t="shared" si="54"/>
        <v>2023-Q2</v>
      </c>
      <c r="J283" t="s">
        <v>55</v>
      </c>
      <c r="K283" t="s">
        <v>7025</v>
      </c>
      <c r="L283" t="s">
        <v>7026</v>
      </c>
      <c r="M283" t="s">
        <v>47</v>
      </c>
      <c r="N283" t="s">
        <v>25</v>
      </c>
      <c r="O283" t="s">
        <v>201</v>
      </c>
      <c r="P283" t="s">
        <v>113</v>
      </c>
      <c r="Q283" t="s">
        <v>66</v>
      </c>
      <c r="R283" t="s">
        <v>7027</v>
      </c>
      <c r="S283" t="s">
        <v>59</v>
      </c>
      <c r="T283" t="s">
        <v>303</v>
      </c>
      <c r="U283" t="s">
        <v>4306</v>
      </c>
      <c r="V283" s="3">
        <v>1018.43</v>
      </c>
      <c r="W283" s="4">
        <v>5</v>
      </c>
      <c r="X283" s="2">
        <v>0.3</v>
      </c>
      <c r="Y283" s="3">
        <v>34.26</v>
      </c>
      <c r="Z283" t="str">
        <f t="shared" si="50"/>
        <v>Normal</v>
      </c>
      <c r="AA283" t="str">
        <f t="shared" si="51"/>
        <v>High</v>
      </c>
      <c r="AB283" t="str">
        <f t="shared" si="55"/>
        <v>Low Profit</v>
      </c>
      <c r="AC283" s="3">
        <f t="shared" si="56"/>
        <v>3.3640014532172066E-2</v>
      </c>
      <c r="AD283" s="3">
        <f t="shared" si="57"/>
        <v>203.68599999999998</v>
      </c>
      <c r="AE283" s="3">
        <f t="shared" si="58"/>
        <v>6.8519999999999994</v>
      </c>
      <c r="AF283" t="str">
        <f t="shared" si="59"/>
        <v>Regular</v>
      </c>
    </row>
    <row r="284" spans="1:32" x14ac:dyDescent="0.25">
      <c r="A284" t="s">
        <v>4426</v>
      </c>
      <c r="B284" s="1">
        <v>45067</v>
      </c>
      <c r="C284" s="1">
        <v>45071</v>
      </c>
      <c r="D284" s="4">
        <f t="shared" si="48"/>
        <v>4</v>
      </c>
      <c r="E284" s="4" t="str">
        <f>TEXT(Table1[[#This Row],[Order_Date]],"dddd")</f>
        <v>Sunday</v>
      </c>
      <c r="F284" s="4">
        <f t="shared" si="49"/>
        <v>5</v>
      </c>
      <c r="G284" t="str">
        <f t="shared" si="52"/>
        <v>May</v>
      </c>
      <c r="H284">
        <f t="shared" si="53"/>
        <v>2023</v>
      </c>
      <c r="I284" t="str">
        <f t="shared" si="54"/>
        <v>2023-Q2</v>
      </c>
      <c r="J284" t="s">
        <v>44</v>
      </c>
      <c r="K284" t="s">
        <v>4427</v>
      </c>
      <c r="L284" t="s">
        <v>4428</v>
      </c>
      <c r="M284" t="s">
        <v>47</v>
      </c>
      <c r="N284" t="s">
        <v>25</v>
      </c>
      <c r="O284" t="s">
        <v>156</v>
      </c>
      <c r="P284" t="s">
        <v>143</v>
      </c>
      <c r="Q284" t="s">
        <v>87</v>
      </c>
      <c r="R284" t="s">
        <v>4429</v>
      </c>
      <c r="S284" t="s">
        <v>59</v>
      </c>
      <c r="T284" t="s">
        <v>60</v>
      </c>
      <c r="U284" t="s">
        <v>4430</v>
      </c>
      <c r="V284" s="3">
        <v>1463.11</v>
      </c>
      <c r="W284" s="4">
        <v>4</v>
      </c>
      <c r="X284" s="2">
        <v>0.1</v>
      </c>
      <c r="Y284" s="3">
        <v>-157.47</v>
      </c>
      <c r="Z284" t="str">
        <f t="shared" si="50"/>
        <v>Normal</v>
      </c>
      <c r="AA284" t="str">
        <f t="shared" si="51"/>
        <v>Medium</v>
      </c>
      <c r="AB284" t="str">
        <f t="shared" si="55"/>
        <v>Loss</v>
      </c>
      <c r="AC284" s="3">
        <f t="shared" si="56"/>
        <v>-0.10762690433391885</v>
      </c>
      <c r="AD284" s="3">
        <f t="shared" si="57"/>
        <v>365.77749999999997</v>
      </c>
      <c r="AE284" s="3">
        <f t="shared" si="58"/>
        <v>-39.3675</v>
      </c>
      <c r="AF284" t="str">
        <f t="shared" si="59"/>
        <v>Regular</v>
      </c>
    </row>
    <row r="285" spans="1:32" x14ac:dyDescent="0.25">
      <c r="A285" t="s">
        <v>1161</v>
      </c>
      <c r="B285" s="1">
        <v>45067</v>
      </c>
      <c r="C285" s="1">
        <v>45072</v>
      </c>
      <c r="D285" s="4">
        <f t="shared" si="48"/>
        <v>5</v>
      </c>
      <c r="E285" s="4" t="str">
        <f>TEXT(Table1[[#This Row],[Order_Date]],"dddd")</f>
        <v>Sunday</v>
      </c>
      <c r="F285" s="4">
        <f t="shared" si="49"/>
        <v>5</v>
      </c>
      <c r="G285" t="str">
        <f t="shared" si="52"/>
        <v>May</v>
      </c>
      <c r="H285">
        <f t="shared" si="53"/>
        <v>2023</v>
      </c>
      <c r="I285" t="str">
        <f t="shared" si="54"/>
        <v>2023-Q2</v>
      </c>
      <c r="J285" t="s">
        <v>44</v>
      </c>
      <c r="K285" t="s">
        <v>1162</v>
      </c>
      <c r="L285" t="s">
        <v>1163</v>
      </c>
      <c r="M285" t="s">
        <v>24</v>
      </c>
      <c r="N285" t="s">
        <v>25</v>
      </c>
      <c r="O285" t="s">
        <v>142</v>
      </c>
      <c r="P285" t="s">
        <v>143</v>
      </c>
      <c r="Q285" t="s">
        <v>66</v>
      </c>
      <c r="R285" t="s">
        <v>1164</v>
      </c>
      <c r="S285" t="s">
        <v>59</v>
      </c>
      <c r="T285" t="s">
        <v>277</v>
      </c>
      <c r="U285" t="s">
        <v>1165</v>
      </c>
      <c r="V285" s="3">
        <v>473.17</v>
      </c>
      <c r="W285" s="4">
        <v>9</v>
      </c>
      <c r="X285" s="2">
        <v>0.2</v>
      </c>
      <c r="Y285" s="3">
        <v>28.71</v>
      </c>
      <c r="Z285" t="str">
        <f t="shared" si="50"/>
        <v>Normal</v>
      </c>
      <c r="AA285" t="str">
        <f t="shared" si="51"/>
        <v>High</v>
      </c>
      <c r="AB285" t="str">
        <f t="shared" si="55"/>
        <v>Low Profit</v>
      </c>
      <c r="AC285" s="3">
        <f t="shared" si="56"/>
        <v>6.0675867024536638E-2</v>
      </c>
      <c r="AD285" s="3">
        <f t="shared" si="57"/>
        <v>52.574444444444445</v>
      </c>
      <c r="AE285" s="3">
        <f t="shared" si="58"/>
        <v>3.19</v>
      </c>
      <c r="AF285" t="str">
        <f t="shared" si="59"/>
        <v>Regular</v>
      </c>
    </row>
    <row r="286" spans="1:32" x14ac:dyDescent="0.25">
      <c r="A286" t="s">
        <v>2770</v>
      </c>
      <c r="B286" s="1">
        <v>45067</v>
      </c>
      <c r="C286" s="1">
        <v>45069</v>
      </c>
      <c r="D286" s="4">
        <f t="shared" si="48"/>
        <v>2</v>
      </c>
      <c r="E286" s="4" t="str">
        <f>TEXT(Table1[[#This Row],[Order_Date]],"dddd")</f>
        <v>Sunday</v>
      </c>
      <c r="F286" s="4">
        <f t="shared" si="49"/>
        <v>5</v>
      </c>
      <c r="G286" t="str">
        <f t="shared" si="52"/>
        <v>May</v>
      </c>
      <c r="H286">
        <f t="shared" si="53"/>
        <v>2023</v>
      </c>
      <c r="I286" t="str">
        <f t="shared" si="54"/>
        <v>2023-Q2</v>
      </c>
      <c r="J286" t="s">
        <v>55</v>
      </c>
      <c r="K286" t="s">
        <v>2771</v>
      </c>
      <c r="L286" t="s">
        <v>2772</v>
      </c>
      <c r="M286" t="s">
        <v>36</v>
      </c>
      <c r="N286" t="s">
        <v>25</v>
      </c>
      <c r="O286" t="s">
        <v>80</v>
      </c>
      <c r="P286" t="s">
        <v>49</v>
      </c>
      <c r="Q286" t="s">
        <v>28</v>
      </c>
      <c r="R286" t="s">
        <v>2773</v>
      </c>
      <c r="S286" t="s">
        <v>51</v>
      </c>
      <c r="T286" t="s">
        <v>108</v>
      </c>
      <c r="U286" t="s">
        <v>2774</v>
      </c>
      <c r="V286" s="3">
        <v>2791.27</v>
      </c>
      <c r="W286" s="4">
        <v>8</v>
      </c>
      <c r="X286" s="2">
        <v>0</v>
      </c>
      <c r="Y286" s="3">
        <v>796.72</v>
      </c>
      <c r="Z286" t="str">
        <f t="shared" si="50"/>
        <v>Normal</v>
      </c>
      <c r="AA286" t="str">
        <f t="shared" si="51"/>
        <v>Low</v>
      </c>
      <c r="AB286" t="str">
        <f t="shared" si="55"/>
        <v>High Profit</v>
      </c>
      <c r="AC286" s="3">
        <f t="shared" si="56"/>
        <v>0.28543279582412306</v>
      </c>
      <c r="AD286" s="3">
        <f t="shared" si="57"/>
        <v>348.90875</v>
      </c>
      <c r="AE286" s="3">
        <f t="shared" si="58"/>
        <v>99.59</v>
      </c>
      <c r="AF286" t="str">
        <f t="shared" si="59"/>
        <v>Regular</v>
      </c>
    </row>
    <row r="287" spans="1:32" x14ac:dyDescent="0.25">
      <c r="A287" t="s">
        <v>2354</v>
      </c>
      <c r="B287" s="1">
        <v>45067</v>
      </c>
      <c r="C287" s="1">
        <v>45074</v>
      </c>
      <c r="D287" s="4">
        <f t="shared" si="48"/>
        <v>7</v>
      </c>
      <c r="E287" s="4" t="str">
        <f>TEXT(Table1[[#This Row],[Order_Date]],"dddd")</f>
        <v>Sunday</v>
      </c>
      <c r="F287" s="4">
        <f t="shared" si="49"/>
        <v>5</v>
      </c>
      <c r="G287" t="str">
        <f t="shared" si="52"/>
        <v>May</v>
      </c>
      <c r="H287">
        <f t="shared" si="53"/>
        <v>2023</v>
      </c>
      <c r="I287" t="str">
        <f t="shared" si="54"/>
        <v>2023-Q2</v>
      </c>
      <c r="J287" t="s">
        <v>44</v>
      </c>
      <c r="K287" t="s">
        <v>2355</v>
      </c>
      <c r="L287" t="s">
        <v>2356</v>
      </c>
      <c r="M287" t="s">
        <v>47</v>
      </c>
      <c r="N287" t="s">
        <v>25</v>
      </c>
      <c r="O287" t="s">
        <v>451</v>
      </c>
      <c r="P287" t="s">
        <v>38</v>
      </c>
      <c r="Q287" t="s">
        <v>28</v>
      </c>
      <c r="R287" t="s">
        <v>2357</v>
      </c>
      <c r="S287" t="s">
        <v>30</v>
      </c>
      <c r="T287" t="s">
        <v>68</v>
      </c>
      <c r="U287" t="s">
        <v>2358</v>
      </c>
      <c r="V287" s="3">
        <v>2955.18</v>
      </c>
      <c r="W287" s="4">
        <v>2</v>
      </c>
      <c r="X287" s="2">
        <v>0</v>
      </c>
      <c r="Y287" s="3">
        <v>841.11</v>
      </c>
      <c r="Z287" t="str">
        <f t="shared" si="50"/>
        <v>Normal</v>
      </c>
      <c r="AA287" t="str">
        <f t="shared" si="51"/>
        <v>Low</v>
      </c>
      <c r="AB287" t="str">
        <f t="shared" si="55"/>
        <v>High Profit</v>
      </c>
      <c r="AC287" s="3">
        <f t="shared" si="56"/>
        <v>0.28462225651229367</v>
      </c>
      <c r="AD287" s="3">
        <f t="shared" si="57"/>
        <v>1477.59</v>
      </c>
      <c r="AE287" s="3">
        <f t="shared" si="58"/>
        <v>420.55500000000001</v>
      </c>
      <c r="AF287" t="str">
        <f t="shared" si="59"/>
        <v>Regular</v>
      </c>
    </row>
    <row r="288" spans="1:32" x14ac:dyDescent="0.25">
      <c r="A288" t="s">
        <v>1878</v>
      </c>
      <c r="B288" s="1">
        <v>45069</v>
      </c>
      <c r="C288" s="1">
        <v>45077</v>
      </c>
      <c r="D288" s="4">
        <f t="shared" si="48"/>
        <v>8</v>
      </c>
      <c r="E288" s="4" t="str">
        <f>TEXT(Table1[[#This Row],[Order_Date]],"dddd")</f>
        <v>Tuesday</v>
      </c>
      <c r="F288" s="4">
        <f t="shared" si="49"/>
        <v>5</v>
      </c>
      <c r="G288" t="str">
        <f t="shared" si="52"/>
        <v>May</v>
      </c>
      <c r="H288">
        <f t="shared" si="53"/>
        <v>2023</v>
      </c>
      <c r="I288" t="str">
        <f t="shared" si="54"/>
        <v>2023-Q2</v>
      </c>
      <c r="J288" t="s">
        <v>104</v>
      </c>
      <c r="K288" t="s">
        <v>1879</v>
      </c>
      <c r="L288" t="s">
        <v>1880</v>
      </c>
      <c r="M288" t="s">
        <v>36</v>
      </c>
      <c r="N288" t="s">
        <v>25</v>
      </c>
      <c r="O288" t="s">
        <v>142</v>
      </c>
      <c r="P288" t="s">
        <v>143</v>
      </c>
      <c r="Q288" t="s">
        <v>87</v>
      </c>
      <c r="R288" t="s">
        <v>1881</v>
      </c>
      <c r="S288" t="s">
        <v>59</v>
      </c>
      <c r="T288" t="s">
        <v>303</v>
      </c>
      <c r="U288" t="s">
        <v>1882</v>
      </c>
      <c r="V288" s="3">
        <v>287.70999999999998</v>
      </c>
      <c r="W288" s="4">
        <v>2</v>
      </c>
      <c r="X288" s="2">
        <v>0.2</v>
      </c>
      <c r="Y288" s="3">
        <v>0.66</v>
      </c>
      <c r="Z288" t="str">
        <f t="shared" si="50"/>
        <v>Normal</v>
      </c>
      <c r="AA288" t="str">
        <f t="shared" si="51"/>
        <v>High</v>
      </c>
      <c r="AB288" t="str">
        <f t="shared" si="55"/>
        <v>Low Profit</v>
      </c>
      <c r="AC288" s="3">
        <f t="shared" si="56"/>
        <v>2.2939765736331727E-3</v>
      </c>
      <c r="AD288" s="3">
        <f t="shared" si="57"/>
        <v>143.85499999999999</v>
      </c>
      <c r="AE288" s="3">
        <f t="shared" si="58"/>
        <v>0.33</v>
      </c>
      <c r="AF288" t="str">
        <f t="shared" si="59"/>
        <v>Regular</v>
      </c>
    </row>
    <row r="289" spans="1:32" x14ac:dyDescent="0.25">
      <c r="A289" t="s">
        <v>5347</v>
      </c>
      <c r="B289" s="1">
        <v>45070</v>
      </c>
      <c r="C289" s="1">
        <v>45078</v>
      </c>
      <c r="D289" s="4">
        <f t="shared" si="48"/>
        <v>8</v>
      </c>
      <c r="E289" s="4" t="str">
        <f>TEXT(Table1[[#This Row],[Order_Date]],"dddd")</f>
        <v>Wednesday</v>
      </c>
      <c r="F289" s="4">
        <f t="shared" si="49"/>
        <v>5</v>
      </c>
      <c r="G289" t="str">
        <f t="shared" si="52"/>
        <v>May</v>
      </c>
      <c r="H289">
        <f t="shared" si="53"/>
        <v>2023</v>
      </c>
      <c r="I289" t="str">
        <f t="shared" si="54"/>
        <v>2023-Q2</v>
      </c>
      <c r="J289" t="s">
        <v>55</v>
      </c>
      <c r="K289" t="s">
        <v>5348</v>
      </c>
      <c r="L289" t="s">
        <v>5349</v>
      </c>
      <c r="M289" t="s">
        <v>47</v>
      </c>
      <c r="N289" t="s">
        <v>25</v>
      </c>
      <c r="O289" t="s">
        <v>73</v>
      </c>
      <c r="P289" t="s">
        <v>74</v>
      </c>
      <c r="Q289" t="s">
        <v>39</v>
      </c>
      <c r="R289" t="s">
        <v>5350</v>
      </c>
      <c r="S289" t="s">
        <v>59</v>
      </c>
      <c r="T289" t="s">
        <v>277</v>
      </c>
      <c r="U289" t="s">
        <v>5351</v>
      </c>
      <c r="V289" s="3">
        <v>153.62</v>
      </c>
      <c r="W289" s="4">
        <v>2</v>
      </c>
      <c r="X289" s="2">
        <v>0.3</v>
      </c>
      <c r="Y289" s="3">
        <v>31.67</v>
      </c>
      <c r="Z289" t="str">
        <f t="shared" si="50"/>
        <v>Normal</v>
      </c>
      <c r="AA289" t="str">
        <f t="shared" si="51"/>
        <v>High</v>
      </c>
      <c r="AB289" t="str">
        <f t="shared" si="55"/>
        <v>Low Profit</v>
      </c>
      <c r="AC289" s="3">
        <f t="shared" si="56"/>
        <v>0.20615805233693529</v>
      </c>
      <c r="AD289" s="3">
        <f t="shared" si="57"/>
        <v>76.81</v>
      </c>
      <c r="AE289" s="3">
        <f t="shared" si="58"/>
        <v>15.835000000000001</v>
      </c>
      <c r="AF289" t="str">
        <f t="shared" si="59"/>
        <v>Regular</v>
      </c>
    </row>
    <row r="290" spans="1:32" x14ac:dyDescent="0.25">
      <c r="A290" t="s">
        <v>3377</v>
      </c>
      <c r="B290" s="1">
        <v>45070</v>
      </c>
      <c r="C290" s="1">
        <v>45077</v>
      </c>
      <c r="D290" s="4">
        <f t="shared" si="48"/>
        <v>7</v>
      </c>
      <c r="E290" s="4" t="str">
        <f>TEXT(Table1[[#This Row],[Order_Date]],"dddd")</f>
        <v>Wednesday</v>
      </c>
      <c r="F290" s="4">
        <f t="shared" si="49"/>
        <v>5</v>
      </c>
      <c r="G290" t="str">
        <f t="shared" si="52"/>
        <v>May</v>
      </c>
      <c r="H290">
        <f t="shared" si="53"/>
        <v>2023</v>
      </c>
      <c r="I290" t="str">
        <f t="shared" si="54"/>
        <v>2023-Q2</v>
      </c>
      <c r="J290" t="s">
        <v>55</v>
      </c>
      <c r="K290" t="s">
        <v>3378</v>
      </c>
      <c r="L290" t="s">
        <v>3379</v>
      </c>
      <c r="M290" t="s">
        <v>36</v>
      </c>
      <c r="N290" t="s">
        <v>25</v>
      </c>
      <c r="O290" t="s">
        <v>119</v>
      </c>
      <c r="P290" t="s">
        <v>120</v>
      </c>
      <c r="Q290" t="s">
        <v>28</v>
      </c>
      <c r="R290" t="s">
        <v>3380</v>
      </c>
      <c r="S290" t="s">
        <v>30</v>
      </c>
      <c r="T290" t="s">
        <v>82</v>
      </c>
      <c r="U290" t="s">
        <v>3381</v>
      </c>
      <c r="V290" s="3">
        <v>2125.0700000000002</v>
      </c>
      <c r="W290" s="4">
        <v>6</v>
      </c>
      <c r="X290" s="2">
        <v>0.4</v>
      </c>
      <c r="Y290" s="3">
        <v>-77.95</v>
      </c>
      <c r="Z290" t="str">
        <f t="shared" si="50"/>
        <v>Normal</v>
      </c>
      <c r="AA290" t="str">
        <f t="shared" si="51"/>
        <v>High</v>
      </c>
      <c r="AB290" t="str">
        <f t="shared" si="55"/>
        <v>Loss</v>
      </c>
      <c r="AC290" s="3">
        <f t="shared" si="56"/>
        <v>-3.6681144621118364E-2</v>
      </c>
      <c r="AD290" s="3">
        <f t="shared" si="57"/>
        <v>354.17833333333334</v>
      </c>
      <c r="AE290" s="3">
        <f t="shared" si="58"/>
        <v>-12.991666666666667</v>
      </c>
      <c r="AF290" t="str">
        <f t="shared" si="59"/>
        <v>Regular</v>
      </c>
    </row>
    <row r="291" spans="1:32" x14ac:dyDescent="0.25">
      <c r="A291" t="s">
        <v>5202</v>
      </c>
      <c r="B291" s="1">
        <v>45070</v>
      </c>
      <c r="C291" s="1">
        <v>45080</v>
      </c>
      <c r="D291" s="4">
        <f t="shared" si="48"/>
        <v>10</v>
      </c>
      <c r="E291" s="4" t="str">
        <f>TEXT(Table1[[#This Row],[Order_Date]],"dddd")</f>
        <v>Wednesday</v>
      </c>
      <c r="F291" s="4">
        <f t="shared" si="49"/>
        <v>5</v>
      </c>
      <c r="G291" t="str">
        <f t="shared" si="52"/>
        <v>May</v>
      </c>
      <c r="H291">
        <f t="shared" si="53"/>
        <v>2023</v>
      </c>
      <c r="I291" t="str">
        <f t="shared" si="54"/>
        <v>2023-Q2</v>
      </c>
      <c r="J291" t="s">
        <v>21</v>
      </c>
      <c r="K291" t="s">
        <v>5203</v>
      </c>
      <c r="L291" t="s">
        <v>5204</v>
      </c>
      <c r="M291" t="s">
        <v>24</v>
      </c>
      <c r="N291" t="s">
        <v>25</v>
      </c>
      <c r="O291" t="s">
        <v>119</v>
      </c>
      <c r="P291" t="s">
        <v>120</v>
      </c>
      <c r="Q291" t="s">
        <v>28</v>
      </c>
      <c r="R291" t="s">
        <v>5205</v>
      </c>
      <c r="S291" t="s">
        <v>51</v>
      </c>
      <c r="T291" t="s">
        <v>151</v>
      </c>
      <c r="U291" t="s">
        <v>5206</v>
      </c>
      <c r="V291" s="3">
        <v>209.81</v>
      </c>
      <c r="W291" s="4">
        <v>4</v>
      </c>
      <c r="X291" s="2">
        <v>0.3</v>
      </c>
      <c r="Y291" s="3">
        <v>45.13</v>
      </c>
      <c r="Z291" t="str">
        <f t="shared" si="50"/>
        <v>Normal</v>
      </c>
      <c r="AA291" t="str">
        <f t="shared" si="51"/>
        <v>High</v>
      </c>
      <c r="AB291" t="str">
        <f t="shared" si="55"/>
        <v>Low Profit</v>
      </c>
      <c r="AC291" s="3">
        <f t="shared" si="56"/>
        <v>0.215099375625566</v>
      </c>
      <c r="AD291" s="3">
        <f t="shared" si="57"/>
        <v>52.452500000000001</v>
      </c>
      <c r="AE291" s="3">
        <f t="shared" si="58"/>
        <v>11.282500000000001</v>
      </c>
      <c r="AF291" t="str">
        <f t="shared" si="59"/>
        <v>Regular</v>
      </c>
    </row>
    <row r="292" spans="1:32" x14ac:dyDescent="0.25">
      <c r="A292" t="s">
        <v>4208</v>
      </c>
      <c r="B292" s="1">
        <v>45070</v>
      </c>
      <c r="C292" s="1">
        <v>45078</v>
      </c>
      <c r="D292" s="4">
        <f t="shared" si="48"/>
        <v>8</v>
      </c>
      <c r="E292" s="4" t="str">
        <f>TEXT(Table1[[#This Row],[Order_Date]],"dddd")</f>
        <v>Wednesday</v>
      </c>
      <c r="F292" s="4">
        <f t="shared" si="49"/>
        <v>5</v>
      </c>
      <c r="G292" t="str">
        <f t="shared" si="52"/>
        <v>May</v>
      </c>
      <c r="H292">
        <f t="shared" si="53"/>
        <v>2023</v>
      </c>
      <c r="I292" t="str">
        <f t="shared" si="54"/>
        <v>2023-Q2</v>
      </c>
      <c r="J292" t="s">
        <v>55</v>
      </c>
      <c r="K292" t="s">
        <v>4209</v>
      </c>
      <c r="L292" t="s">
        <v>4210</v>
      </c>
      <c r="M292" t="s">
        <v>47</v>
      </c>
      <c r="N292" t="s">
        <v>25</v>
      </c>
      <c r="O292" t="s">
        <v>80</v>
      </c>
      <c r="P292" t="s">
        <v>49</v>
      </c>
      <c r="Q292" t="s">
        <v>66</v>
      </c>
      <c r="R292" t="s">
        <v>7403</v>
      </c>
      <c r="S292" t="s">
        <v>59</v>
      </c>
      <c r="T292" t="s">
        <v>101</v>
      </c>
      <c r="U292" t="s">
        <v>4211</v>
      </c>
      <c r="V292" s="3">
        <v>2860.49</v>
      </c>
      <c r="W292" s="4">
        <v>4</v>
      </c>
      <c r="X292" s="2">
        <v>0.3</v>
      </c>
      <c r="Y292" s="3">
        <v>798.7</v>
      </c>
      <c r="Z292" t="str">
        <f t="shared" si="50"/>
        <v>Normal</v>
      </c>
      <c r="AA292" t="str">
        <f t="shared" si="51"/>
        <v>High</v>
      </c>
      <c r="AB292" t="str">
        <f t="shared" si="55"/>
        <v>High Profit</v>
      </c>
      <c r="AC292" s="3">
        <f t="shared" si="56"/>
        <v>0.27921789623456122</v>
      </c>
      <c r="AD292" s="3">
        <f t="shared" si="57"/>
        <v>715.12249999999995</v>
      </c>
      <c r="AE292" s="3">
        <f t="shared" si="58"/>
        <v>199.67500000000001</v>
      </c>
      <c r="AF292" t="str">
        <f t="shared" si="59"/>
        <v>Regular</v>
      </c>
    </row>
    <row r="293" spans="1:32" x14ac:dyDescent="0.25">
      <c r="A293" t="s">
        <v>3610</v>
      </c>
      <c r="B293" s="1">
        <v>45070</v>
      </c>
      <c r="C293" s="1">
        <v>45072</v>
      </c>
      <c r="D293" s="4">
        <f t="shared" si="48"/>
        <v>2</v>
      </c>
      <c r="E293" s="4" t="str">
        <f>TEXT(Table1[[#This Row],[Order_Date]],"dddd")</f>
        <v>Wednesday</v>
      </c>
      <c r="F293" s="4">
        <f t="shared" si="49"/>
        <v>5</v>
      </c>
      <c r="G293" t="str">
        <f t="shared" si="52"/>
        <v>May</v>
      </c>
      <c r="H293">
        <f t="shared" si="53"/>
        <v>2023</v>
      </c>
      <c r="I293" t="str">
        <f t="shared" si="54"/>
        <v>2023-Q2</v>
      </c>
      <c r="J293" t="s">
        <v>104</v>
      </c>
      <c r="K293" t="s">
        <v>3611</v>
      </c>
      <c r="L293" t="s">
        <v>3612</v>
      </c>
      <c r="M293" t="s">
        <v>47</v>
      </c>
      <c r="N293" t="s">
        <v>25</v>
      </c>
      <c r="O293" t="s">
        <v>99</v>
      </c>
      <c r="P293" t="s">
        <v>74</v>
      </c>
      <c r="Q293" t="s">
        <v>39</v>
      </c>
      <c r="R293" t="s">
        <v>3613</v>
      </c>
      <c r="S293" t="s">
        <v>59</v>
      </c>
      <c r="T293" t="s">
        <v>101</v>
      </c>
      <c r="U293" t="s">
        <v>3614</v>
      </c>
      <c r="V293" s="3">
        <v>4226.16</v>
      </c>
      <c r="W293" s="4">
        <v>3</v>
      </c>
      <c r="X293" s="2">
        <v>0.1</v>
      </c>
      <c r="Y293" s="3">
        <v>939.4</v>
      </c>
      <c r="Z293" t="str">
        <f t="shared" si="50"/>
        <v>Normal</v>
      </c>
      <c r="AA293" t="str">
        <f t="shared" si="51"/>
        <v>Medium</v>
      </c>
      <c r="AB293" t="str">
        <f t="shared" si="55"/>
        <v>High Profit</v>
      </c>
      <c r="AC293" s="3">
        <f t="shared" si="56"/>
        <v>0.22228216631646697</v>
      </c>
      <c r="AD293" s="3">
        <f t="shared" si="57"/>
        <v>1408.72</v>
      </c>
      <c r="AE293" s="3">
        <f t="shared" si="58"/>
        <v>313.13333333333333</v>
      </c>
      <c r="AF293" t="str">
        <f t="shared" si="59"/>
        <v>Regular</v>
      </c>
    </row>
    <row r="294" spans="1:32" x14ac:dyDescent="0.25">
      <c r="A294" t="s">
        <v>4441</v>
      </c>
      <c r="B294" s="1">
        <v>45070</v>
      </c>
      <c r="C294" s="1">
        <v>45079</v>
      </c>
      <c r="D294" s="4">
        <f t="shared" si="48"/>
        <v>9</v>
      </c>
      <c r="E294" s="4" t="str">
        <f>TEXT(Table1[[#This Row],[Order_Date]],"dddd")</f>
        <v>Wednesday</v>
      </c>
      <c r="F294" s="4">
        <f t="shared" si="49"/>
        <v>5</v>
      </c>
      <c r="G294" t="str">
        <f t="shared" si="52"/>
        <v>May</v>
      </c>
      <c r="H294">
        <f t="shared" si="53"/>
        <v>2023</v>
      </c>
      <c r="I294" t="str">
        <f t="shared" si="54"/>
        <v>2023-Q2</v>
      </c>
      <c r="J294" t="s">
        <v>55</v>
      </c>
      <c r="K294" t="s">
        <v>4442</v>
      </c>
      <c r="L294" t="s">
        <v>4443</v>
      </c>
      <c r="M294" t="s">
        <v>24</v>
      </c>
      <c r="N294" t="s">
        <v>25</v>
      </c>
      <c r="O294" t="s">
        <v>162</v>
      </c>
      <c r="P294" t="s">
        <v>163</v>
      </c>
      <c r="Q294" t="s">
        <v>39</v>
      </c>
      <c r="R294" t="s">
        <v>4444</v>
      </c>
      <c r="S294" t="s">
        <v>51</v>
      </c>
      <c r="T294" t="s">
        <v>127</v>
      </c>
      <c r="U294" t="s">
        <v>4445</v>
      </c>
      <c r="V294" s="3">
        <v>2944.68</v>
      </c>
      <c r="W294" s="4">
        <v>5</v>
      </c>
      <c r="X294" s="2">
        <v>0.4</v>
      </c>
      <c r="Y294" s="3">
        <v>513.73</v>
      </c>
      <c r="Z294" t="str">
        <f t="shared" si="50"/>
        <v>Normal</v>
      </c>
      <c r="AA294" t="str">
        <f t="shared" si="51"/>
        <v>High</v>
      </c>
      <c r="AB294" t="str">
        <f t="shared" si="55"/>
        <v>High Profit</v>
      </c>
      <c r="AC294" s="3">
        <f t="shared" si="56"/>
        <v>0.17446038279201817</v>
      </c>
      <c r="AD294" s="3">
        <f t="shared" si="57"/>
        <v>588.93599999999992</v>
      </c>
      <c r="AE294" s="3">
        <f t="shared" si="58"/>
        <v>102.74600000000001</v>
      </c>
      <c r="AF294" t="str">
        <f t="shared" si="59"/>
        <v>Regular</v>
      </c>
    </row>
    <row r="295" spans="1:32" x14ac:dyDescent="0.25">
      <c r="A295" t="s">
        <v>2646</v>
      </c>
      <c r="B295" s="1">
        <v>45070</v>
      </c>
      <c r="C295" s="1">
        <v>45073</v>
      </c>
      <c r="D295" s="4">
        <f t="shared" si="48"/>
        <v>3</v>
      </c>
      <c r="E295" s="4" t="str">
        <f>TEXT(Table1[[#This Row],[Order_Date]],"dddd")</f>
        <v>Wednesday</v>
      </c>
      <c r="F295" s="4">
        <f t="shared" si="49"/>
        <v>5</v>
      </c>
      <c r="G295" t="str">
        <f t="shared" si="52"/>
        <v>May</v>
      </c>
      <c r="H295">
        <f t="shared" si="53"/>
        <v>2023</v>
      </c>
      <c r="I295" t="str">
        <f t="shared" si="54"/>
        <v>2023-Q2</v>
      </c>
      <c r="J295" t="s">
        <v>21</v>
      </c>
      <c r="K295" t="s">
        <v>2647</v>
      </c>
      <c r="L295" t="s">
        <v>2648</v>
      </c>
      <c r="M295" t="s">
        <v>36</v>
      </c>
      <c r="N295" t="s">
        <v>25</v>
      </c>
      <c r="O295" t="s">
        <v>611</v>
      </c>
      <c r="P295" t="s">
        <v>74</v>
      </c>
      <c r="Q295" t="s">
        <v>66</v>
      </c>
      <c r="R295" t="s">
        <v>2649</v>
      </c>
      <c r="S295" t="s">
        <v>51</v>
      </c>
      <c r="T295" t="s">
        <v>108</v>
      </c>
      <c r="U295" t="s">
        <v>2650</v>
      </c>
      <c r="V295" s="3">
        <v>3543.44</v>
      </c>
      <c r="W295" s="4">
        <v>10</v>
      </c>
      <c r="X295" s="2">
        <v>0.1</v>
      </c>
      <c r="Y295" s="3">
        <v>732.29</v>
      </c>
      <c r="Z295" t="str">
        <f t="shared" si="50"/>
        <v>Normal</v>
      </c>
      <c r="AA295" t="str">
        <f t="shared" si="51"/>
        <v>Medium</v>
      </c>
      <c r="AB295" t="str">
        <f t="shared" si="55"/>
        <v>High Profit</v>
      </c>
      <c r="AC295" s="3">
        <f t="shared" si="56"/>
        <v>0.20666075903641656</v>
      </c>
      <c r="AD295" s="3">
        <f t="shared" si="57"/>
        <v>354.34399999999999</v>
      </c>
      <c r="AE295" s="3">
        <f t="shared" si="58"/>
        <v>73.228999999999999</v>
      </c>
      <c r="AF295" t="str">
        <f t="shared" si="59"/>
        <v>Regular</v>
      </c>
    </row>
    <row r="296" spans="1:32" x14ac:dyDescent="0.25">
      <c r="A296" t="s">
        <v>5033</v>
      </c>
      <c r="B296" s="1">
        <v>45071</v>
      </c>
      <c r="C296" s="1">
        <v>45074</v>
      </c>
      <c r="D296" s="4">
        <f t="shared" si="48"/>
        <v>3</v>
      </c>
      <c r="E296" s="4" t="str">
        <f>TEXT(Table1[[#This Row],[Order_Date]],"dddd")</f>
        <v>Thursday</v>
      </c>
      <c r="F296" s="4">
        <f t="shared" si="49"/>
        <v>5</v>
      </c>
      <c r="G296" t="str">
        <f t="shared" si="52"/>
        <v>May</v>
      </c>
      <c r="H296">
        <f t="shared" si="53"/>
        <v>2023</v>
      </c>
      <c r="I296" t="str">
        <f t="shared" si="54"/>
        <v>2023-Q2</v>
      </c>
      <c r="J296" t="s">
        <v>55</v>
      </c>
      <c r="K296" t="s">
        <v>5034</v>
      </c>
      <c r="L296" t="s">
        <v>5035</v>
      </c>
      <c r="M296" t="s">
        <v>47</v>
      </c>
      <c r="N296" t="s">
        <v>25</v>
      </c>
      <c r="O296" t="s">
        <v>244</v>
      </c>
      <c r="P296" t="s">
        <v>163</v>
      </c>
      <c r="Q296" t="s">
        <v>28</v>
      </c>
      <c r="R296" t="s">
        <v>5036</v>
      </c>
      <c r="S296" t="s">
        <v>59</v>
      </c>
      <c r="T296" t="s">
        <v>303</v>
      </c>
      <c r="U296" t="s">
        <v>5037</v>
      </c>
      <c r="V296" s="3">
        <v>3727.28</v>
      </c>
      <c r="W296" s="4">
        <v>9</v>
      </c>
      <c r="X296" s="2">
        <v>0.1</v>
      </c>
      <c r="Y296" s="3">
        <v>-141.66999999999999</v>
      </c>
      <c r="Z296" t="str">
        <f t="shared" si="50"/>
        <v>Normal</v>
      </c>
      <c r="AA296" t="str">
        <f t="shared" si="51"/>
        <v>Medium</v>
      </c>
      <c r="AB296" t="str">
        <f t="shared" si="55"/>
        <v>Loss</v>
      </c>
      <c r="AC296" s="3">
        <f t="shared" si="56"/>
        <v>-3.8008950226438576E-2</v>
      </c>
      <c r="AD296" s="3">
        <f t="shared" si="57"/>
        <v>414.14222222222224</v>
      </c>
      <c r="AE296" s="3">
        <f t="shared" si="58"/>
        <v>-15.74111111111111</v>
      </c>
      <c r="AF296" t="str">
        <f t="shared" si="59"/>
        <v>Regular</v>
      </c>
    </row>
    <row r="297" spans="1:32" x14ac:dyDescent="0.25">
      <c r="A297" t="s">
        <v>6008</v>
      </c>
      <c r="B297" s="1">
        <v>45071</v>
      </c>
      <c r="C297" s="1">
        <v>45077</v>
      </c>
      <c r="D297" s="4">
        <f t="shared" si="48"/>
        <v>6</v>
      </c>
      <c r="E297" s="4" t="str">
        <f>TEXT(Table1[[#This Row],[Order_Date]],"dddd")</f>
        <v>Thursday</v>
      </c>
      <c r="F297" s="4">
        <f t="shared" si="49"/>
        <v>5</v>
      </c>
      <c r="G297" t="str">
        <f t="shared" si="52"/>
        <v>May</v>
      </c>
      <c r="H297">
        <f t="shared" si="53"/>
        <v>2023</v>
      </c>
      <c r="I297" t="str">
        <f t="shared" si="54"/>
        <v>2023-Q2</v>
      </c>
      <c r="J297" t="s">
        <v>44</v>
      </c>
      <c r="K297" t="s">
        <v>6009</v>
      </c>
      <c r="L297" t="s">
        <v>6010</v>
      </c>
      <c r="M297" t="s">
        <v>47</v>
      </c>
      <c r="N297" t="s">
        <v>25</v>
      </c>
      <c r="O297" t="s">
        <v>48</v>
      </c>
      <c r="P297" t="s">
        <v>49</v>
      </c>
      <c r="Q297" t="s">
        <v>87</v>
      </c>
      <c r="R297" t="s">
        <v>6011</v>
      </c>
      <c r="S297" t="s">
        <v>59</v>
      </c>
      <c r="T297" t="s">
        <v>101</v>
      </c>
      <c r="U297" t="s">
        <v>4435</v>
      </c>
      <c r="V297" s="3">
        <v>4548.3599999999997</v>
      </c>
      <c r="W297" s="4">
        <v>6</v>
      </c>
      <c r="X297" s="2">
        <v>0.4</v>
      </c>
      <c r="Y297" s="3">
        <v>1284.1500000000001</v>
      </c>
      <c r="Z297" t="str">
        <f t="shared" si="50"/>
        <v>Outlier</v>
      </c>
      <c r="AA297" t="str">
        <f t="shared" si="51"/>
        <v>High</v>
      </c>
      <c r="AB297" t="str">
        <f t="shared" si="55"/>
        <v>High Profit</v>
      </c>
      <c r="AC297" s="3">
        <f t="shared" si="56"/>
        <v>0.28233253304487776</v>
      </c>
      <c r="AD297" s="3">
        <f t="shared" si="57"/>
        <v>758.06</v>
      </c>
      <c r="AE297" s="3">
        <f t="shared" si="58"/>
        <v>214.02500000000001</v>
      </c>
      <c r="AF297" t="str">
        <f t="shared" si="59"/>
        <v>Regular</v>
      </c>
    </row>
    <row r="298" spans="1:32" x14ac:dyDescent="0.25">
      <c r="A298" t="s">
        <v>588</v>
      </c>
      <c r="B298" s="1">
        <v>45072</v>
      </c>
      <c r="C298" s="1">
        <v>45078</v>
      </c>
      <c r="D298" s="4">
        <f t="shared" si="48"/>
        <v>6</v>
      </c>
      <c r="E298" s="4" t="str">
        <f>TEXT(Table1[[#This Row],[Order_Date]],"dddd")</f>
        <v>Friday</v>
      </c>
      <c r="F298" s="4">
        <f t="shared" si="49"/>
        <v>5</v>
      </c>
      <c r="G298" t="str">
        <f t="shared" si="52"/>
        <v>May</v>
      </c>
      <c r="H298">
        <f t="shared" si="53"/>
        <v>2023</v>
      </c>
      <c r="I298" t="str">
        <f t="shared" si="54"/>
        <v>2023-Q2</v>
      </c>
      <c r="J298" t="s">
        <v>55</v>
      </c>
      <c r="K298" t="s">
        <v>589</v>
      </c>
      <c r="L298" t="s">
        <v>590</v>
      </c>
      <c r="M298" t="s">
        <v>36</v>
      </c>
      <c r="N298" t="s">
        <v>25</v>
      </c>
      <c r="O298" t="s">
        <v>119</v>
      </c>
      <c r="P298" t="s">
        <v>120</v>
      </c>
      <c r="Q298" t="s">
        <v>66</v>
      </c>
      <c r="R298" t="s">
        <v>591</v>
      </c>
      <c r="S298" t="s">
        <v>30</v>
      </c>
      <c r="T298" t="s">
        <v>82</v>
      </c>
      <c r="U298" t="s">
        <v>592</v>
      </c>
      <c r="V298" s="3">
        <v>2420.3000000000002</v>
      </c>
      <c r="W298" s="4">
        <v>3</v>
      </c>
      <c r="X298" s="2">
        <v>0</v>
      </c>
      <c r="Y298" s="3">
        <v>-28.31</v>
      </c>
      <c r="Z298" t="str">
        <f t="shared" si="50"/>
        <v>Normal</v>
      </c>
      <c r="AA298" t="str">
        <f t="shared" si="51"/>
        <v>Low</v>
      </c>
      <c r="AB298" t="str">
        <f t="shared" si="55"/>
        <v>Loss</v>
      </c>
      <c r="AC298" s="3">
        <f t="shared" si="56"/>
        <v>-1.1696897078874518E-2</v>
      </c>
      <c r="AD298" s="3">
        <f t="shared" si="57"/>
        <v>806.76666666666677</v>
      </c>
      <c r="AE298" s="3">
        <f t="shared" si="58"/>
        <v>-9.4366666666666656</v>
      </c>
      <c r="AF298" t="str">
        <f t="shared" si="59"/>
        <v>Regular</v>
      </c>
    </row>
    <row r="299" spans="1:32" x14ac:dyDescent="0.25">
      <c r="A299" t="s">
        <v>5119</v>
      </c>
      <c r="B299" s="1">
        <v>45072</v>
      </c>
      <c r="C299" s="1">
        <v>45075</v>
      </c>
      <c r="D299" s="4">
        <f t="shared" si="48"/>
        <v>3</v>
      </c>
      <c r="E299" s="4" t="str">
        <f>TEXT(Table1[[#This Row],[Order_Date]],"dddd")</f>
        <v>Friday</v>
      </c>
      <c r="F299" s="4">
        <f t="shared" si="49"/>
        <v>5</v>
      </c>
      <c r="G299" t="str">
        <f t="shared" si="52"/>
        <v>May</v>
      </c>
      <c r="H299">
        <f t="shared" si="53"/>
        <v>2023</v>
      </c>
      <c r="I299" t="str">
        <f t="shared" si="54"/>
        <v>2023-Q2</v>
      </c>
      <c r="J299" t="s">
        <v>104</v>
      </c>
      <c r="K299" t="s">
        <v>5120</v>
      </c>
      <c r="L299" t="s">
        <v>5121</v>
      </c>
      <c r="M299" t="s">
        <v>47</v>
      </c>
      <c r="N299" t="s">
        <v>25</v>
      </c>
      <c r="O299" t="s">
        <v>48</v>
      </c>
      <c r="P299" t="s">
        <v>49</v>
      </c>
      <c r="Q299" t="s">
        <v>28</v>
      </c>
      <c r="R299" t="s">
        <v>5122</v>
      </c>
      <c r="S299" t="s">
        <v>51</v>
      </c>
      <c r="T299" t="s">
        <v>108</v>
      </c>
      <c r="U299" t="s">
        <v>5123</v>
      </c>
      <c r="V299" s="3">
        <v>1148.58</v>
      </c>
      <c r="W299" s="4">
        <v>2</v>
      </c>
      <c r="X299" s="2">
        <v>0</v>
      </c>
      <c r="Y299" s="3">
        <v>307.83</v>
      </c>
      <c r="Z299" t="str">
        <f t="shared" si="50"/>
        <v>Normal</v>
      </c>
      <c r="AA299" t="str">
        <f t="shared" si="51"/>
        <v>Low</v>
      </c>
      <c r="AB299" t="str">
        <f t="shared" si="55"/>
        <v>Low Profit</v>
      </c>
      <c r="AC299" s="3">
        <f t="shared" si="56"/>
        <v>0.26800919396123912</v>
      </c>
      <c r="AD299" s="3">
        <f t="shared" si="57"/>
        <v>574.29</v>
      </c>
      <c r="AE299" s="3">
        <f t="shared" si="58"/>
        <v>153.91499999999999</v>
      </c>
      <c r="AF299" t="str">
        <f t="shared" si="59"/>
        <v>Regular</v>
      </c>
    </row>
    <row r="300" spans="1:32" x14ac:dyDescent="0.25">
      <c r="A300" t="s">
        <v>2241</v>
      </c>
      <c r="B300" s="1">
        <v>45073</v>
      </c>
      <c r="C300" s="1">
        <v>45076</v>
      </c>
      <c r="D300" s="4">
        <f t="shared" si="48"/>
        <v>3</v>
      </c>
      <c r="E300" s="4" t="str">
        <f>TEXT(Table1[[#This Row],[Order_Date]],"dddd")</f>
        <v>Saturday</v>
      </c>
      <c r="F300" s="4">
        <f t="shared" si="49"/>
        <v>5</v>
      </c>
      <c r="G300" t="str">
        <f t="shared" si="52"/>
        <v>May</v>
      </c>
      <c r="H300">
        <f t="shared" si="53"/>
        <v>2023</v>
      </c>
      <c r="I300" t="str">
        <f t="shared" si="54"/>
        <v>2023-Q2</v>
      </c>
      <c r="J300" t="s">
        <v>104</v>
      </c>
      <c r="K300" t="s">
        <v>2242</v>
      </c>
      <c r="L300" t="s">
        <v>2243</v>
      </c>
      <c r="M300" t="s">
        <v>24</v>
      </c>
      <c r="N300" t="s">
        <v>25</v>
      </c>
      <c r="O300" t="s">
        <v>255</v>
      </c>
      <c r="P300" t="s">
        <v>143</v>
      </c>
      <c r="Q300" t="s">
        <v>39</v>
      </c>
      <c r="R300" t="s">
        <v>2244</v>
      </c>
      <c r="S300" t="s">
        <v>30</v>
      </c>
      <c r="T300" t="s">
        <v>68</v>
      </c>
      <c r="U300" t="s">
        <v>2245</v>
      </c>
      <c r="V300" s="3">
        <v>3131.22</v>
      </c>
      <c r="W300" s="4">
        <v>2</v>
      </c>
      <c r="X300" s="2">
        <v>0.2</v>
      </c>
      <c r="Y300" s="3">
        <v>-590.66999999999996</v>
      </c>
      <c r="Z300" t="str">
        <f t="shared" si="50"/>
        <v>Normal</v>
      </c>
      <c r="AA300" t="str">
        <f t="shared" si="51"/>
        <v>High</v>
      </c>
      <c r="AB300" t="str">
        <f t="shared" si="55"/>
        <v>Loss</v>
      </c>
      <c r="AC300" s="3">
        <f t="shared" si="56"/>
        <v>-0.18863893306762219</v>
      </c>
      <c r="AD300" s="3">
        <f t="shared" si="57"/>
        <v>1565.61</v>
      </c>
      <c r="AE300" s="3">
        <f t="shared" si="58"/>
        <v>-295.33499999999998</v>
      </c>
      <c r="AF300" t="str">
        <f t="shared" si="59"/>
        <v>Regular</v>
      </c>
    </row>
    <row r="301" spans="1:32" x14ac:dyDescent="0.25">
      <c r="A301" t="s">
        <v>3841</v>
      </c>
      <c r="B301" s="1">
        <v>45073</v>
      </c>
      <c r="C301" s="1">
        <v>45080</v>
      </c>
      <c r="D301" s="4">
        <f t="shared" si="48"/>
        <v>7</v>
      </c>
      <c r="E301" s="4" t="str">
        <f>TEXT(Table1[[#This Row],[Order_Date]],"dddd")</f>
        <v>Saturday</v>
      </c>
      <c r="F301" s="4">
        <f t="shared" si="49"/>
        <v>5</v>
      </c>
      <c r="G301" t="str">
        <f t="shared" si="52"/>
        <v>May</v>
      </c>
      <c r="H301">
        <f t="shared" si="53"/>
        <v>2023</v>
      </c>
      <c r="I301" t="str">
        <f t="shared" si="54"/>
        <v>2023-Q2</v>
      </c>
      <c r="J301" t="s">
        <v>104</v>
      </c>
      <c r="K301" t="s">
        <v>3842</v>
      </c>
      <c r="L301" t="s">
        <v>3843</v>
      </c>
      <c r="M301" t="s">
        <v>24</v>
      </c>
      <c r="N301" t="s">
        <v>25</v>
      </c>
      <c r="O301" t="s">
        <v>156</v>
      </c>
      <c r="P301" t="s">
        <v>143</v>
      </c>
      <c r="Q301" t="s">
        <v>66</v>
      </c>
      <c r="R301" t="s">
        <v>3844</v>
      </c>
      <c r="S301" t="s">
        <v>59</v>
      </c>
      <c r="T301" t="s">
        <v>277</v>
      </c>
      <c r="U301" t="s">
        <v>3845</v>
      </c>
      <c r="V301" s="3">
        <v>2147.04</v>
      </c>
      <c r="W301" s="4">
        <v>1</v>
      </c>
      <c r="X301" s="2">
        <v>0.4</v>
      </c>
      <c r="Y301" s="3">
        <v>572.55999999999995</v>
      </c>
      <c r="Z301" t="str">
        <f t="shared" si="50"/>
        <v>Normal</v>
      </c>
      <c r="AA301" t="str">
        <f t="shared" si="51"/>
        <v>High</v>
      </c>
      <c r="AB301" t="str">
        <f t="shared" si="55"/>
        <v>High Profit</v>
      </c>
      <c r="AC301" s="3">
        <f t="shared" si="56"/>
        <v>0.26667411878679481</v>
      </c>
      <c r="AD301" s="3">
        <f t="shared" si="57"/>
        <v>2147.04</v>
      </c>
      <c r="AE301" s="3">
        <f t="shared" si="58"/>
        <v>572.55999999999995</v>
      </c>
      <c r="AF301" t="str">
        <f t="shared" si="59"/>
        <v>Regular</v>
      </c>
    </row>
    <row r="302" spans="1:32" x14ac:dyDescent="0.25">
      <c r="A302" t="s">
        <v>1243</v>
      </c>
      <c r="B302" s="1">
        <v>45074</v>
      </c>
      <c r="C302" s="1">
        <v>45081</v>
      </c>
      <c r="D302" s="4">
        <f t="shared" si="48"/>
        <v>7</v>
      </c>
      <c r="E302" s="4" t="str">
        <f>TEXT(Table1[[#This Row],[Order_Date]],"dddd")</f>
        <v>Sunday</v>
      </c>
      <c r="F302" s="4">
        <f t="shared" si="49"/>
        <v>5</v>
      </c>
      <c r="G302" t="str">
        <f t="shared" si="52"/>
        <v>May</v>
      </c>
      <c r="H302">
        <f t="shared" si="53"/>
        <v>2023</v>
      </c>
      <c r="I302" t="str">
        <f t="shared" si="54"/>
        <v>2023-Q2</v>
      </c>
      <c r="J302" t="s">
        <v>44</v>
      </c>
      <c r="K302" t="s">
        <v>7402</v>
      </c>
      <c r="L302" t="s">
        <v>1244</v>
      </c>
      <c r="M302" t="s">
        <v>47</v>
      </c>
      <c r="N302" t="s">
        <v>25</v>
      </c>
      <c r="O302" t="s">
        <v>26</v>
      </c>
      <c r="P302" t="s">
        <v>27</v>
      </c>
      <c r="Q302" t="s">
        <v>28</v>
      </c>
      <c r="R302" t="s">
        <v>1245</v>
      </c>
      <c r="S302" t="s">
        <v>59</v>
      </c>
      <c r="T302" t="s">
        <v>60</v>
      </c>
      <c r="U302" t="s">
        <v>1246</v>
      </c>
      <c r="V302" s="3">
        <v>244.35</v>
      </c>
      <c r="W302" s="4">
        <v>7</v>
      </c>
      <c r="X302" s="2">
        <v>0.4</v>
      </c>
      <c r="Y302" s="3">
        <v>5.97</v>
      </c>
      <c r="Z302" t="str">
        <f t="shared" si="50"/>
        <v>Normal</v>
      </c>
      <c r="AA302" t="str">
        <f t="shared" si="51"/>
        <v>High</v>
      </c>
      <c r="AB302" t="str">
        <f t="shared" si="55"/>
        <v>Low Profit</v>
      </c>
      <c r="AC302" s="3">
        <f t="shared" si="56"/>
        <v>2.4432166973603436E-2</v>
      </c>
      <c r="AD302" s="3">
        <f t="shared" si="57"/>
        <v>34.907142857142858</v>
      </c>
      <c r="AE302" s="3">
        <f t="shared" si="58"/>
        <v>0.85285714285714287</v>
      </c>
      <c r="AF302" t="str">
        <f t="shared" si="59"/>
        <v>Regular</v>
      </c>
    </row>
    <row r="303" spans="1:32" x14ac:dyDescent="0.25">
      <c r="A303" t="s">
        <v>6190</v>
      </c>
      <c r="B303" s="1">
        <v>45074</v>
      </c>
      <c r="C303" s="1">
        <v>45081</v>
      </c>
      <c r="D303" s="4">
        <f t="shared" si="48"/>
        <v>7</v>
      </c>
      <c r="E303" s="4" t="str">
        <f>TEXT(Table1[[#This Row],[Order_Date]],"dddd")</f>
        <v>Sunday</v>
      </c>
      <c r="F303" s="4">
        <f t="shared" si="49"/>
        <v>5</v>
      </c>
      <c r="G303" t="str">
        <f t="shared" si="52"/>
        <v>May</v>
      </c>
      <c r="H303">
        <f t="shared" si="53"/>
        <v>2023</v>
      </c>
      <c r="I303" t="str">
        <f t="shared" si="54"/>
        <v>2023-Q2</v>
      </c>
      <c r="J303" t="s">
        <v>104</v>
      </c>
      <c r="K303" t="s">
        <v>6191</v>
      </c>
      <c r="L303" t="s">
        <v>6192</v>
      </c>
      <c r="M303" t="s">
        <v>47</v>
      </c>
      <c r="N303" t="s">
        <v>25</v>
      </c>
      <c r="O303" t="s">
        <v>119</v>
      </c>
      <c r="P303" t="s">
        <v>120</v>
      </c>
      <c r="Q303" t="s">
        <v>39</v>
      </c>
      <c r="R303" t="s">
        <v>6193</v>
      </c>
      <c r="S303" t="s">
        <v>59</v>
      </c>
      <c r="T303" t="s">
        <v>60</v>
      </c>
      <c r="U303" t="s">
        <v>6194</v>
      </c>
      <c r="V303" s="3">
        <v>4610.3500000000004</v>
      </c>
      <c r="W303" s="4">
        <v>5</v>
      </c>
      <c r="X303" s="2">
        <v>0.2</v>
      </c>
      <c r="Y303" s="3">
        <v>-244.98</v>
      </c>
      <c r="Z303" t="str">
        <f t="shared" si="50"/>
        <v>Normal</v>
      </c>
      <c r="AA303" t="str">
        <f t="shared" si="51"/>
        <v>High</v>
      </c>
      <c r="AB303" t="str">
        <f t="shared" si="55"/>
        <v>Loss</v>
      </c>
      <c r="AC303" s="3">
        <f t="shared" si="56"/>
        <v>-5.3136963571095465E-2</v>
      </c>
      <c r="AD303" s="3">
        <f t="shared" si="57"/>
        <v>922.07</v>
      </c>
      <c r="AE303" s="3">
        <f t="shared" si="58"/>
        <v>-48.995999999999995</v>
      </c>
      <c r="AF303" t="str">
        <f t="shared" si="59"/>
        <v>Regular</v>
      </c>
    </row>
    <row r="304" spans="1:32" x14ac:dyDescent="0.25">
      <c r="A304" t="s">
        <v>4032</v>
      </c>
      <c r="B304" s="1">
        <v>45074</v>
      </c>
      <c r="C304" s="1">
        <v>45080</v>
      </c>
      <c r="D304" s="4">
        <f t="shared" si="48"/>
        <v>6</v>
      </c>
      <c r="E304" s="4" t="str">
        <f>TEXT(Table1[[#This Row],[Order_Date]],"dddd")</f>
        <v>Sunday</v>
      </c>
      <c r="F304" s="4">
        <f t="shared" si="49"/>
        <v>5</v>
      </c>
      <c r="G304" t="str">
        <f t="shared" si="52"/>
        <v>May</v>
      </c>
      <c r="H304">
        <f t="shared" si="53"/>
        <v>2023</v>
      </c>
      <c r="I304" t="str">
        <f t="shared" si="54"/>
        <v>2023-Q2</v>
      </c>
      <c r="J304" t="s">
        <v>44</v>
      </c>
      <c r="K304" t="s">
        <v>4033</v>
      </c>
      <c r="L304" t="s">
        <v>4034</v>
      </c>
      <c r="M304" t="s">
        <v>24</v>
      </c>
      <c r="N304" t="s">
        <v>25</v>
      </c>
      <c r="O304" t="s">
        <v>382</v>
      </c>
      <c r="P304" t="s">
        <v>38</v>
      </c>
      <c r="Q304" t="s">
        <v>66</v>
      </c>
      <c r="R304" t="s">
        <v>4035</v>
      </c>
      <c r="S304" t="s">
        <v>30</v>
      </c>
      <c r="T304" t="s">
        <v>31</v>
      </c>
      <c r="U304" t="s">
        <v>4036</v>
      </c>
      <c r="V304" s="3">
        <v>4434.1099999999997</v>
      </c>
      <c r="W304" s="4">
        <v>10</v>
      </c>
      <c r="X304" s="2">
        <v>0.4</v>
      </c>
      <c r="Y304" s="3">
        <v>-836.99</v>
      </c>
      <c r="Z304" t="str">
        <f t="shared" si="50"/>
        <v>Outlier</v>
      </c>
      <c r="AA304" t="str">
        <f t="shared" si="51"/>
        <v>High</v>
      </c>
      <c r="AB304" t="str">
        <f t="shared" si="55"/>
        <v>Loss</v>
      </c>
      <c r="AC304" s="3">
        <f t="shared" si="56"/>
        <v>-0.1887616680686767</v>
      </c>
      <c r="AD304" s="3">
        <f t="shared" si="57"/>
        <v>443.41099999999994</v>
      </c>
      <c r="AE304" s="3">
        <f t="shared" si="58"/>
        <v>-83.698999999999998</v>
      </c>
      <c r="AF304" t="str">
        <f t="shared" si="59"/>
        <v>Regular</v>
      </c>
    </row>
    <row r="305" spans="1:32" x14ac:dyDescent="0.25">
      <c r="A305" t="s">
        <v>1726</v>
      </c>
      <c r="B305" s="1">
        <v>45075</v>
      </c>
      <c r="C305" s="1">
        <v>45077</v>
      </c>
      <c r="D305" s="4">
        <f t="shared" si="48"/>
        <v>2</v>
      </c>
      <c r="E305" s="4" t="str">
        <f>TEXT(Table1[[#This Row],[Order_Date]],"dddd")</f>
        <v>Monday</v>
      </c>
      <c r="F305" s="4">
        <f t="shared" si="49"/>
        <v>5</v>
      </c>
      <c r="G305" t="str">
        <f t="shared" si="52"/>
        <v>May</v>
      </c>
      <c r="H305">
        <f t="shared" si="53"/>
        <v>2023</v>
      </c>
      <c r="I305" t="str">
        <f t="shared" si="54"/>
        <v>2023-Q2</v>
      </c>
      <c r="J305" t="s">
        <v>44</v>
      </c>
      <c r="K305" t="s">
        <v>1727</v>
      </c>
      <c r="L305" t="s">
        <v>1728</v>
      </c>
      <c r="M305" t="s">
        <v>47</v>
      </c>
      <c r="N305" t="s">
        <v>25</v>
      </c>
      <c r="O305" t="s">
        <v>142</v>
      </c>
      <c r="P305" t="s">
        <v>143</v>
      </c>
      <c r="Q305" t="s">
        <v>28</v>
      </c>
      <c r="R305" t="s">
        <v>1729</v>
      </c>
      <c r="S305" t="s">
        <v>59</v>
      </c>
      <c r="T305" t="s">
        <v>60</v>
      </c>
      <c r="U305" t="s">
        <v>1730</v>
      </c>
      <c r="V305" s="3">
        <v>2226.08</v>
      </c>
      <c r="W305" s="4">
        <v>10</v>
      </c>
      <c r="X305" s="2">
        <v>0</v>
      </c>
      <c r="Y305" s="3">
        <v>297.97000000000003</v>
      </c>
      <c r="Z305" t="str">
        <f t="shared" si="50"/>
        <v>Normal</v>
      </c>
      <c r="AA305" t="str">
        <f t="shared" si="51"/>
        <v>Low</v>
      </c>
      <c r="AB305" t="str">
        <f t="shared" si="55"/>
        <v>Low Profit</v>
      </c>
      <c r="AC305" s="3">
        <f t="shared" si="56"/>
        <v>0.13385412923165388</v>
      </c>
      <c r="AD305" s="3">
        <f t="shared" si="57"/>
        <v>222.608</v>
      </c>
      <c r="AE305" s="3">
        <f t="shared" si="58"/>
        <v>29.797000000000004</v>
      </c>
      <c r="AF305" t="str">
        <f t="shared" si="59"/>
        <v>Regular</v>
      </c>
    </row>
    <row r="306" spans="1:32" x14ac:dyDescent="0.25">
      <c r="A306" t="s">
        <v>2995</v>
      </c>
      <c r="B306" s="1">
        <v>45075</v>
      </c>
      <c r="C306" s="1">
        <v>45083</v>
      </c>
      <c r="D306" s="4">
        <f t="shared" si="48"/>
        <v>8</v>
      </c>
      <c r="E306" s="4" t="str">
        <f>TEXT(Table1[[#This Row],[Order_Date]],"dddd")</f>
        <v>Monday</v>
      </c>
      <c r="F306" s="4">
        <f t="shared" si="49"/>
        <v>5</v>
      </c>
      <c r="G306" t="str">
        <f t="shared" si="52"/>
        <v>May</v>
      </c>
      <c r="H306">
        <f t="shared" si="53"/>
        <v>2023</v>
      </c>
      <c r="I306" t="str">
        <f t="shared" si="54"/>
        <v>2023-Q2</v>
      </c>
      <c r="J306" t="s">
        <v>55</v>
      </c>
      <c r="K306" t="s">
        <v>2996</v>
      </c>
      <c r="L306" t="s">
        <v>2997</v>
      </c>
      <c r="M306" t="s">
        <v>24</v>
      </c>
      <c r="N306" t="s">
        <v>25</v>
      </c>
      <c r="O306" t="s">
        <v>37</v>
      </c>
      <c r="P306" t="s">
        <v>38</v>
      </c>
      <c r="Q306" t="s">
        <v>66</v>
      </c>
      <c r="R306" t="s">
        <v>2998</v>
      </c>
      <c r="S306" t="s">
        <v>59</v>
      </c>
      <c r="T306" t="s">
        <v>60</v>
      </c>
      <c r="U306" t="s">
        <v>2999</v>
      </c>
      <c r="V306" s="3">
        <v>4063.12</v>
      </c>
      <c r="W306" s="4">
        <v>8</v>
      </c>
      <c r="X306" s="2">
        <v>0.1</v>
      </c>
      <c r="Y306" s="3">
        <v>667.87</v>
      </c>
      <c r="Z306" t="str">
        <f t="shared" si="50"/>
        <v>Normal</v>
      </c>
      <c r="AA306" t="str">
        <f t="shared" si="51"/>
        <v>Medium</v>
      </c>
      <c r="AB306" t="str">
        <f t="shared" si="55"/>
        <v>High Profit</v>
      </c>
      <c r="AC306" s="3">
        <f t="shared" si="56"/>
        <v>0.16437368327787513</v>
      </c>
      <c r="AD306" s="3">
        <f t="shared" si="57"/>
        <v>507.89</v>
      </c>
      <c r="AE306" s="3">
        <f t="shared" si="58"/>
        <v>83.483750000000001</v>
      </c>
      <c r="AF306" t="str">
        <f t="shared" si="59"/>
        <v>Regular</v>
      </c>
    </row>
    <row r="307" spans="1:32" x14ac:dyDescent="0.25">
      <c r="A307" t="s">
        <v>7190</v>
      </c>
      <c r="B307" s="1">
        <v>45075</v>
      </c>
      <c r="C307" s="1">
        <v>45085</v>
      </c>
      <c r="D307" s="4">
        <f t="shared" si="48"/>
        <v>10</v>
      </c>
      <c r="E307" s="4" t="str">
        <f>TEXT(Table1[[#This Row],[Order_Date]],"dddd")</f>
        <v>Monday</v>
      </c>
      <c r="F307" s="4">
        <f t="shared" si="49"/>
        <v>5</v>
      </c>
      <c r="G307" t="str">
        <f t="shared" si="52"/>
        <v>May</v>
      </c>
      <c r="H307">
        <f t="shared" si="53"/>
        <v>2023</v>
      </c>
      <c r="I307" t="str">
        <f t="shared" si="54"/>
        <v>2023-Q2</v>
      </c>
      <c r="J307" t="s">
        <v>104</v>
      </c>
      <c r="K307" t="s">
        <v>7191</v>
      </c>
      <c r="L307" t="s">
        <v>7192</v>
      </c>
      <c r="M307" t="s">
        <v>36</v>
      </c>
      <c r="N307" t="s">
        <v>25</v>
      </c>
      <c r="O307" t="s">
        <v>48</v>
      </c>
      <c r="P307" t="s">
        <v>49</v>
      </c>
      <c r="Q307" t="s">
        <v>28</v>
      </c>
      <c r="R307" t="s">
        <v>7193</v>
      </c>
      <c r="S307" t="s">
        <v>30</v>
      </c>
      <c r="T307" t="s">
        <v>41</v>
      </c>
      <c r="U307" t="s">
        <v>5071</v>
      </c>
      <c r="V307" s="3">
        <v>2753.3</v>
      </c>
      <c r="W307" s="4">
        <v>8</v>
      </c>
      <c r="X307" s="2">
        <v>0.2</v>
      </c>
      <c r="Y307" s="3">
        <v>-83.77</v>
      </c>
      <c r="Z307" t="str">
        <f t="shared" si="50"/>
        <v>Normal</v>
      </c>
      <c r="AA307" t="str">
        <f t="shared" si="51"/>
        <v>High</v>
      </c>
      <c r="AB307" t="str">
        <f t="shared" si="55"/>
        <v>Loss</v>
      </c>
      <c r="AC307" s="3">
        <f t="shared" si="56"/>
        <v>-3.0425307812443247E-2</v>
      </c>
      <c r="AD307" s="3">
        <f t="shared" si="57"/>
        <v>344.16250000000002</v>
      </c>
      <c r="AE307" s="3">
        <f t="shared" si="58"/>
        <v>-10.47125</v>
      </c>
      <c r="AF307" t="str">
        <f t="shared" si="59"/>
        <v>Regular</v>
      </c>
    </row>
    <row r="308" spans="1:32" x14ac:dyDescent="0.25">
      <c r="A308" t="s">
        <v>6980</v>
      </c>
      <c r="B308" s="1">
        <v>45076</v>
      </c>
      <c r="C308" s="1">
        <v>45086</v>
      </c>
      <c r="D308" s="4">
        <f t="shared" si="48"/>
        <v>10</v>
      </c>
      <c r="E308" s="4" t="str">
        <f>TEXT(Table1[[#This Row],[Order_Date]],"dddd")</f>
        <v>Tuesday</v>
      </c>
      <c r="F308" s="4">
        <f t="shared" si="49"/>
        <v>5</v>
      </c>
      <c r="G308" t="str">
        <f t="shared" si="52"/>
        <v>May</v>
      </c>
      <c r="H308">
        <f t="shared" si="53"/>
        <v>2023</v>
      </c>
      <c r="I308" t="str">
        <f t="shared" si="54"/>
        <v>2023-Q2</v>
      </c>
      <c r="J308" t="s">
        <v>44</v>
      </c>
      <c r="K308" t="s">
        <v>7402</v>
      </c>
      <c r="L308" t="s">
        <v>6981</v>
      </c>
      <c r="M308" t="s">
        <v>47</v>
      </c>
      <c r="N308" t="s">
        <v>25</v>
      </c>
      <c r="O308" t="s">
        <v>73</v>
      </c>
      <c r="P308" t="s">
        <v>74</v>
      </c>
      <c r="Q308" t="s">
        <v>87</v>
      </c>
      <c r="R308" t="s">
        <v>6982</v>
      </c>
      <c r="S308" t="s">
        <v>59</v>
      </c>
      <c r="T308" t="s">
        <v>101</v>
      </c>
      <c r="U308" t="s">
        <v>6983</v>
      </c>
      <c r="V308" s="3">
        <v>1315.13</v>
      </c>
      <c r="W308" s="4">
        <v>10</v>
      </c>
      <c r="X308" s="2">
        <v>0.4</v>
      </c>
      <c r="Y308" s="3">
        <v>-254.63</v>
      </c>
      <c r="Z308" t="str">
        <f t="shared" si="50"/>
        <v>Normal</v>
      </c>
      <c r="AA308" t="str">
        <f t="shared" si="51"/>
        <v>High</v>
      </c>
      <c r="AB308" t="str">
        <f t="shared" si="55"/>
        <v>Loss</v>
      </c>
      <c r="AC308" s="3">
        <f t="shared" si="56"/>
        <v>-0.19361584025913786</v>
      </c>
      <c r="AD308" s="3">
        <f t="shared" si="57"/>
        <v>131.51300000000001</v>
      </c>
      <c r="AE308" s="3">
        <f t="shared" si="58"/>
        <v>-25.463000000000001</v>
      </c>
      <c r="AF308" t="str">
        <f t="shared" si="59"/>
        <v>Regular</v>
      </c>
    </row>
    <row r="309" spans="1:32" x14ac:dyDescent="0.25">
      <c r="A309" t="s">
        <v>5667</v>
      </c>
      <c r="B309" s="1">
        <v>45076</v>
      </c>
      <c r="C309" s="1">
        <v>45082</v>
      </c>
      <c r="D309" s="4">
        <f t="shared" si="48"/>
        <v>6</v>
      </c>
      <c r="E309" s="4" t="str">
        <f>TEXT(Table1[[#This Row],[Order_Date]],"dddd")</f>
        <v>Tuesday</v>
      </c>
      <c r="F309" s="4">
        <f t="shared" si="49"/>
        <v>5</v>
      </c>
      <c r="G309" t="str">
        <f t="shared" si="52"/>
        <v>May</v>
      </c>
      <c r="H309">
        <f t="shared" si="53"/>
        <v>2023</v>
      </c>
      <c r="I309" t="str">
        <f t="shared" si="54"/>
        <v>2023-Q2</v>
      </c>
      <c r="J309" t="s">
        <v>104</v>
      </c>
      <c r="K309" t="s">
        <v>5668</v>
      </c>
      <c r="L309" t="s">
        <v>5669</v>
      </c>
      <c r="M309" t="s">
        <v>36</v>
      </c>
      <c r="N309" t="s">
        <v>25</v>
      </c>
      <c r="O309" t="s">
        <v>26</v>
      </c>
      <c r="P309" t="s">
        <v>27</v>
      </c>
      <c r="Q309" t="s">
        <v>28</v>
      </c>
      <c r="R309" t="s">
        <v>5670</v>
      </c>
      <c r="S309" t="s">
        <v>59</v>
      </c>
      <c r="T309" t="s">
        <v>277</v>
      </c>
      <c r="U309" t="s">
        <v>5671</v>
      </c>
      <c r="V309" s="3">
        <v>1083.03</v>
      </c>
      <c r="W309" s="4">
        <v>8</v>
      </c>
      <c r="X309" s="2">
        <v>0.2</v>
      </c>
      <c r="Y309" s="3">
        <v>0.97</v>
      </c>
      <c r="Z309" t="str">
        <f t="shared" si="50"/>
        <v>Normal</v>
      </c>
      <c r="AA309" t="str">
        <f t="shared" si="51"/>
        <v>High</v>
      </c>
      <c r="AB309" t="str">
        <f t="shared" si="55"/>
        <v>Low Profit</v>
      </c>
      <c r="AC309" s="3">
        <f t="shared" si="56"/>
        <v>8.9563539329473791E-4</v>
      </c>
      <c r="AD309" s="3">
        <f t="shared" si="57"/>
        <v>135.37875</v>
      </c>
      <c r="AE309" s="3">
        <f t="shared" si="58"/>
        <v>0.12125</v>
      </c>
      <c r="AF309" t="str">
        <f t="shared" si="59"/>
        <v>Regular</v>
      </c>
    </row>
    <row r="310" spans="1:32" x14ac:dyDescent="0.25">
      <c r="A310" t="s">
        <v>3703</v>
      </c>
      <c r="B310" s="1">
        <v>45076</v>
      </c>
      <c r="C310" s="1">
        <v>45085</v>
      </c>
      <c r="D310" s="4">
        <f t="shared" si="48"/>
        <v>9</v>
      </c>
      <c r="E310" s="4" t="str">
        <f>TEXT(Table1[[#This Row],[Order_Date]],"dddd")</f>
        <v>Tuesday</v>
      </c>
      <c r="F310" s="4">
        <f t="shared" si="49"/>
        <v>5</v>
      </c>
      <c r="G310" t="str">
        <f t="shared" si="52"/>
        <v>May</v>
      </c>
      <c r="H310">
        <f t="shared" si="53"/>
        <v>2023</v>
      </c>
      <c r="I310" t="str">
        <f t="shared" si="54"/>
        <v>2023-Q2</v>
      </c>
      <c r="J310" t="s">
        <v>104</v>
      </c>
      <c r="K310" t="s">
        <v>3704</v>
      </c>
      <c r="L310" t="s">
        <v>3705</v>
      </c>
      <c r="M310" t="s">
        <v>36</v>
      </c>
      <c r="N310" t="s">
        <v>25</v>
      </c>
      <c r="O310" t="s">
        <v>119</v>
      </c>
      <c r="P310" t="s">
        <v>120</v>
      </c>
      <c r="Q310" t="s">
        <v>87</v>
      </c>
      <c r="R310" t="s">
        <v>3706</v>
      </c>
      <c r="S310" t="s">
        <v>30</v>
      </c>
      <c r="T310" t="s">
        <v>82</v>
      </c>
      <c r="U310" t="s">
        <v>3707</v>
      </c>
      <c r="V310" s="3">
        <v>1135.99</v>
      </c>
      <c r="W310" s="4">
        <v>9</v>
      </c>
      <c r="X310" s="2">
        <v>0</v>
      </c>
      <c r="Y310" s="3">
        <v>-124.43</v>
      </c>
      <c r="Z310" t="str">
        <f t="shared" si="50"/>
        <v>Normal</v>
      </c>
      <c r="AA310" t="str">
        <f t="shared" si="51"/>
        <v>Low</v>
      </c>
      <c r="AB310" t="str">
        <f t="shared" si="55"/>
        <v>Loss</v>
      </c>
      <c r="AC310" s="3">
        <f t="shared" si="56"/>
        <v>-0.10953441491562427</v>
      </c>
      <c r="AD310" s="3">
        <f t="shared" si="57"/>
        <v>126.22111111111111</v>
      </c>
      <c r="AE310" s="3">
        <f t="shared" si="58"/>
        <v>-13.825555555555557</v>
      </c>
      <c r="AF310" t="str">
        <f t="shared" si="59"/>
        <v>Regular</v>
      </c>
    </row>
    <row r="311" spans="1:32" x14ac:dyDescent="0.25">
      <c r="A311" t="s">
        <v>6348</v>
      </c>
      <c r="B311" s="1">
        <v>45076</v>
      </c>
      <c r="C311" s="1">
        <v>45078</v>
      </c>
      <c r="D311" s="4">
        <f t="shared" si="48"/>
        <v>2</v>
      </c>
      <c r="E311" s="4" t="str">
        <f>TEXT(Table1[[#This Row],[Order_Date]],"dddd")</f>
        <v>Tuesday</v>
      </c>
      <c r="F311" s="4">
        <f t="shared" si="49"/>
        <v>5</v>
      </c>
      <c r="G311" t="str">
        <f t="shared" si="52"/>
        <v>May</v>
      </c>
      <c r="H311">
        <f t="shared" si="53"/>
        <v>2023</v>
      </c>
      <c r="I311" t="str">
        <f t="shared" si="54"/>
        <v>2023-Q2</v>
      </c>
      <c r="J311" t="s">
        <v>44</v>
      </c>
      <c r="K311" t="s">
        <v>6349</v>
      </c>
      <c r="L311" t="s">
        <v>6350</v>
      </c>
      <c r="M311" t="s">
        <v>24</v>
      </c>
      <c r="N311" t="s">
        <v>25</v>
      </c>
      <c r="O311" t="s">
        <v>190</v>
      </c>
      <c r="P311" t="s">
        <v>120</v>
      </c>
      <c r="Q311" t="s">
        <v>28</v>
      </c>
      <c r="R311" t="s">
        <v>6351</v>
      </c>
      <c r="S311" t="s">
        <v>51</v>
      </c>
      <c r="T311" t="s">
        <v>151</v>
      </c>
      <c r="U311" t="s">
        <v>6352</v>
      </c>
      <c r="V311" s="3">
        <v>2902.9</v>
      </c>
      <c r="W311" s="4">
        <v>9</v>
      </c>
      <c r="X311" s="2">
        <v>0.1</v>
      </c>
      <c r="Y311" s="3">
        <v>756.06</v>
      </c>
      <c r="Z311" t="str">
        <f t="shared" si="50"/>
        <v>Normal</v>
      </c>
      <c r="AA311" t="str">
        <f t="shared" si="51"/>
        <v>Medium</v>
      </c>
      <c r="AB311" t="str">
        <f t="shared" si="55"/>
        <v>High Profit</v>
      </c>
      <c r="AC311" s="3">
        <f t="shared" si="56"/>
        <v>0.26044989493265353</v>
      </c>
      <c r="AD311" s="3">
        <f t="shared" si="57"/>
        <v>322.54444444444448</v>
      </c>
      <c r="AE311" s="3">
        <f t="shared" si="58"/>
        <v>84.006666666666661</v>
      </c>
      <c r="AF311" t="str">
        <f t="shared" si="59"/>
        <v>Regular</v>
      </c>
    </row>
    <row r="312" spans="1:32" x14ac:dyDescent="0.25">
      <c r="A312" t="s">
        <v>289</v>
      </c>
      <c r="B312" s="1">
        <v>45077</v>
      </c>
      <c r="C312" s="1">
        <v>45085</v>
      </c>
      <c r="D312" s="4">
        <f t="shared" si="48"/>
        <v>8</v>
      </c>
      <c r="E312" s="4" t="str">
        <f>TEXT(Table1[[#This Row],[Order_Date]],"dddd")</f>
        <v>Wednesday</v>
      </c>
      <c r="F312" s="4">
        <f t="shared" si="49"/>
        <v>5</v>
      </c>
      <c r="G312" t="str">
        <f t="shared" si="52"/>
        <v>May</v>
      </c>
      <c r="H312">
        <f t="shared" si="53"/>
        <v>2023</v>
      </c>
      <c r="I312" t="str">
        <f t="shared" si="54"/>
        <v>2023-Q2</v>
      </c>
      <c r="J312" t="s">
        <v>104</v>
      </c>
      <c r="K312" t="s">
        <v>290</v>
      </c>
      <c r="L312" t="s">
        <v>291</v>
      </c>
      <c r="M312" t="s">
        <v>47</v>
      </c>
      <c r="N312" t="s">
        <v>25</v>
      </c>
      <c r="O312" t="s">
        <v>190</v>
      </c>
      <c r="P312" t="s">
        <v>120</v>
      </c>
      <c r="Q312" t="s">
        <v>66</v>
      </c>
      <c r="R312" t="s">
        <v>292</v>
      </c>
      <c r="S312" t="s">
        <v>51</v>
      </c>
      <c r="T312" t="s">
        <v>108</v>
      </c>
      <c r="U312" t="s">
        <v>293</v>
      </c>
      <c r="V312" s="3">
        <v>3003.76</v>
      </c>
      <c r="W312" s="4">
        <v>6</v>
      </c>
      <c r="X312" s="2">
        <v>0.3</v>
      </c>
      <c r="Y312" s="3">
        <v>-429.5</v>
      </c>
      <c r="Z312" t="str">
        <f t="shared" si="50"/>
        <v>Normal</v>
      </c>
      <c r="AA312" t="str">
        <f t="shared" si="51"/>
        <v>High</v>
      </c>
      <c r="AB312" t="str">
        <f t="shared" si="55"/>
        <v>Loss</v>
      </c>
      <c r="AC312" s="3">
        <f t="shared" si="56"/>
        <v>-0.14298745572216154</v>
      </c>
      <c r="AD312" s="3">
        <f t="shared" si="57"/>
        <v>500.62666666666672</v>
      </c>
      <c r="AE312" s="3">
        <f t="shared" si="58"/>
        <v>-71.583333333333329</v>
      </c>
      <c r="AF312" t="str">
        <f t="shared" si="59"/>
        <v>Regular</v>
      </c>
    </row>
    <row r="313" spans="1:32" x14ac:dyDescent="0.25">
      <c r="A313" t="s">
        <v>4140</v>
      </c>
      <c r="B313" s="1">
        <v>45077</v>
      </c>
      <c r="C313" s="1">
        <v>45079</v>
      </c>
      <c r="D313" s="4">
        <f t="shared" si="48"/>
        <v>2</v>
      </c>
      <c r="E313" s="4" t="str">
        <f>TEXT(Table1[[#This Row],[Order_Date]],"dddd")</f>
        <v>Wednesday</v>
      </c>
      <c r="F313" s="4">
        <f t="shared" si="49"/>
        <v>5</v>
      </c>
      <c r="G313" t="str">
        <f t="shared" si="52"/>
        <v>May</v>
      </c>
      <c r="H313">
        <f t="shared" si="53"/>
        <v>2023</v>
      </c>
      <c r="I313" t="str">
        <f t="shared" si="54"/>
        <v>2023-Q2</v>
      </c>
      <c r="J313" t="s">
        <v>55</v>
      </c>
      <c r="K313" t="s">
        <v>4141</v>
      </c>
      <c r="L313" t="s">
        <v>4142</v>
      </c>
      <c r="M313" t="s">
        <v>24</v>
      </c>
      <c r="N313" t="s">
        <v>25</v>
      </c>
      <c r="O313" t="s">
        <v>227</v>
      </c>
      <c r="P313" t="s">
        <v>49</v>
      </c>
      <c r="Q313" t="s">
        <v>66</v>
      </c>
      <c r="R313" t="s">
        <v>4143</v>
      </c>
      <c r="S313" t="s">
        <v>51</v>
      </c>
      <c r="T313" t="s">
        <v>52</v>
      </c>
      <c r="U313" t="s">
        <v>4144</v>
      </c>
      <c r="V313" s="3">
        <v>618.08000000000004</v>
      </c>
      <c r="W313" s="4">
        <v>4</v>
      </c>
      <c r="X313" s="2">
        <v>0.4</v>
      </c>
      <c r="Y313" s="3">
        <v>-98.95</v>
      </c>
      <c r="Z313" t="str">
        <f t="shared" si="50"/>
        <v>Normal</v>
      </c>
      <c r="AA313" t="str">
        <f t="shared" si="51"/>
        <v>High</v>
      </c>
      <c r="AB313" t="str">
        <f t="shared" si="55"/>
        <v>Loss</v>
      </c>
      <c r="AC313" s="3">
        <f t="shared" si="56"/>
        <v>-0.16009254465441367</v>
      </c>
      <c r="AD313" s="3">
        <f t="shared" si="57"/>
        <v>154.52000000000001</v>
      </c>
      <c r="AE313" s="3">
        <f t="shared" si="58"/>
        <v>-24.737500000000001</v>
      </c>
      <c r="AF313" t="str">
        <f t="shared" si="59"/>
        <v>Regular</v>
      </c>
    </row>
    <row r="314" spans="1:32" x14ac:dyDescent="0.25">
      <c r="A314" t="s">
        <v>2364</v>
      </c>
      <c r="B314" s="1">
        <v>45078</v>
      </c>
      <c r="C314" s="1">
        <v>45079</v>
      </c>
      <c r="D314" s="4">
        <f t="shared" si="48"/>
        <v>1</v>
      </c>
      <c r="E314" s="4" t="str">
        <f>TEXT(Table1[[#This Row],[Order_Date]],"dddd")</f>
        <v>Thursday</v>
      </c>
      <c r="F314" s="4">
        <f t="shared" si="49"/>
        <v>6</v>
      </c>
      <c r="G314" t="str">
        <f t="shared" si="52"/>
        <v>June</v>
      </c>
      <c r="H314">
        <f t="shared" si="53"/>
        <v>2023</v>
      </c>
      <c r="I314" t="str">
        <f t="shared" si="54"/>
        <v>2023-Q2</v>
      </c>
      <c r="J314" t="s">
        <v>44</v>
      </c>
      <c r="K314" t="s">
        <v>2365</v>
      </c>
      <c r="L314" t="s">
        <v>2366</v>
      </c>
      <c r="M314" t="s">
        <v>47</v>
      </c>
      <c r="N314" t="s">
        <v>25</v>
      </c>
      <c r="O314" t="s">
        <v>255</v>
      </c>
      <c r="P314" t="s">
        <v>143</v>
      </c>
      <c r="Q314" t="s">
        <v>39</v>
      </c>
      <c r="R314" t="s">
        <v>2367</v>
      </c>
      <c r="S314" t="s">
        <v>59</v>
      </c>
      <c r="T314" t="s">
        <v>277</v>
      </c>
      <c r="U314" t="s">
        <v>2368</v>
      </c>
      <c r="V314" s="3">
        <v>712.27</v>
      </c>
      <c r="W314" s="4">
        <v>4</v>
      </c>
      <c r="X314" s="2">
        <v>0.1</v>
      </c>
      <c r="Y314" s="3">
        <v>58.61</v>
      </c>
      <c r="Z314" t="str">
        <f t="shared" si="50"/>
        <v>Normal</v>
      </c>
      <c r="AA314" t="str">
        <f t="shared" si="51"/>
        <v>Medium</v>
      </c>
      <c r="AB314" t="str">
        <f t="shared" si="55"/>
        <v>Low Profit</v>
      </c>
      <c r="AC314" s="3">
        <f t="shared" si="56"/>
        <v>8.2286211689387448E-2</v>
      </c>
      <c r="AD314" s="3">
        <f t="shared" si="57"/>
        <v>178.0675</v>
      </c>
      <c r="AE314" s="3">
        <f t="shared" si="58"/>
        <v>14.6525</v>
      </c>
      <c r="AF314" t="str">
        <f t="shared" si="59"/>
        <v>Regular</v>
      </c>
    </row>
    <row r="315" spans="1:32" x14ac:dyDescent="0.25">
      <c r="A315" t="s">
        <v>5067</v>
      </c>
      <c r="B315" s="1">
        <v>45078</v>
      </c>
      <c r="C315" s="1">
        <v>45079</v>
      </c>
      <c r="D315" s="4">
        <f t="shared" si="48"/>
        <v>1</v>
      </c>
      <c r="E315" s="4" t="str">
        <f>TEXT(Table1[[#This Row],[Order_Date]],"dddd")</f>
        <v>Thursday</v>
      </c>
      <c r="F315" s="4">
        <f t="shared" si="49"/>
        <v>6</v>
      </c>
      <c r="G315" t="str">
        <f t="shared" si="52"/>
        <v>June</v>
      </c>
      <c r="H315">
        <f t="shared" si="53"/>
        <v>2023</v>
      </c>
      <c r="I315" t="str">
        <f t="shared" si="54"/>
        <v>2023-Q2</v>
      </c>
      <c r="J315" t="s">
        <v>44</v>
      </c>
      <c r="K315" t="s">
        <v>5068</v>
      </c>
      <c r="L315" t="s">
        <v>5069</v>
      </c>
      <c r="M315" t="s">
        <v>36</v>
      </c>
      <c r="N315" t="s">
        <v>25</v>
      </c>
      <c r="O315" t="s">
        <v>80</v>
      </c>
      <c r="P315" t="s">
        <v>49</v>
      </c>
      <c r="Q315" t="s">
        <v>39</v>
      </c>
      <c r="R315" t="s">
        <v>5070</v>
      </c>
      <c r="S315" t="s">
        <v>30</v>
      </c>
      <c r="T315" t="s">
        <v>41</v>
      </c>
      <c r="U315" t="s">
        <v>5071</v>
      </c>
      <c r="V315" s="3">
        <v>4544.46</v>
      </c>
      <c r="W315" s="4">
        <v>2</v>
      </c>
      <c r="X315" s="2">
        <v>0</v>
      </c>
      <c r="Y315" s="3">
        <v>1.04</v>
      </c>
      <c r="Z315" t="str">
        <f t="shared" si="50"/>
        <v>Normal</v>
      </c>
      <c r="AA315" t="str">
        <f t="shared" si="51"/>
        <v>Low</v>
      </c>
      <c r="AB315" t="str">
        <f t="shared" si="55"/>
        <v>Low Profit</v>
      </c>
      <c r="AC315" s="3">
        <f t="shared" si="56"/>
        <v>2.2885007239584022E-4</v>
      </c>
      <c r="AD315" s="3">
        <f t="shared" si="57"/>
        <v>2272.23</v>
      </c>
      <c r="AE315" s="3">
        <f t="shared" si="58"/>
        <v>0.52</v>
      </c>
      <c r="AF315" t="str">
        <f t="shared" si="59"/>
        <v>Regular</v>
      </c>
    </row>
    <row r="316" spans="1:32" x14ac:dyDescent="0.25">
      <c r="A316" t="s">
        <v>4283</v>
      </c>
      <c r="B316" s="1">
        <v>45079</v>
      </c>
      <c r="C316" s="1">
        <v>45087</v>
      </c>
      <c r="D316" s="4">
        <f t="shared" si="48"/>
        <v>8</v>
      </c>
      <c r="E316" s="4" t="str">
        <f>TEXT(Table1[[#This Row],[Order_Date]],"dddd")</f>
        <v>Friday</v>
      </c>
      <c r="F316" s="4">
        <f t="shared" si="49"/>
        <v>6</v>
      </c>
      <c r="G316" t="str">
        <f t="shared" si="52"/>
        <v>June</v>
      </c>
      <c r="H316">
        <f t="shared" si="53"/>
        <v>2023</v>
      </c>
      <c r="I316" t="str">
        <f t="shared" si="54"/>
        <v>2023-Q2</v>
      </c>
      <c r="J316" t="s">
        <v>104</v>
      </c>
      <c r="K316" t="s">
        <v>4284</v>
      </c>
      <c r="L316" t="s">
        <v>4285</v>
      </c>
      <c r="M316" t="s">
        <v>36</v>
      </c>
      <c r="N316" t="s">
        <v>25</v>
      </c>
      <c r="O316" t="s">
        <v>255</v>
      </c>
      <c r="P316" t="s">
        <v>143</v>
      </c>
      <c r="Q316" t="s">
        <v>39</v>
      </c>
      <c r="R316" t="s">
        <v>4286</v>
      </c>
      <c r="S316" t="s">
        <v>59</v>
      </c>
      <c r="T316" t="s">
        <v>277</v>
      </c>
      <c r="U316" t="s">
        <v>4287</v>
      </c>
      <c r="V316" s="3">
        <v>2826.66</v>
      </c>
      <c r="W316" s="4">
        <v>5</v>
      </c>
      <c r="X316" s="2">
        <v>0.3</v>
      </c>
      <c r="Y316" s="3">
        <v>-403.62</v>
      </c>
      <c r="Z316" t="str">
        <f t="shared" si="50"/>
        <v>Normal</v>
      </c>
      <c r="AA316" t="str">
        <f t="shared" si="51"/>
        <v>High</v>
      </c>
      <c r="AB316" t="str">
        <f t="shared" si="55"/>
        <v>Loss</v>
      </c>
      <c r="AC316" s="3">
        <f t="shared" si="56"/>
        <v>-0.14279043110950734</v>
      </c>
      <c r="AD316" s="3">
        <f t="shared" si="57"/>
        <v>565.33199999999999</v>
      </c>
      <c r="AE316" s="3">
        <f t="shared" si="58"/>
        <v>-80.724000000000004</v>
      </c>
      <c r="AF316" t="str">
        <f t="shared" si="59"/>
        <v>Regular</v>
      </c>
    </row>
    <row r="317" spans="1:32" x14ac:dyDescent="0.25">
      <c r="A317" t="s">
        <v>4495</v>
      </c>
      <c r="B317" s="1">
        <v>45079</v>
      </c>
      <c r="C317" s="1">
        <v>45086</v>
      </c>
      <c r="D317" s="4">
        <f t="shared" si="48"/>
        <v>7</v>
      </c>
      <c r="E317" s="4" t="str">
        <f>TEXT(Table1[[#This Row],[Order_Date]],"dddd")</f>
        <v>Friday</v>
      </c>
      <c r="F317" s="4">
        <f t="shared" si="49"/>
        <v>6</v>
      </c>
      <c r="G317" t="str">
        <f t="shared" si="52"/>
        <v>June</v>
      </c>
      <c r="H317">
        <f t="shared" si="53"/>
        <v>2023</v>
      </c>
      <c r="I317" t="str">
        <f t="shared" si="54"/>
        <v>2023-Q2</v>
      </c>
      <c r="J317" t="s">
        <v>44</v>
      </c>
      <c r="K317" t="s">
        <v>4496</v>
      </c>
      <c r="L317" t="s">
        <v>4497</v>
      </c>
      <c r="M317" t="s">
        <v>47</v>
      </c>
      <c r="N317" t="s">
        <v>25</v>
      </c>
      <c r="O317" t="s">
        <v>201</v>
      </c>
      <c r="P317" t="s">
        <v>113</v>
      </c>
      <c r="Q317" t="s">
        <v>39</v>
      </c>
      <c r="R317" t="s">
        <v>4498</v>
      </c>
      <c r="S317" t="s">
        <v>30</v>
      </c>
      <c r="T317" t="s">
        <v>41</v>
      </c>
      <c r="U317" t="s">
        <v>4499</v>
      </c>
      <c r="V317" s="3">
        <v>1337.97</v>
      </c>
      <c r="W317" s="4">
        <v>8</v>
      </c>
      <c r="X317" s="2">
        <v>0.1</v>
      </c>
      <c r="Y317" s="3">
        <v>172.91</v>
      </c>
      <c r="Z317" t="str">
        <f t="shared" si="50"/>
        <v>Normal</v>
      </c>
      <c r="AA317" t="str">
        <f t="shared" si="51"/>
        <v>Medium</v>
      </c>
      <c r="AB317" t="str">
        <f t="shared" si="55"/>
        <v>Low Profit</v>
      </c>
      <c r="AC317" s="3">
        <f t="shared" si="56"/>
        <v>0.12923309192283833</v>
      </c>
      <c r="AD317" s="3">
        <f t="shared" si="57"/>
        <v>167.24625</v>
      </c>
      <c r="AE317" s="3">
        <f t="shared" si="58"/>
        <v>21.61375</v>
      </c>
      <c r="AF317" t="str">
        <f t="shared" si="59"/>
        <v>Regular</v>
      </c>
    </row>
    <row r="318" spans="1:32" x14ac:dyDescent="0.25">
      <c r="A318" t="s">
        <v>3836</v>
      </c>
      <c r="B318" s="1">
        <v>45079</v>
      </c>
      <c r="C318" s="1">
        <v>45088</v>
      </c>
      <c r="D318" s="4">
        <f t="shared" si="48"/>
        <v>9</v>
      </c>
      <c r="E318" s="4" t="str">
        <f>TEXT(Table1[[#This Row],[Order_Date]],"dddd")</f>
        <v>Friday</v>
      </c>
      <c r="F318" s="4">
        <f t="shared" si="49"/>
        <v>6</v>
      </c>
      <c r="G318" t="str">
        <f t="shared" si="52"/>
        <v>June</v>
      </c>
      <c r="H318">
        <f t="shared" si="53"/>
        <v>2023</v>
      </c>
      <c r="I318" t="str">
        <f t="shared" si="54"/>
        <v>2023-Q2</v>
      </c>
      <c r="J318" t="s">
        <v>104</v>
      </c>
      <c r="K318" t="s">
        <v>3837</v>
      </c>
      <c r="L318" t="s">
        <v>3838</v>
      </c>
      <c r="M318" t="s">
        <v>47</v>
      </c>
      <c r="N318" t="s">
        <v>25</v>
      </c>
      <c r="O318" t="s">
        <v>179</v>
      </c>
      <c r="P318" t="s">
        <v>27</v>
      </c>
      <c r="Q318" t="s">
        <v>39</v>
      </c>
      <c r="R318" t="s">
        <v>3839</v>
      </c>
      <c r="S318" t="s">
        <v>59</v>
      </c>
      <c r="T318" t="s">
        <v>303</v>
      </c>
      <c r="U318" t="s">
        <v>3840</v>
      </c>
      <c r="V318" s="3">
        <v>2858.84</v>
      </c>
      <c r="W318" s="4">
        <v>8</v>
      </c>
      <c r="X318" s="2">
        <v>0.2</v>
      </c>
      <c r="Y318" s="3">
        <v>-19.850000000000001</v>
      </c>
      <c r="Z318" t="str">
        <f t="shared" si="50"/>
        <v>Normal</v>
      </c>
      <c r="AA318" t="str">
        <f t="shared" si="51"/>
        <v>High</v>
      </c>
      <c r="AB318" t="str">
        <f t="shared" si="55"/>
        <v>Loss</v>
      </c>
      <c r="AC318" s="3">
        <f t="shared" si="56"/>
        <v>-6.9433756348728859E-3</v>
      </c>
      <c r="AD318" s="3">
        <f t="shared" si="57"/>
        <v>357.35500000000002</v>
      </c>
      <c r="AE318" s="3">
        <f t="shared" si="58"/>
        <v>-2.4812500000000002</v>
      </c>
      <c r="AF318" t="str">
        <f t="shared" si="59"/>
        <v>Regular</v>
      </c>
    </row>
    <row r="319" spans="1:32" x14ac:dyDescent="0.25">
      <c r="A319" t="s">
        <v>209</v>
      </c>
      <c r="B319" s="1">
        <v>45080</v>
      </c>
      <c r="C319" s="1">
        <v>45086</v>
      </c>
      <c r="D319" s="4">
        <f t="shared" si="48"/>
        <v>6</v>
      </c>
      <c r="E319" s="4" t="str">
        <f>TEXT(Table1[[#This Row],[Order_Date]],"dddd")</f>
        <v>Saturday</v>
      </c>
      <c r="F319" s="4">
        <f t="shared" si="49"/>
        <v>6</v>
      </c>
      <c r="G319" t="str">
        <f t="shared" si="52"/>
        <v>June</v>
      </c>
      <c r="H319">
        <f t="shared" si="53"/>
        <v>2023</v>
      </c>
      <c r="I319" t="str">
        <f t="shared" si="54"/>
        <v>2023-Q2</v>
      </c>
      <c r="J319" t="s">
        <v>21</v>
      </c>
      <c r="K319" t="s">
        <v>210</v>
      </c>
      <c r="L319" t="s">
        <v>211</v>
      </c>
      <c r="M319" t="s">
        <v>24</v>
      </c>
      <c r="N319" t="s">
        <v>25</v>
      </c>
      <c r="O319" t="s">
        <v>156</v>
      </c>
      <c r="P319" t="s">
        <v>143</v>
      </c>
      <c r="Q319" t="s">
        <v>28</v>
      </c>
      <c r="R319" t="s">
        <v>212</v>
      </c>
      <c r="S319" t="s">
        <v>51</v>
      </c>
      <c r="T319" t="s">
        <v>127</v>
      </c>
      <c r="U319" t="s">
        <v>213</v>
      </c>
      <c r="V319" s="3">
        <v>3284.04</v>
      </c>
      <c r="W319" s="4">
        <v>5</v>
      </c>
      <c r="X319" s="2">
        <v>0.1</v>
      </c>
      <c r="Y319" s="3">
        <v>-410.62</v>
      </c>
      <c r="Z319" t="str">
        <f t="shared" si="50"/>
        <v>Normal</v>
      </c>
      <c r="AA319" t="str">
        <f t="shared" si="51"/>
        <v>Medium</v>
      </c>
      <c r="AB319" t="str">
        <f t="shared" si="55"/>
        <v>Loss</v>
      </c>
      <c r="AC319" s="3">
        <f t="shared" si="56"/>
        <v>-0.12503501784387522</v>
      </c>
      <c r="AD319" s="3">
        <f t="shared" si="57"/>
        <v>656.80799999999999</v>
      </c>
      <c r="AE319" s="3">
        <f t="shared" si="58"/>
        <v>-82.123999999999995</v>
      </c>
      <c r="AF319" t="str">
        <f t="shared" si="59"/>
        <v>Regular</v>
      </c>
    </row>
    <row r="320" spans="1:32" x14ac:dyDescent="0.25">
      <c r="A320" t="s">
        <v>3015</v>
      </c>
      <c r="B320" s="1">
        <v>45080</v>
      </c>
      <c r="C320" s="1">
        <v>45082</v>
      </c>
      <c r="D320" s="4">
        <f t="shared" si="48"/>
        <v>2</v>
      </c>
      <c r="E320" s="4" t="str">
        <f>TEXT(Table1[[#This Row],[Order_Date]],"dddd")</f>
        <v>Saturday</v>
      </c>
      <c r="F320" s="4">
        <f t="shared" si="49"/>
        <v>6</v>
      </c>
      <c r="G320" t="str">
        <f t="shared" si="52"/>
        <v>June</v>
      </c>
      <c r="H320">
        <f t="shared" si="53"/>
        <v>2023</v>
      </c>
      <c r="I320" t="str">
        <f t="shared" si="54"/>
        <v>2023-Q2</v>
      </c>
      <c r="J320" t="s">
        <v>44</v>
      </c>
      <c r="K320" t="s">
        <v>3016</v>
      </c>
      <c r="L320" t="s">
        <v>3017</v>
      </c>
      <c r="M320" t="s">
        <v>47</v>
      </c>
      <c r="N320" t="s">
        <v>25</v>
      </c>
      <c r="O320" t="s">
        <v>382</v>
      </c>
      <c r="P320" t="s">
        <v>38</v>
      </c>
      <c r="Q320" t="s">
        <v>87</v>
      </c>
      <c r="R320" t="s">
        <v>3018</v>
      </c>
      <c r="S320" t="s">
        <v>51</v>
      </c>
      <c r="T320" t="s">
        <v>52</v>
      </c>
      <c r="U320" t="s">
        <v>3019</v>
      </c>
      <c r="V320" s="3">
        <v>25.26</v>
      </c>
      <c r="W320" s="4">
        <v>8</v>
      </c>
      <c r="X320" s="2">
        <v>0.1</v>
      </c>
      <c r="Y320" s="3">
        <v>-4.28</v>
      </c>
      <c r="Z320" t="str">
        <f t="shared" si="50"/>
        <v>Normal</v>
      </c>
      <c r="AA320" t="str">
        <f t="shared" si="51"/>
        <v>Medium</v>
      </c>
      <c r="AB320" t="str">
        <f t="shared" si="55"/>
        <v>Loss</v>
      </c>
      <c r="AC320" s="3">
        <f t="shared" si="56"/>
        <v>-0.16943784639746634</v>
      </c>
      <c r="AD320" s="3">
        <f t="shared" si="57"/>
        <v>3.1575000000000002</v>
      </c>
      <c r="AE320" s="3">
        <f t="shared" si="58"/>
        <v>-0.53500000000000003</v>
      </c>
      <c r="AF320" t="str">
        <f t="shared" si="59"/>
        <v>Regular</v>
      </c>
    </row>
    <row r="321" spans="1:32" x14ac:dyDescent="0.25">
      <c r="A321" t="s">
        <v>4612</v>
      </c>
      <c r="B321" s="1">
        <v>45081</v>
      </c>
      <c r="C321" s="1">
        <v>45089</v>
      </c>
      <c r="D321" s="4">
        <f t="shared" si="48"/>
        <v>8</v>
      </c>
      <c r="E321" s="4" t="str">
        <f>TEXT(Table1[[#This Row],[Order_Date]],"dddd")</f>
        <v>Sunday</v>
      </c>
      <c r="F321" s="4">
        <f t="shared" si="49"/>
        <v>6</v>
      </c>
      <c r="G321" t="str">
        <f t="shared" si="52"/>
        <v>June</v>
      </c>
      <c r="H321">
        <f t="shared" si="53"/>
        <v>2023</v>
      </c>
      <c r="I321" t="str">
        <f t="shared" si="54"/>
        <v>2023-Q2</v>
      </c>
      <c r="J321" t="s">
        <v>55</v>
      </c>
      <c r="K321" t="s">
        <v>4613</v>
      </c>
      <c r="L321" t="s">
        <v>4614</v>
      </c>
      <c r="M321" t="s">
        <v>36</v>
      </c>
      <c r="N321" t="s">
        <v>25</v>
      </c>
      <c r="O321" t="s">
        <v>113</v>
      </c>
      <c r="P321" t="s">
        <v>113</v>
      </c>
      <c r="Q321" t="s">
        <v>28</v>
      </c>
      <c r="R321" t="s">
        <v>4615</v>
      </c>
      <c r="S321" t="s">
        <v>59</v>
      </c>
      <c r="T321" t="s">
        <v>60</v>
      </c>
      <c r="U321" t="s">
        <v>4616</v>
      </c>
      <c r="V321" s="3">
        <v>293.52</v>
      </c>
      <c r="W321" s="4">
        <v>3</v>
      </c>
      <c r="X321" s="2">
        <v>0.3</v>
      </c>
      <c r="Y321" s="3">
        <v>-30.14</v>
      </c>
      <c r="Z321" t="str">
        <f t="shared" si="50"/>
        <v>Normal</v>
      </c>
      <c r="AA321" t="str">
        <f t="shared" si="51"/>
        <v>High</v>
      </c>
      <c r="AB321" t="str">
        <f t="shared" si="55"/>
        <v>Loss</v>
      </c>
      <c r="AC321" s="3">
        <f t="shared" si="56"/>
        <v>-0.10268465521940584</v>
      </c>
      <c r="AD321" s="3">
        <f t="shared" si="57"/>
        <v>97.839999999999989</v>
      </c>
      <c r="AE321" s="3">
        <f t="shared" si="58"/>
        <v>-10.046666666666667</v>
      </c>
      <c r="AF321" t="str">
        <f t="shared" si="59"/>
        <v>Regular</v>
      </c>
    </row>
    <row r="322" spans="1:32" x14ac:dyDescent="0.25">
      <c r="A322" t="s">
        <v>4666</v>
      </c>
      <c r="B322" s="1">
        <v>45081</v>
      </c>
      <c r="C322" s="1">
        <v>45088</v>
      </c>
      <c r="D322" s="4">
        <f t="shared" ref="D322:D385" si="60">C322-B322</f>
        <v>7</v>
      </c>
      <c r="E322" s="4" t="str">
        <f>TEXT(Table1[[#This Row],[Order_Date]],"dddd")</f>
        <v>Sunday</v>
      </c>
      <c r="F322" s="4">
        <f t="shared" ref="F322:F385" si="61">MONTH(B322)</f>
        <v>6</v>
      </c>
      <c r="G322" t="str">
        <f t="shared" si="52"/>
        <v>June</v>
      </c>
      <c r="H322">
        <f t="shared" si="53"/>
        <v>2023</v>
      </c>
      <c r="I322" t="str">
        <f t="shared" si="54"/>
        <v>2023-Q2</v>
      </c>
      <c r="J322" t="s">
        <v>21</v>
      </c>
      <c r="K322" t="s">
        <v>4667</v>
      </c>
      <c r="L322" t="s">
        <v>4668</v>
      </c>
      <c r="M322" t="s">
        <v>24</v>
      </c>
      <c r="N322" t="s">
        <v>25</v>
      </c>
      <c r="O322" t="s">
        <v>451</v>
      </c>
      <c r="P322" t="s">
        <v>38</v>
      </c>
      <c r="Q322" t="s">
        <v>39</v>
      </c>
      <c r="R322" t="s">
        <v>4669</v>
      </c>
      <c r="S322" t="s">
        <v>30</v>
      </c>
      <c r="T322" t="s">
        <v>82</v>
      </c>
      <c r="U322" t="s">
        <v>4670</v>
      </c>
      <c r="V322" s="3">
        <v>4822.18</v>
      </c>
      <c r="W322" s="4">
        <v>4</v>
      </c>
      <c r="X322" s="2">
        <v>0.3</v>
      </c>
      <c r="Y322" s="3">
        <v>628.03</v>
      </c>
      <c r="Z322" t="str">
        <f t="shared" ref="Z322:Z385" si="62">IF(OR(Y322&lt;-800.884,Y322&gt;1030.126),"Outlier","Normal")</f>
        <v>Normal</v>
      </c>
      <c r="AA322" t="str">
        <f t="shared" ref="AA322:AA385" si="63">IF(X322&lt;10%,"Low",IF(X322&lt;0.2,"Medium","High"))</f>
        <v>High</v>
      </c>
      <c r="AB322" t="str">
        <f t="shared" si="55"/>
        <v>High Profit</v>
      </c>
      <c r="AC322" s="3">
        <f t="shared" si="56"/>
        <v>0.13023777627546046</v>
      </c>
      <c r="AD322" s="3">
        <f t="shared" si="57"/>
        <v>1205.5450000000001</v>
      </c>
      <c r="AE322" s="3">
        <f t="shared" si="58"/>
        <v>157.00749999999999</v>
      </c>
      <c r="AF322" t="str">
        <f t="shared" si="59"/>
        <v>Regular</v>
      </c>
    </row>
    <row r="323" spans="1:32" x14ac:dyDescent="0.25">
      <c r="A323" t="s">
        <v>1186</v>
      </c>
      <c r="B323" s="1">
        <v>45082</v>
      </c>
      <c r="C323" s="1">
        <v>45090</v>
      </c>
      <c r="D323" s="4">
        <f t="shared" si="60"/>
        <v>8</v>
      </c>
      <c r="E323" s="4" t="str">
        <f>TEXT(Table1[[#This Row],[Order_Date]],"dddd")</f>
        <v>Monday</v>
      </c>
      <c r="F323" s="4">
        <f t="shared" si="61"/>
        <v>6</v>
      </c>
      <c r="G323" t="str">
        <f t="shared" ref="G323:G386" si="64">TEXT(B323,"mmmm")</f>
        <v>June</v>
      </c>
      <c r="H323">
        <f t="shared" ref="H323:H386" si="65">YEAR(B323)</f>
        <v>2023</v>
      </c>
      <c r="I323" t="str">
        <f t="shared" ref="I323:I386" si="66">H323 &amp; "-Q" &amp; INT((MONTH(B323)+2)/3)</f>
        <v>2023-Q2</v>
      </c>
      <c r="J323" t="s">
        <v>44</v>
      </c>
      <c r="K323" t="s">
        <v>1187</v>
      </c>
      <c r="L323" t="s">
        <v>1188</v>
      </c>
      <c r="M323" t="s">
        <v>36</v>
      </c>
      <c r="N323" t="s">
        <v>25</v>
      </c>
      <c r="O323" t="s">
        <v>73</v>
      </c>
      <c r="P323" t="s">
        <v>74</v>
      </c>
      <c r="Q323" t="s">
        <v>87</v>
      </c>
      <c r="R323" t="s">
        <v>1189</v>
      </c>
      <c r="S323" t="s">
        <v>59</v>
      </c>
      <c r="T323" t="s">
        <v>277</v>
      </c>
      <c r="U323" t="s">
        <v>1190</v>
      </c>
      <c r="V323" s="3">
        <v>4353.43</v>
      </c>
      <c r="W323" s="4">
        <v>7</v>
      </c>
      <c r="X323" s="2">
        <v>0.3</v>
      </c>
      <c r="Y323" s="3">
        <v>376.7</v>
      </c>
      <c r="Z323" t="str">
        <f t="shared" si="62"/>
        <v>Normal</v>
      </c>
      <c r="AA323" t="str">
        <f t="shared" si="63"/>
        <v>High</v>
      </c>
      <c r="AB323" t="str">
        <f t="shared" ref="AB323:AB386" si="67">IF(Y323&lt;0, "Loss", IF(Y323&lt;500,"Low Profit", "High Profit"))</f>
        <v>Low Profit</v>
      </c>
      <c r="AC323" s="3">
        <f t="shared" ref="AC323:AC386" si="68">Y323/V323</f>
        <v>8.652947216332868E-2</v>
      </c>
      <c r="AD323" s="3">
        <f t="shared" ref="AD323:AD386" si="69">V323/W323</f>
        <v>621.91857142857145</v>
      </c>
      <c r="AE323" s="3">
        <f t="shared" ref="AE323:AE386" si="70">Y323/W323</f>
        <v>53.81428571428571</v>
      </c>
      <c r="AF323" t="str">
        <f t="shared" ref="AF323:AF386" si="71">IF(V323&gt;5000,"High value", "Regular")</f>
        <v>Regular</v>
      </c>
    </row>
    <row r="324" spans="1:32" x14ac:dyDescent="0.25">
      <c r="A324" t="s">
        <v>3504</v>
      </c>
      <c r="B324" s="1">
        <v>45082</v>
      </c>
      <c r="C324" s="1">
        <v>45091</v>
      </c>
      <c r="D324" s="4">
        <f t="shared" si="60"/>
        <v>9</v>
      </c>
      <c r="E324" s="4" t="str">
        <f>TEXT(Table1[[#This Row],[Order_Date]],"dddd")</f>
        <v>Monday</v>
      </c>
      <c r="F324" s="4">
        <f t="shared" si="61"/>
        <v>6</v>
      </c>
      <c r="G324" t="str">
        <f t="shared" si="64"/>
        <v>June</v>
      </c>
      <c r="H324">
        <f t="shared" si="65"/>
        <v>2023</v>
      </c>
      <c r="I324" t="str">
        <f t="shared" si="66"/>
        <v>2023-Q2</v>
      </c>
      <c r="J324" t="s">
        <v>44</v>
      </c>
      <c r="K324" t="s">
        <v>3505</v>
      </c>
      <c r="L324" t="s">
        <v>3506</v>
      </c>
      <c r="M324" t="s">
        <v>36</v>
      </c>
      <c r="N324" t="s">
        <v>25</v>
      </c>
      <c r="O324" t="s">
        <v>179</v>
      </c>
      <c r="P324" t="s">
        <v>27</v>
      </c>
      <c r="Q324" t="s">
        <v>66</v>
      </c>
      <c r="R324" t="s">
        <v>3507</v>
      </c>
      <c r="S324" t="s">
        <v>30</v>
      </c>
      <c r="T324" t="s">
        <v>82</v>
      </c>
      <c r="U324" t="s">
        <v>3508</v>
      </c>
      <c r="V324" s="3">
        <v>2123.7199999999998</v>
      </c>
      <c r="W324" s="4">
        <v>6</v>
      </c>
      <c r="X324" s="2">
        <v>0.3</v>
      </c>
      <c r="Y324" s="3">
        <v>378.3</v>
      </c>
      <c r="Z324" t="str">
        <f t="shared" si="62"/>
        <v>Normal</v>
      </c>
      <c r="AA324" t="str">
        <f t="shared" si="63"/>
        <v>High</v>
      </c>
      <c r="AB324" t="str">
        <f t="shared" si="67"/>
        <v>Low Profit</v>
      </c>
      <c r="AC324" s="3">
        <f t="shared" si="68"/>
        <v>0.17813082703934607</v>
      </c>
      <c r="AD324" s="3">
        <f t="shared" si="69"/>
        <v>353.95333333333332</v>
      </c>
      <c r="AE324" s="3">
        <f t="shared" si="70"/>
        <v>63.050000000000004</v>
      </c>
      <c r="AF324" t="str">
        <f t="shared" si="71"/>
        <v>Regular</v>
      </c>
    </row>
    <row r="325" spans="1:32" x14ac:dyDescent="0.25">
      <c r="A325" t="s">
        <v>7004</v>
      </c>
      <c r="B325" s="1">
        <v>45082</v>
      </c>
      <c r="C325" s="1">
        <v>45085</v>
      </c>
      <c r="D325" s="4">
        <f t="shared" si="60"/>
        <v>3</v>
      </c>
      <c r="E325" s="4" t="str">
        <f>TEXT(Table1[[#This Row],[Order_Date]],"dddd")</f>
        <v>Monday</v>
      </c>
      <c r="F325" s="4">
        <f t="shared" si="61"/>
        <v>6</v>
      </c>
      <c r="G325" t="str">
        <f t="shared" si="64"/>
        <v>June</v>
      </c>
      <c r="H325">
        <f t="shared" si="65"/>
        <v>2023</v>
      </c>
      <c r="I325" t="str">
        <f t="shared" si="66"/>
        <v>2023-Q2</v>
      </c>
      <c r="J325" t="s">
        <v>55</v>
      </c>
      <c r="K325" t="s">
        <v>7005</v>
      </c>
      <c r="L325" t="s">
        <v>7006</v>
      </c>
      <c r="M325" t="s">
        <v>36</v>
      </c>
      <c r="N325" t="s">
        <v>25</v>
      </c>
      <c r="O325" t="s">
        <v>99</v>
      </c>
      <c r="P325" t="s">
        <v>74</v>
      </c>
      <c r="Q325" t="s">
        <v>28</v>
      </c>
      <c r="R325" t="s">
        <v>7007</v>
      </c>
      <c r="S325" t="s">
        <v>30</v>
      </c>
      <c r="T325" t="s">
        <v>31</v>
      </c>
      <c r="U325" t="s">
        <v>7008</v>
      </c>
      <c r="V325" s="3">
        <v>4199.8900000000003</v>
      </c>
      <c r="W325" s="4">
        <v>7</v>
      </c>
      <c r="X325" s="2">
        <v>0.2</v>
      </c>
      <c r="Y325" s="3">
        <v>408.5</v>
      </c>
      <c r="Z325" t="str">
        <f t="shared" si="62"/>
        <v>Normal</v>
      </c>
      <c r="AA325" t="str">
        <f t="shared" si="63"/>
        <v>High</v>
      </c>
      <c r="AB325" t="str">
        <f t="shared" si="67"/>
        <v>Low Profit</v>
      </c>
      <c r="AC325" s="3">
        <f t="shared" si="68"/>
        <v>9.7264452164223344E-2</v>
      </c>
      <c r="AD325" s="3">
        <f t="shared" si="69"/>
        <v>599.98428571428576</v>
      </c>
      <c r="AE325" s="3">
        <f t="shared" si="70"/>
        <v>58.357142857142854</v>
      </c>
      <c r="AF325" t="str">
        <f t="shared" si="71"/>
        <v>Regular</v>
      </c>
    </row>
    <row r="326" spans="1:32" x14ac:dyDescent="0.25">
      <c r="A326" t="s">
        <v>3658</v>
      </c>
      <c r="B326" s="1">
        <v>45082</v>
      </c>
      <c r="C326" s="1">
        <v>45091</v>
      </c>
      <c r="D326" s="4">
        <f t="shared" si="60"/>
        <v>9</v>
      </c>
      <c r="E326" s="4" t="str">
        <f>TEXT(Table1[[#This Row],[Order_Date]],"dddd")</f>
        <v>Monday</v>
      </c>
      <c r="F326" s="4">
        <f t="shared" si="61"/>
        <v>6</v>
      </c>
      <c r="G326" t="str">
        <f t="shared" si="64"/>
        <v>June</v>
      </c>
      <c r="H326">
        <f t="shared" si="65"/>
        <v>2023</v>
      </c>
      <c r="I326" t="str">
        <f t="shared" si="66"/>
        <v>2023-Q2</v>
      </c>
      <c r="J326" t="s">
        <v>21</v>
      </c>
      <c r="K326" t="s">
        <v>3659</v>
      </c>
      <c r="L326" t="s">
        <v>3660</v>
      </c>
      <c r="M326" t="s">
        <v>47</v>
      </c>
      <c r="N326" t="s">
        <v>25</v>
      </c>
      <c r="O326" t="s">
        <v>113</v>
      </c>
      <c r="P326" t="s">
        <v>113</v>
      </c>
      <c r="Q326" t="s">
        <v>39</v>
      </c>
      <c r="R326" t="s">
        <v>3661</v>
      </c>
      <c r="S326" t="s">
        <v>30</v>
      </c>
      <c r="T326" t="s">
        <v>41</v>
      </c>
      <c r="U326" t="s">
        <v>3662</v>
      </c>
      <c r="V326" s="3">
        <v>4301.0600000000004</v>
      </c>
      <c r="W326" s="4">
        <v>1</v>
      </c>
      <c r="X326" s="2">
        <v>0</v>
      </c>
      <c r="Y326" s="3">
        <v>-173.1</v>
      </c>
      <c r="Z326" t="str">
        <f t="shared" si="62"/>
        <v>Normal</v>
      </c>
      <c r="AA326" t="str">
        <f t="shared" si="63"/>
        <v>Low</v>
      </c>
      <c r="AB326" t="str">
        <f t="shared" si="67"/>
        <v>Loss</v>
      </c>
      <c r="AC326" s="3">
        <f t="shared" si="68"/>
        <v>-4.0245892872919693E-2</v>
      </c>
      <c r="AD326" s="3">
        <f t="shared" si="69"/>
        <v>4301.0600000000004</v>
      </c>
      <c r="AE326" s="3">
        <f t="shared" si="70"/>
        <v>-173.1</v>
      </c>
      <c r="AF326" t="str">
        <f t="shared" si="71"/>
        <v>Regular</v>
      </c>
    </row>
    <row r="327" spans="1:32" x14ac:dyDescent="0.25">
      <c r="A327" t="s">
        <v>5946</v>
      </c>
      <c r="B327" s="1">
        <v>45083</v>
      </c>
      <c r="C327" s="1">
        <v>45090</v>
      </c>
      <c r="D327" s="4">
        <f t="shared" si="60"/>
        <v>7</v>
      </c>
      <c r="E327" s="4" t="str">
        <f>TEXT(Table1[[#This Row],[Order_Date]],"dddd")</f>
        <v>Tuesday</v>
      </c>
      <c r="F327" s="4">
        <f t="shared" si="61"/>
        <v>6</v>
      </c>
      <c r="G327" t="str">
        <f t="shared" si="64"/>
        <v>June</v>
      </c>
      <c r="H327">
        <f t="shared" si="65"/>
        <v>2023</v>
      </c>
      <c r="I327" t="str">
        <f t="shared" si="66"/>
        <v>2023-Q2</v>
      </c>
      <c r="J327" t="s">
        <v>55</v>
      </c>
      <c r="K327" t="s">
        <v>5947</v>
      </c>
      <c r="L327" t="s">
        <v>5948</v>
      </c>
      <c r="M327" t="s">
        <v>36</v>
      </c>
      <c r="N327" t="s">
        <v>25</v>
      </c>
      <c r="O327" t="s">
        <v>244</v>
      </c>
      <c r="P327" t="s">
        <v>163</v>
      </c>
      <c r="Q327" t="s">
        <v>28</v>
      </c>
      <c r="R327" t="s">
        <v>5949</v>
      </c>
      <c r="S327" t="s">
        <v>59</v>
      </c>
      <c r="T327" t="s">
        <v>277</v>
      </c>
      <c r="U327" t="s">
        <v>5950</v>
      </c>
      <c r="V327" s="3">
        <v>1907.33</v>
      </c>
      <c r="W327" s="4">
        <v>6</v>
      </c>
      <c r="X327" s="2">
        <v>0.3</v>
      </c>
      <c r="Y327" s="3">
        <v>-370.59</v>
      </c>
      <c r="Z327" t="str">
        <f t="shared" si="62"/>
        <v>Normal</v>
      </c>
      <c r="AA327" t="str">
        <f t="shared" si="63"/>
        <v>High</v>
      </c>
      <c r="AB327" t="str">
        <f t="shared" si="67"/>
        <v>Loss</v>
      </c>
      <c r="AC327" s="3">
        <f t="shared" si="68"/>
        <v>-0.19429778800731912</v>
      </c>
      <c r="AD327" s="3">
        <f t="shared" si="69"/>
        <v>317.88833333333332</v>
      </c>
      <c r="AE327" s="3">
        <f t="shared" si="70"/>
        <v>-61.764999999999993</v>
      </c>
      <c r="AF327" t="str">
        <f t="shared" si="71"/>
        <v>Regular</v>
      </c>
    </row>
    <row r="328" spans="1:32" x14ac:dyDescent="0.25">
      <c r="A328" t="s">
        <v>2785</v>
      </c>
      <c r="B328" s="1">
        <v>45084</v>
      </c>
      <c r="C328" s="1">
        <v>45088</v>
      </c>
      <c r="D328" s="4">
        <f t="shared" si="60"/>
        <v>4</v>
      </c>
      <c r="E328" s="4" t="str">
        <f>TEXT(Table1[[#This Row],[Order_Date]],"dddd")</f>
        <v>Wednesday</v>
      </c>
      <c r="F328" s="4">
        <f t="shared" si="61"/>
        <v>6</v>
      </c>
      <c r="G328" t="str">
        <f t="shared" si="64"/>
        <v>June</v>
      </c>
      <c r="H328">
        <f t="shared" si="65"/>
        <v>2023</v>
      </c>
      <c r="I328" t="str">
        <f t="shared" si="66"/>
        <v>2023-Q2</v>
      </c>
      <c r="J328" t="s">
        <v>55</v>
      </c>
      <c r="K328" t="s">
        <v>2786</v>
      </c>
      <c r="L328" t="s">
        <v>2787</v>
      </c>
      <c r="M328" t="s">
        <v>24</v>
      </c>
      <c r="N328" t="s">
        <v>25</v>
      </c>
      <c r="O328" t="s">
        <v>511</v>
      </c>
      <c r="P328" t="s">
        <v>120</v>
      </c>
      <c r="Q328" t="s">
        <v>87</v>
      </c>
      <c r="R328" t="s">
        <v>2788</v>
      </c>
      <c r="S328" t="s">
        <v>59</v>
      </c>
      <c r="T328" t="s">
        <v>303</v>
      </c>
      <c r="U328" t="s">
        <v>2789</v>
      </c>
      <c r="V328" s="3">
        <v>4360.6400000000003</v>
      </c>
      <c r="W328" s="4">
        <v>3</v>
      </c>
      <c r="X328" s="2">
        <v>0.1</v>
      </c>
      <c r="Y328" s="3">
        <v>433.84</v>
      </c>
      <c r="Z328" t="str">
        <f t="shared" si="62"/>
        <v>Normal</v>
      </c>
      <c r="AA328" t="str">
        <f t="shared" si="63"/>
        <v>Medium</v>
      </c>
      <c r="AB328" t="str">
        <f t="shared" si="67"/>
        <v>Low Profit</v>
      </c>
      <c r="AC328" s="3">
        <f t="shared" si="68"/>
        <v>9.9489983121743578E-2</v>
      </c>
      <c r="AD328" s="3">
        <f t="shared" si="69"/>
        <v>1453.5466666666669</v>
      </c>
      <c r="AE328" s="3">
        <f t="shared" si="70"/>
        <v>144.61333333333332</v>
      </c>
      <c r="AF328" t="str">
        <f t="shared" si="71"/>
        <v>Regular</v>
      </c>
    </row>
    <row r="329" spans="1:32" x14ac:dyDescent="0.25">
      <c r="A329" t="s">
        <v>7166</v>
      </c>
      <c r="B329" s="1">
        <v>45084</v>
      </c>
      <c r="C329" s="1">
        <v>45086</v>
      </c>
      <c r="D329" s="4">
        <f t="shared" si="60"/>
        <v>2</v>
      </c>
      <c r="E329" s="4" t="str">
        <f>TEXT(Table1[[#This Row],[Order_Date]],"dddd")</f>
        <v>Wednesday</v>
      </c>
      <c r="F329" s="4">
        <f t="shared" si="61"/>
        <v>6</v>
      </c>
      <c r="G329" t="str">
        <f t="shared" si="64"/>
        <v>June</v>
      </c>
      <c r="H329">
        <f t="shared" si="65"/>
        <v>2023</v>
      </c>
      <c r="I329" t="str">
        <f t="shared" si="66"/>
        <v>2023-Q2</v>
      </c>
      <c r="J329" t="s">
        <v>55</v>
      </c>
      <c r="K329" t="s">
        <v>7167</v>
      </c>
      <c r="L329" t="s">
        <v>7168</v>
      </c>
      <c r="M329" t="s">
        <v>47</v>
      </c>
      <c r="N329" t="s">
        <v>25</v>
      </c>
      <c r="O329" t="s">
        <v>73</v>
      </c>
      <c r="P329" t="s">
        <v>74</v>
      </c>
      <c r="Q329" t="s">
        <v>39</v>
      </c>
      <c r="R329" t="s">
        <v>7169</v>
      </c>
      <c r="S329" t="s">
        <v>30</v>
      </c>
      <c r="T329" t="s">
        <v>82</v>
      </c>
      <c r="U329" t="s">
        <v>7170</v>
      </c>
      <c r="V329" s="3">
        <v>545.78</v>
      </c>
      <c r="W329" s="4">
        <v>7</v>
      </c>
      <c r="X329" s="2">
        <v>0.2</v>
      </c>
      <c r="Y329" s="3">
        <v>-56.52</v>
      </c>
      <c r="Z329" t="str">
        <f t="shared" si="62"/>
        <v>Normal</v>
      </c>
      <c r="AA329" t="str">
        <f t="shared" si="63"/>
        <v>High</v>
      </c>
      <c r="AB329" t="str">
        <f t="shared" si="67"/>
        <v>Loss</v>
      </c>
      <c r="AC329" s="3">
        <f t="shared" si="68"/>
        <v>-0.10355821026787351</v>
      </c>
      <c r="AD329" s="3">
        <f t="shared" si="69"/>
        <v>77.968571428571423</v>
      </c>
      <c r="AE329" s="3">
        <f t="shared" si="70"/>
        <v>-8.0742857142857147</v>
      </c>
      <c r="AF329" t="str">
        <f t="shared" si="71"/>
        <v>Regular</v>
      </c>
    </row>
    <row r="330" spans="1:32" x14ac:dyDescent="0.25">
      <c r="A330" t="s">
        <v>2428</v>
      </c>
      <c r="B330" s="1">
        <v>45084</v>
      </c>
      <c r="C330" s="1">
        <v>45085</v>
      </c>
      <c r="D330" s="4">
        <f t="shared" si="60"/>
        <v>1</v>
      </c>
      <c r="E330" s="4" t="str">
        <f>TEXT(Table1[[#This Row],[Order_Date]],"dddd")</f>
        <v>Wednesday</v>
      </c>
      <c r="F330" s="4">
        <f t="shared" si="61"/>
        <v>6</v>
      </c>
      <c r="G330" t="str">
        <f t="shared" si="64"/>
        <v>June</v>
      </c>
      <c r="H330">
        <f t="shared" si="65"/>
        <v>2023</v>
      </c>
      <c r="I330" t="str">
        <f t="shared" si="66"/>
        <v>2023-Q2</v>
      </c>
      <c r="J330" t="s">
        <v>21</v>
      </c>
      <c r="K330" t="s">
        <v>2429</v>
      </c>
      <c r="L330" t="s">
        <v>2430</v>
      </c>
      <c r="M330" t="s">
        <v>24</v>
      </c>
      <c r="N330" t="s">
        <v>25</v>
      </c>
      <c r="O330" t="s">
        <v>156</v>
      </c>
      <c r="P330" t="s">
        <v>143</v>
      </c>
      <c r="Q330" t="s">
        <v>66</v>
      </c>
      <c r="R330" t="s">
        <v>2431</v>
      </c>
      <c r="S330" t="s">
        <v>51</v>
      </c>
      <c r="T330" t="s">
        <v>94</v>
      </c>
      <c r="U330" t="s">
        <v>2432</v>
      </c>
      <c r="V330" s="3">
        <v>4183.12</v>
      </c>
      <c r="W330" s="4">
        <v>6</v>
      </c>
      <c r="X330" s="2">
        <v>0</v>
      </c>
      <c r="Y330" s="3">
        <v>-809.59</v>
      </c>
      <c r="Z330" t="str">
        <f t="shared" si="62"/>
        <v>Outlier</v>
      </c>
      <c r="AA330" t="str">
        <f t="shared" si="63"/>
        <v>Low</v>
      </c>
      <c r="AB330" t="str">
        <f t="shared" si="67"/>
        <v>Loss</v>
      </c>
      <c r="AC330" s="3">
        <f t="shared" si="68"/>
        <v>-0.19353735967411886</v>
      </c>
      <c r="AD330" s="3">
        <f t="shared" si="69"/>
        <v>697.18666666666661</v>
      </c>
      <c r="AE330" s="3">
        <f t="shared" si="70"/>
        <v>-134.93166666666667</v>
      </c>
      <c r="AF330" t="str">
        <f t="shared" si="71"/>
        <v>Regular</v>
      </c>
    </row>
    <row r="331" spans="1:32" x14ac:dyDescent="0.25">
      <c r="A331" t="s">
        <v>1111</v>
      </c>
      <c r="B331" s="1">
        <v>45085</v>
      </c>
      <c r="C331" s="1">
        <v>45089</v>
      </c>
      <c r="D331" s="4">
        <f t="shared" si="60"/>
        <v>4</v>
      </c>
      <c r="E331" s="4" t="str">
        <f>TEXT(Table1[[#This Row],[Order_Date]],"dddd")</f>
        <v>Thursday</v>
      </c>
      <c r="F331" s="4">
        <f t="shared" si="61"/>
        <v>6</v>
      </c>
      <c r="G331" t="str">
        <f t="shared" si="64"/>
        <v>June</v>
      </c>
      <c r="H331">
        <f t="shared" si="65"/>
        <v>2023</v>
      </c>
      <c r="I331" t="str">
        <f t="shared" si="66"/>
        <v>2023-Q2</v>
      </c>
      <c r="J331" t="s">
        <v>21</v>
      </c>
      <c r="K331" t="s">
        <v>1112</v>
      </c>
      <c r="L331" t="s">
        <v>1113</v>
      </c>
      <c r="M331" t="s">
        <v>36</v>
      </c>
      <c r="N331" t="s">
        <v>25</v>
      </c>
      <c r="O331" t="s">
        <v>233</v>
      </c>
      <c r="P331" t="s">
        <v>163</v>
      </c>
      <c r="Q331" t="s">
        <v>39</v>
      </c>
      <c r="R331" t="s">
        <v>1114</v>
      </c>
      <c r="S331" t="s">
        <v>30</v>
      </c>
      <c r="T331" t="s">
        <v>41</v>
      </c>
      <c r="U331" t="s">
        <v>1115</v>
      </c>
      <c r="V331" s="3">
        <v>568.44000000000005</v>
      </c>
      <c r="W331" s="4">
        <v>1</v>
      </c>
      <c r="X331" s="2">
        <v>0.1</v>
      </c>
      <c r="Y331" s="3">
        <v>130.46</v>
      </c>
      <c r="Z331" t="str">
        <f t="shared" si="62"/>
        <v>Normal</v>
      </c>
      <c r="AA331" t="str">
        <f t="shared" si="63"/>
        <v>Medium</v>
      </c>
      <c r="AB331" t="str">
        <f t="shared" si="67"/>
        <v>Low Profit</v>
      </c>
      <c r="AC331" s="3">
        <f t="shared" si="68"/>
        <v>0.22950531278587008</v>
      </c>
      <c r="AD331" s="3">
        <f t="shared" si="69"/>
        <v>568.44000000000005</v>
      </c>
      <c r="AE331" s="3">
        <f t="shared" si="70"/>
        <v>130.46</v>
      </c>
      <c r="AF331" t="str">
        <f t="shared" si="71"/>
        <v>Regular</v>
      </c>
    </row>
    <row r="332" spans="1:32" x14ac:dyDescent="0.25">
      <c r="A332" t="s">
        <v>967</v>
      </c>
      <c r="B332" s="1">
        <v>45085</v>
      </c>
      <c r="C332" s="1">
        <v>45094</v>
      </c>
      <c r="D332" s="4">
        <f t="shared" si="60"/>
        <v>9</v>
      </c>
      <c r="E332" s="4" t="str">
        <f>TEXT(Table1[[#This Row],[Order_Date]],"dddd")</f>
        <v>Thursday</v>
      </c>
      <c r="F332" s="4">
        <f t="shared" si="61"/>
        <v>6</v>
      </c>
      <c r="G332" t="str">
        <f t="shared" si="64"/>
        <v>June</v>
      </c>
      <c r="H332">
        <f t="shared" si="65"/>
        <v>2023</v>
      </c>
      <c r="I332" t="str">
        <f t="shared" si="66"/>
        <v>2023-Q2</v>
      </c>
      <c r="J332" t="s">
        <v>44</v>
      </c>
      <c r="K332" t="s">
        <v>968</v>
      </c>
      <c r="L332" t="s">
        <v>969</v>
      </c>
      <c r="M332" t="s">
        <v>24</v>
      </c>
      <c r="N332" t="s">
        <v>25</v>
      </c>
      <c r="O332" t="s">
        <v>119</v>
      </c>
      <c r="P332" t="s">
        <v>120</v>
      </c>
      <c r="Q332" t="s">
        <v>66</v>
      </c>
      <c r="R332" t="s">
        <v>970</v>
      </c>
      <c r="S332" t="s">
        <v>51</v>
      </c>
      <c r="T332" t="s">
        <v>108</v>
      </c>
      <c r="U332" t="s">
        <v>373</v>
      </c>
      <c r="V332" s="3">
        <v>4049.31</v>
      </c>
      <c r="W332" s="4">
        <v>9</v>
      </c>
      <c r="X332" s="2">
        <v>0.4</v>
      </c>
      <c r="Y332" s="3">
        <v>-774.09</v>
      </c>
      <c r="Z332" t="str">
        <f t="shared" si="62"/>
        <v>Normal</v>
      </c>
      <c r="AA332" t="str">
        <f t="shared" si="63"/>
        <v>High</v>
      </c>
      <c r="AB332" t="str">
        <f t="shared" si="67"/>
        <v>Loss</v>
      </c>
      <c r="AC332" s="3">
        <f t="shared" si="68"/>
        <v>-0.191165902338917</v>
      </c>
      <c r="AD332" s="3">
        <f t="shared" si="69"/>
        <v>449.92333333333335</v>
      </c>
      <c r="AE332" s="3">
        <f t="shared" si="70"/>
        <v>-86.01</v>
      </c>
      <c r="AF332" t="str">
        <f t="shared" si="71"/>
        <v>Regular</v>
      </c>
    </row>
    <row r="333" spans="1:32" x14ac:dyDescent="0.25">
      <c r="A333" t="s">
        <v>7232</v>
      </c>
      <c r="B333" s="1">
        <v>45085</v>
      </c>
      <c r="C333" s="1">
        <v>45095</v>
      </c>
      <c r="D333" s="4">
        <f t="shared" si="60"/>
        <v>10</v>
      </c>
      <c r="E333" s="4" t="str">
        <f>TEXT(Table1[[#This Row],[Order_Date]],"dddd")</f>
        <v>Thursday</v>
      </c>
      <c r="F333" s="4">
        <f t="shared" si="61"/>
        <v>6</v>
      </c>
      <c r="G333" t="str">
        <f t="shared" si="64"/>
        <v>June</v>
      </c>
      <c r="H333">
        <f t="shared" si="65"/>
        <v>2023</v>
      </c>
      <c r="I333" t="str">
        <f t="shared" si="66"/>
        <v>2023-Q2</v>
      </c>
      <c r="J333" t="s">
        <v>44</v>
      </c>
      <c r="K333" t="s">
        <v>7233</v>
      </c>
      <c r="L333" t="s">
        <v>7234</v>
      </c>
      <c r="M333" t="s">
        <v>36</v>
      </c>
      <c r="N333" t="s">
        <v>25</v>
      </c>
      <c r="O333" t="s">
        <v>37</v>
      </c>
      <c r="P333" t="s">
        <v>38</v>
      </c>
      <c r="Q333" t="s">
        <v>28</v>
      </c>
      <c r="R333" t="s">
        <v>7235</v>
      </c>
      <c r="S333" t="s">
        <v>51</v>
      </c>
      <c r="T333" t="s">
        <v>127</v>
      </c>
      <c r="U333" t="s">
        <v>7236</v>
      </c>
      <c r="V333" s="3">
        <v>2502.84</v>
      </c>
      <c r="W333" s="4">
        <v>9</v>
      </c>
      <c r="X333" s="2">
        <v>0.4</v>
      </c>
      <c r="Y333" s="3">
        <v>392.18</v>
      </c>
      <c r="Z333" t="str">
        <f t="shared" si="62"/>
        <v>Normal</v>
      </c>
      <c r="AA333" t="str">
        <f t="shared" si="63"/>
        <v>High</v>
      </c>
      <c r="AB333" t="str">
        <f t="shared" si="67"/>
        <v>Low Profit</v>
      </c>
      <c r="AC333" s="3">
        <f t="shared" si="68"/>
        <v>0.15669399562097458</v>
      </c>
      <c r="AD333" s="3">
        <f t="shared" si="69"/>
        <v>278.09333333333336</v>
      </c>
      <c r="AE333" s="3">
        <f t="shared" si="70"/>
        <v>43.575555555555553</v>
      </c>
      <c r="AF333" t="str">
        <f t="shared" si="71"/>
        <v>Regular</v>
      </c>
    </row>
    <row r="334" spans="1:32" x14ac:dyDescent="0.25">
      <c r="A334" t="s">
        <v>6861</v>
      </c>
      <c r="B334" s="1">
        <v>45085</v>
      </c>
      <c r="C334" s="1">
        <v>45090</v>
      </c>
      <c r="D334" s="4">
        <f t="shared" si="60"/>
        <v>5</v>
      </c>
      <c r="E334" s="4" t="str">
        <f>TEXT(Table1[[#This Row],[Order_Date]],"dddd")</f>
        <v>Thursday</v>
      </c>
      <c r="F334" s="4">
        <f t="shared" si="61"/>
        <v>6</v>
      </c>
      <c r="G334" t="str">
        <f t="shared" si="64"/>
        <v>June</v>
      </c>
      <c r="H334">
        <f t="shared" si="65"/>
        <v>2023</v>
      </c>
      <c r="I334" t="str">
        <f t="shared" si="66"/>
        <v>2023-Q2</v>
      </c>
      <c r="J334" t="s">
        <v>104</v>
      </c>
      <c r="K334" t="s">
        <v>6862</v>
      </c>
      <c r="L334" t="s">
        <v>6863</v>
      </c>
      <c r="M334" t="s">
        <v>24</v>
      </c>
      <c r="N334" t="s">
        <v>25</v>
      </c>
      <c r="O334" t="s">
        <v>611</v>
      </c>
      <c r="P334" t="s">
        <v>74</v>
      </c>
      <c r="Q334" t="s">
        <v>39</v>
      </c>
      <c r="R334" t="s">
        <v>6864</v>
      </c>
      <c r="S334" t="s">
        <v>30</v>
      </c>
      <c r="T334" t="s">
        <v>31</v>
      </c>
      <c r="U334" t="s">
        <v>6865</v>
      </c>
      <c r="V334" s="3">
        <v>1290.71</v>
      </c>
      <c r="W334" s="4">
        <v>9</v>
      </c>
      <c r="X334" s="2">
        <v>0.1</v>
      </c>
      <c r="Y334" s="3">
        <v>-81.849999999999994</v>
      </c>
      <c r="Z334" t="str">
        <f t="shared" si="62"/>
        <v>Normal</v>
      </c>
      <c r="AA334" t="str">
        <f t="shared" si="63"/>
        <v>Medium</v>
      </c>
      <c r="AB334" t="str">
        <f t="shared" si="67"/>
        <v>Loss</v>
      </c>
      <c r="AC334" s="3">
        <f t="shared" si="68"/>
        <v>-6.3414709733402533E-2</v>
      </c>
      <c r="AD334" s="3">
        <f t="shared" si="69"/>
        <v>143.41222222222223</v>
      </c>
      <c r="AE334" s="3">
        <f t="shared" si="70"/>
        <v>-9.0944444444444432</v>
      </c>
      <c r="AF334" t="str">
        <f t="shared" si="71"/>
        <v>Regular</v>
      </c>
    </row>
    <row r="335" spans="1:32" x14ac:dyDescent="0.25">
      <c r="A335" t="s">
        <v>3528</v>
      </c>
      <c r="B335" s="1">
        <v>45086</v>
      </c>
      <c r="C335" s="1">
        <v>45095</v>
      </c>
      <c r="D335" s="4">
        <f t="shared" si="60"/>
        <v>9</v>
      </c>
      <c r="E335" s="4" t="str">
        <f>TEXT(Table1[[#This Row],[Order_Date]],"dddd")</f>
        <v>Friday</v>
      </c>
      <c r="F335" s="4">
        <f t="shared" si="61"/>
        <v>6</v>
      </c>
      <c r="G335" t="str">
        <f t="shared" si="64"/>
        <v>June</v>
      </c>
      <c r="H335">
        <f t="shared" si="65"/>
        <v>2023</v>
      </c>
      <c r="I335" t="str">
        <f t="shared" si="66"/>
        <v>2023-Q2</v>
      </c>
      <c r="J335" t="s">
        <v>21</v>
      </c>
      <c r="K335" t="s">
        <v>3529</v>
      </c>
      <c r="L335" t="s">
        <v>3530</v>
      </c>
      <c r="M335" t="s">
        <v>24</v>
      </c>
      <c r="N335" t="s">
        <v>25</v>
      </c>
      <c r="O335" t="s">
        <v>233</v>
      </c>
      <c r="P335" t="s">
        <v>163</v>
      </c>
      <c r="Q335" t="s">
        <v>87</v>
      </c>
      <c r="R335" t="s">
        <v>3531</v>
      </c>
      <c r="S335" t="s">
        <v>30</v>
      </c>
      <c r="T335" t="s">
        <v>82</v>
      </c>
      <c r="U335" t="s">
        <v>3532</v>
      </c>
      <c r="V335" s="3">
        <v>625.79999999999995</v>
      </c>
      <c r="W335" s="4">
        <v>9</v>
      </c>
      <c r="X335" s="2">
        <v>0.1</v>
      </c>
      <c r="Y335" s="3">
        <v>32.369999999999997</v>
      </c>
      <c r="Z335" t="str">
        <f t="shared" si="62"/>
        <v>Normal</v>
      </c>
      <c r="AA335" t="str">
        <f t="shared" si="63"/>
        <v>Medium</v>
      </c>
      <c r="AB335" t="str">
        <f t="shared" si="67"/>
        <v>Low Profit</v>
      </c>
      <c r="AC335" s="3">
        <f t="shared" si="68"/>
        <v>5.1725790987535956E-2</v>
      </c>
      <c r="AD335" s="3">
        <f t="shared" si="69"/>
        <v>69.533333333333331</v>
      </c>
      <c r="AE335" s="3">
        <f t="shared" si="70"/>
        <v>3.5966666666666662</v>
      </c>
      <c r="AF335" t="str">
        <f t="shared" si="71"/>
        <v>Regular</v>
      </c>
    </row>
    <row r="336" spans="1:32" x14ac:dyDescent="0.25">
      <c r="A336" t="s">
        <v>6567</v>
      </c>
      <c r="B336" s="1">
        <v>45086</v>
      </c>
      <c r="C336" s="1">
        <v>45094</v>
      </c>
      <c r="D336" s="4">
        <f t="shared" si="60"/>
        <v>8</v>
      </c>
      <c r="E336" s="4" t="str">
        <f>TEXT(Table1[[#This Row],[Order_Date]],"dddd")</f>
        <v>Friday</v>
      </c>
      <c r="F336" s="4">
        <f t="shared" si="61"/>
        <v>6</v>
      </c>
      <c r="G336" t="str">
        <f t="shared" si="64"/>
        <v>June</v>
      </c>
      <c r="H336">
        <f t="shared" si="65"/>
        <v>2023</v>
      </c>
      <c r="I336" t="str">
        <f t="shared" si="66"/>
        <v>2023-Q2</v>
      </c>
      <c r="J336" t="s">
        <v>21</v>
      </c>
      <c r="K336" t="s">
        <v>6568</v>
      </c>
      <c r="L336" t="s">
        <v>6569</v>
      </c>
      <c r="M336" t="s">
        <v>47</v>
      </c>
      <c r="N336" t="s">
        <v>25</v>
      </c>
      <c r="O336" t="s">
        <v>113</v>
      </c>
      <c r="P336" t="s">
        <v>113</v>
      </c>
      <c r="Q336" t="s">
        <v>66</v>
      </c>
      <c r="R336" t="s">
        <v>6570</v>
      </c>
      <c r="S336" t="s">
        <v>59</v>
      </c>
      <c r="T336" t="s">
        <v>277</v>
      </c>
      <c r="U336" t="s">
        <v>6571</v>
      </c>
      <c r="V336" s="3">
        <v>753.2</v>
      </c>
      <c r="W336" s="4">
        <v>4</v>
      </c>
      <c r="X336" s="2">
        <v>0</v>
      </c>
      <c r="Y336" s="3">
        <v>146.68</v>
      </c>
      <c r="Z336" t="str">
        <f t="shared" si="62"/>
        <v>Normal</v>
      </c>
      <c r="AA336" t="str">
        <f t="shared" si="63"/>
        <v>Low</v>
      </c>
      <c r="AB336" t="str">
        <f t="shared" si="67"/>
        <v>Low Profit</v>
      </c>
      <c r="AC336" s="3">
        <f t="shared" si="68"/>
        <v>0.19474243228890067</v>
      </c>
      <c r="AD336" s="3">
        <f t="shared" si="69"/>
        <v>188.3</v>
      </c>
      <c r="AE336" s="3">
        <f t="shared" si="70"/>
        <v>36.67</v>
      </c>
      <c r="AF336" t="str">
        <f t="shared" si="71"/>
        <v>Regular</v>
      </c>
    </row>
    <row r="337" spans="1:32" x14ac:dyDescent="0.25">
      <c r="A337" t="s">
        <v>319</v>
      </c>
      <c r="B337" s="1">
        <v>45087</v>
      </c>
      <c r="C337" s="1">
        <v>45091</v>
      </c>
      <c r="D337" s="4">
        <f t="shared" si="60"/>
        <v>4</v>
      </c>
      <c r="E337" s="4" t="str">
        <f>TEXT(Table1[[#This Row],[Order_Date]],"dddd")</f>
        <v>Saturday</v>
      </c>
      <c r="F337" s="4">
        <f t="shared" si="61"/>
        <v>6</v>
      </c>
      <c r="G337" t="str">
        <f t="shared" si="64"/>
        <v>June</v>
      </c>
      <c r="H337">
        <f t="shared" si="65"/>
        <v>2023</v>
      </c>
      <c r="I337" t="str">
        <f t="shared" si="66"/>
        <v>2023-Q2</v>
      </c>
      <c r="J337" t="s">
        <v>104</v>
      </c>
      <c r="K337" t="s">
        <v>320</v>
      </c>
      <c r="L337" t="s">
        <v>321</v>
      </c>
      <c r="M337" t="s">
        <v>36</v>
      </c>
      <c r="N337" t="s">
        <v>25</v>
      </c>
      <c r="O337" t="s">
        <v>233</v>
      </c>
      <c r="P337" t="s">
        <v>163</v>
      </c>
      <c r="Q337" t="s">
        <v>28</v>
      </c>
      <c r="R337" t="s">
        <v>322</v>
      </c>
      <c r="S337" t="s">
        <v>59</v>
      </c>
      <c r="T337" t="s">
        <v>303</v>
      </c>
      <c r="U337" t="s">
        <v>323</v>
      </c>
      <c r="V337" s="3">
        <v>4558.32</v>
      </c>
      <c r="W337" s="4">
        <v>6</v>
      </c>
      <c r="X337" s="2">
        <v>0.4</v>
      </c>
      <c r="Y337" s="3">
        <v>334.16</v>
      </c>
      <c r="Z337" t="str">
        <f t="shared" si="62"/>
        <v>Normal</v>
      </c>
      <c r="AA337" t="str">
        <f t="shared" si="63"/>
        <v>High</v>
      </c>
      <c r="AB337" t="str">
        <f t="shared" si="67"/>
        <v>Low Profit</v>
      </c>
      <c r="AC337" s="3">
        <f t="shared" si="68"/>
        <v>7.3307709858017878E-2</v>
      </c>
      <c r="AD337" s="3">
        <f t="shared" si="69"/>
        <v>759.71999999999991</v>
      </c>
      <c r="AE337" s="3">
        <f t="shared" si="70"/>
        <v>55.693333333333335</v>
      </c>
      <c r="AF337" t="str">
        <f t="shared" si="71"/>
        <v>Regular</v>
      </c>
    </row>
    <row r="338" spans="1:32" x14ac:dyDescent="0.25">
      <c r="A338" t="s">
        <v>6807</v>
      </c>
      <c r="B338" s="1">
        <v>45087</v>
      </c>
      <c r="C338" s="1">
        <v>45089</v>
      </c>
      <c r="D338" s="4">
        <f t="shared" si="60"/>
        <v>2</v>
      </c>
      <c r="E338" s="4" t="str">
        <f>TEXT(Table1[[#This Row],[Order_Date]],"dddd")</f>
        <v>Saturday</v>
      </c>
      <c r="F338" s="4">
        <f t="shared" si="61"/>
        <v>6</v>
      </c>
      <c r="G338" t="str">
        <f t="shared" si="64"/>
        <v>June</v>
      </c>
      <c r="H338">
        <f t="shared" si="65"/>
        <v>2023</v>
      </c>
      <c r="I338" t="str">
        <f t="shared" si="66"/>
        <v>2023-Q2</v>
      </c>
      <c r="J338" t="s">
        <v>21</v>
      </c>
      <c r="K338" t="s">
        <v>6808</v>
      </c>
      <c r="L338" t="s">
        <v>6809</v>
      </c>
      <c r="M338" t="s">
        <v>47</v>
      </c>
      <c r="N338" t="s">
        <v>25</v>
      </c>
      <c r="O338" t="s">
        <v>201</v>
      </c>
      <c r="P338" t="s">
        <v>113</v>
      </c>
      <c r="Q338" t="s">
        <v>87</v>
      </c>
      <c r="R338" t="s">
        <v>6810</v>
      </c>
      <c r="S338" t="s">
        <v>51</v>
      </c>
      <c r="T338" t="s">
        <v>108</v>
      </c>
      <c r="U338" t="s">
        <v>6811</v>
      </c>
      <c r="V338" s="3">
        <v>2978.37</v>
      </c>
      <c r="W338" s="4">
        <v>3</v>
      </c>
      <c r="X338" s="2">
        <v>0</v>
      </c>
      <c r="Y338" s="3">
        <v>137.8091799</v>
      </c>
      <c r="Z338" t="str">
        <f t="shared" si="62"/>
        <v>Normal</v>
      </c>
      <c r="AA338" t="str">
        <f t="shared" si="63"/>
        <v>Low</v>
      </c>
      <c r="AB338" t="str">
        <f t="shared" si="67"/>
        <v>Low Profit</v>
      </c>
      <c r="AC338" s="3">
        <f t="shared" si="68"/>
        <v>4.6270000000000006E-2</v>
      </c>
      <c r="AD338" s="3">
        <f t="shared" si="69"/>
        <v>992.79</v>
      </c>
      <c r="AE338" s="3">
        <f t="shared" si="70"/>
        <v>45.936393299999999</v>
      </c>
      <c r="AF338" t="str">
        <f t="shared" si="71"/>
        <v>Regular</v>
      </c>
    </row>
    <row r="339" spans="1:32" x14ac:dyDescent="0.25">
      <c r="A339" t="s">
        <v>6664</v>
      </c>
      <c r="B339" s="1">
        <v>45087</v>
      </c>
      <c r="C339" s="1">
        <v>45097</v>
      </c>
      <c r="D339" s="4">
        <f t="shared" si="60"/>
        <v>10</v>
      </c>
      <c r="E339" s="4" t="str">
        <f>TEXT(Table1[[#This Row],[Order_Date]],"dddd")</f>
        <v>Saturday</v>
      </c>
      <c r="F339" s="4">
        <f t="shared" si="61"/>
        <v>6</v>
      </c>
      <c r="G339" t="str">
        <f t="shared" si="64"/>
        <v>June</v>
      </c>
      <c r="H339">
        <f t="shared" si="65"/>
        <v>2023</v>
      </c>
      <c r="I339" t="str">
        <f t="shared" si="66"/>
        <v>2023-Q2</v>
      </c>
      <c r="J339" t="s">
        <v>104</v>
      </c>
      <c r="K339" t="s">
        <v>6665</v>
      </c>
      <c r="L339" t="s">
        <v>6666</v>
      </c>
      <c r="M339" t="s">
        <v>36</v>
      </c>
      <c r="N339" t="s">
        <v>25</v>
      </c>
      <c r="O339" t="s">
        <v>190</v>
      </c>
      <c r="P339" t="s">
        <v>120</v>
      </c>
      <c r="Q339" t="s">
        <v>28</v>
      </c>
      <c r="R339" t="s">
        <v>6667</v>
      </c>
      <c r="S339" t="s">
        <v>51</v>
      </c>
      <c r="T339" t="s">
        <v>108</v>
      </c>
      <c r="U339" t="s">
        <v>6668</v>
      </c>
      <c r="V339" s="3">
        <v>3565.52</v>
      </c>
      <c r="W339" s="4">
        <v>10</v>
      </c>
      <c r="X339" s="2">
        <v>0.2</v>
      </c>
      <c r="Y339" s="3">
        <v>849.08</v>
      </c>
      <c r="Z339" t="str">
        <f t="shared" si="62"/>
        <v>Normal</v>
      </c>
      <c r="AA339" t="str">
        <f t="shared" si="63"/>
        <v>High</v>
      </c>
      <c r="AB339" t="str">
        <f t="shared" si="67"/>
        <v>High Profit</v>
      </c>
      <c r="AC339" s="3">
        <f t="shared" si="68"/>
        <v>0.23813637281518546</v>
      </c>
      <c r="AD339" s="3">
        <f t="shared" si="69"/>
        <v>356.55200000000002</v>
      </c>
      <c r="AE339" s="3">
        <f t="shared" si="70"/>
        <v>84.908000000000001</v>
      </c>
      <c r="AF339" t="str">
        <f t="shared" si="71"/>
        <v>Regular</v>
      </c>
    </row>
    <row r="340" spans="1:32" x14ac:dyDescent="0.25">
      <c r="A340" t="s">
        <v>6362</v>
      </c>
      <c r="B340" s="1">
        <v>45088</v>
      </c>
      <c r="C340" s="1">
        <v>45092</v>
      </c>
      <c r="D340" s="4">
        <f t="shared" si="60"/>
        <v>4</v>
      </c>
      <c r="E340" s="4" t="str">
        <f>TEXT(Table1[[#This Row],[Order_Date]],"dddd")</f>
        <v>Sunday</v>
      </c>
      <c r="F340" s="4">
        <f t="shared" si="61"/>
        <v>6</v>
      </c>
      <c r="G340" t="str">
        <f t="shared" si="64"/>
        <v>June</v>
      </c>
      <c r="H340">
        <f t="shared" si="65"/>
        <v>2023</v>
      </c>
      <c r="I340" t="str">
        <f t="shared" si="66"/>
        <v>2023-Q2</v>
      </c>
      <c r="J340" t="s">
        <v>55</v>
      </c>
      <c r="K340" t="s">
        <v>6363</v>
      </c>
      <c r="L340" t="s">
        <v>6364</v>
      </c>
      <c r="M340" t="s">
        <v>36</v>
      </c>
      <c r="N340" t="s">
        <v>25</v>
      </c>
      <c r="O340" t="s">
        <v>233</v>
      </c>
      <c r="P340" t="s">
        <v>163</v>
      </c>
      <c r="Q340" t="s">
        <v>28</v>
      </c>
      <c r="R340" t="s">
        <v>6365</v>
      </c>
      <c r="S340" t="s">
        <v>30</v>
      </c>
      <c r="T340" t="s">
        <v>31</v>
      </c>
      <c r="U340" t="s">
        <v>6366</v>
      </c>
      <c r="V340" s="3">
        <v>985.88</v>
      </c>
      <c r="W340" s="4">
        <v>8</v>
      </c>
      <c r="X340" s="2">
        <v>0.1</v>
      </c>
      <c r="Y340" s="3">
        <v>-42.61</v>
      </c>
      <c r="Z340" t="str">
        <f t="shared" si="62"/>
        <v>Normal</v>
      </c>
      <c r="AA340" t="str">
        <f t="shared" si="63"/>
        <v>Medium</v>
      </c>
      <c r="AB340" t="str">
        <f t="shared" si="67"/>
        <v>Loss</v>
      </c>
      <c r="AC340" s="3">
        <f t="shared" si="68"/>
        <v>-4.3220270215442044E-2</v>
      </c>
      <c r="AD340" s="3">
        <f t="shared" si="69"/>
        <v>123.235</v>
      </c>
      <c r="AE340" s="3">
        <f t="shared" si="70"/>
        <v>-5.3262499999999999</v>
      </c>
      <c r="AF340" t="str">
        <f t="shared" si="71"/>
        <v>Regular</v>
      </c>
    </row>
    <row r="341" spans="1:32" x14ac:dyDescent="0.25">
      <c r="A341" t="s">
        <v>5922</v>
      </c>
      <c r="B341" s="1">
        <v>45088</v>
      </c>
      <c r="C341" s="1">
        <v>45095</v>
      </c>
      <c r="D341" s="4">
        <f t="shared" si="60"/>
        <v>7</v>
      </c>
      <c r="E341" s="4" t="str">
        <f>TEXT(Table1[[#This Row],[Order_Date]],"dddd")</f>
        <v>Sunday</v>
      </c>
      <c r="F341" s="4">
        <f t="shared" si="61"/>
        <v>6</v>
      </c>
      <c r="G341" t="str">
        <f t="shared" si="64"/>
        <v>June</v>
      </c>
      <c r="H341">
        <f t="shared" si="65"/>
        <v>2023</v>
      </c>
      <c r="I341" t="str">
        <f t="shared" si="66"/>
        <v>2023-Q2</v>
      </c>
      <c r="J341" t="s">
        <v>44</v>
      </c>
      <c r="K341" t="s">
        <v>5923</v>
      </c>
      <c r="L341" t="s">
        <v>5924</v>
      </c>
      <c r="M341" t="s">
        <v>47</v>
      </c>
      <c r="N341" t="s">
        <v>25</v>
      </c>
      <c r="O341" t="s">
        <v>119</v>
      </c>
      <c r="P341" t="s">
        <v>120</v>
      </c>
      <c r="Q341" t="s">
        <v>39</v>
      </c>
      <c r="R341" t="s">
        <v>5925</v>
      </c>
      <c r="S341" t="s">
        <v>59</v>
      </c>
      <c r="T341" t="s">
        <v>60</v>
      </c>
      <c r="U341" t="s">
        <v>5926</v>
      </c>
      <c r="V341" s="3">
        <v>172.97</v>
      </c>
      <c r="W341" s="4">
        <v>7</v>
      </c>
      <c r="X341" s="2">
        <v>0.4</v>
      </c>
      <c r="Y341" s="3">
        <v>4.49</v>
      </c>
      <c r="Z341" t="str">
        <f t="shared" si="62"/>
        <v>Normal</v>
      </c>
      <c r="AA341" t="str">
        <f t="shared" si="63"/>
        <v>High</v>
      </c>
      <c r="AB341" t="str">
        <f t="shared" si="67"/>
        <v>Low Profit</v>
      </c>
      <c r="AC341" s="3">
        <f t="shared" si="68"/>
        <v>2.595825865757068E-2</v>
      </c>
      <c r="AD341" s="3">
        <f t="shared" si="69"/>
        <v>24.71</v>
      </c>
      <c r="AE341" s="3">
        <f t="shared" si="70"/>
        <v>0.64142857142857146</v>
      </c>
      <c r="AF341" t="str">
        <f t="shared" si="71"/>
        <v>Regular</v>
      </c>
    </row>
    <row r="342" spans="1:32" x14ac:dyDescent="0.25">
      <c r="A342" t="s">
        <v>6965</v>
      </c>
      <c r="B342" s="1">
        <v>45088</v>
      </c>
      <c r="C342" s="1">
        <v>45095</v>
      </c>
      <c r="D342" s="4">
        <f t="shared" si="60"/>
        <v>7</v>
      </c>
      <c r="E342" s="4" t="str">
        <f>TEXT(Table1[[#This Row],[Order_Date]],"dddd")</f>
        <v>Sunday</v>
      </c>
      <c r="F342" s="4">
        <f t="shared" si="61"/>
        <v>6</v>
      </c>
      <c r="G342" t="str">
        <f t="shared" si="64"/>
        <v>June</v>
      </c>
      <c r="H342">
        <f t="shared" si="65"/>
        <v>2023</v>
      </c>
      <c r="I342" t="str">
        <f t="shared" si="66"/>
        <v>2023-Q2</v>
      </c>
      <c r="J342" t="s">
        <v>21</v>
      </c>
      <c r="K342" t="s">
        <v>6966</v>
      </c>
      <c r="L342" t="s">
        <v>6967</v>
      </c>
      <c r="M342" t="s">
        <v>47</v>
      </c>
      <c r="N342" t="s">
        <v>25</v>
      </c>
      <c r="O342" t="s">
        <v>142</v>
      </c>
      <c r="P342" t="s">
        <v>143</v>
      </c>
      <c r="Q342" t="s">
        <v>39</v>
      </c>
      <c r="R342" t="s">
        <v>6968</v>
      </c>
      <c r="S342" t="s">
        <v>51</v>
      </c>
      <c r="T342" t="s">
        <v>108</v>
      </c>
      <c r="U342" t="s">
        <v>6969</v>
      </c>
      <c r="V342" s="3">
        <v>3551.65</v>
      </c>
      <c r="W342" s="4">
        <v>10</v>
      </c>
      <c r="X342" s="2">
        <v>0.2</v>
      </c>
      <c r="Y342" s="3">
        <v>-413.91</v>
      </c>
      <c r="Z342" t="str">
        <f t="shared" si="62"/>
        <v>Normal</v>
      </c>
      <c r="AA342" t="str">
        <f t="shared" si="63"/>
        <v>High</v>
      </c>
      <c r="AB342" t="str">
        <f t="shared" si="67"/>
        <v>Loss</v>
      </c>
      <c r="AC342" s="3">
        <f t="shared" si="68"/>
        <v>-0.11654019962552617</v>
      </c>
      <c r="AD342" s="3">
        <f t="shared" si="69"/>
        <v>355.16500000000002</v>
      </c>
      <c r="AE342" s="3">
        <f t="shared" si="70"/>
        <v>-41.391000000000005</v>
      </c>
      <c r="AF342" t="str">
        <f t="shared" si="71"/>
        <v>Regular</v>
      </c>
    </row>
    <row r="343" spans="1:32" x14ac:dyDescent="0.25">
      <c r="A343" t="s">
        <v>6698</v>
      </c>
      <c r="B343" s="1">
        <v>45089</v>
      </c>
      <c r="C343" s="1">
        <v>45095</v>
      </c>
      <c r="D343" s="4">
        <f t="shared" si="60"/>
        <v>6</v>
      </c>
      <c r="E343" s="4" t="str">
        <f>TEXT(Table1[[#This Row],[Order_Date]],"dddd")</f>
        <v>Monday</v>
      </c>
      <c r="F343" s="4">
        <f t="shared" si="61"/>
        <v>6</v>
      </c>
      <c r="G343" t="str">
        <f t="shared" si="64"/>
        <v>June</v>
      </c>
      <c r="H343">
        <f t="shared" si="65"/>
        <v>2023</v>
      </c>
      <c r="I343" t="str">
        <f t="shared" si="66"/>
        <v>2023-Q2</v>
      </c>
      <c r="J343" t="s">
        <v>55</v>
      </c>
      <c r="K343" t="s">
        <v>6699</v>
      </c>
      <c r="L343" t="s">
        <v>6700</v>
      </c>
      <c r="M343" t="s">
        <v>24</v>
      </c>
      <c r="N343" t="s">
        <v>25</v>
      </c>
      <c r="O343" t="s">
        <v>233</v>
      </c>
      <c r="P343" t="s">
        <v>163</v>
      </c>
      <c r="Q343" t="s">
        <v>87</v>
      </c>
      <c r="R343" t="s">
        <v>6701</v>
      </c>
      <c r="S343" t="s">
        <v>59</v>
      </c>
      <c r="T343" t="s">
        <v>303</v>
      </c>
      <c r="U343" t="s">
        <v>6702</v>
      </c>
      <c r="V343" s="3">
        <v>2802.24</v>
      </c>
      <c r="W343" s="4">
        <v>8</v>
      </c>
      <c r="X343" s="2">
        <v>0.3</v>
      </c>
      <c r="Y343" s="3">
        <v>-553.82000000000005</v>
      </c>
      <c r="Z343" t="str">
        <f t="shared" si="62"/>
        <v>Normal</v>
      </c>
      <c r="AA343" t="str">
        <f t="shared" si="63"/>
        <v>High</v>
      </c>
      <c r="AB343" t="str">
        <f t="shared" si="67"/>
        <v>Loss</v>
      </c>
      <c r="AC343" s="3">
        <f t="shared" si="68"/>
        <v>-0.19763474934338246</v>
      </c>
      <c r="AD343" s="3">
        <f t="shared" si="69"/>
        <v>350.28</v>
      </c>
      <c r="AE343" s="3">
        <f t="shared" si="70"/>
        <v>-69.227500000000006</v>
      </c>
      <c r="AF343" t="str">
        <f t="shared" si="71"/>
        <v>Regular</v>
      </c>
    </row>
    <row r="344" spans="1:32" x14ac:dyDescent="0.25">
      <c r="A344" t="s">
        <v>2477</v>
      </c>
      <c r="B344" s="1">
        <v>45089</v>
      </c>
      <c r="C344" s="1">
        <v>45093</v>
      </c>
      <c r="D344" s="4">
        <f t="shared" si="60"/>
        <v>4</v>
      </c>
      <c r="E344" s="4" t="str">
        <f>TEXT(Table1[[#This Row],[Order_Date]],"dddd")</f>
        <v>Monday</v>
      </c>
      <c r="F344" s="4">
        <f t="shared" si="61"/>
        <v>6</v>
      </c>
      <c r="G344" t="str">
        <f t="shared" si="64"/>
        <v>June</v>
      </c>
      <c r="H344">
        <f t="shared" si="65"/>
        <v>2023</v>
      </c>
      <c r="I344" t="str">
        <f t="shared" si="66"/>
        <v>2023-Q2</v>
      </c>
      <c r="J344" t="s">
        <v>104</v>
      </c>
      <c r="K344" t="s">
        <v>2478</v>
      </c>
      <c r="L344" t="s">
        <v>2479</v>
      </c>
      <c r="M344" t="s">
        <v>36</v>
      </c>
      <c r="N344" t="s">
        <v>25</v>
      </c>
      <c r="O344" t="s">
        <v>179</v>
      </c>
      <c r="P344" t="s">
        <v>27</v>
      </c>
      <c r="Q344" t="s">
        <v>66</v>
      </c>
      <c r="R344" t="s">
        <v>2480</v>
      </c>
      <c r="S344" t="s">
        <v>59</v>
      </c>
      <c r="T344" t="s">
        <v>277</v>
      </c>
      <c r="U344" t="s">
        <v>2481</v>
      </c>
      <c r="V344" s="3">
        <v>607.22</v>
      </c>
      <c r="W344" s="4">
        <v>2</v>
      </c>
      <c r="X344" s="2">
        <v>0.4</v>
      </c>
      <c r="Y344" s="3">
        <v>-102.13</v>
      </c>
      <c r="Z344" t="str">
        <f t="shared" si="62"/>
        <v>Normal</v>
      </c>
      <c r="AA344" t="str">
        <f t="shared" si="63"/>
        <v>High</v>
      </c>
      <c r="AB344" t="str">
        <f t="shared" si="67"/>
        <v>Loss</v>
      </c>
      <c r="AC344" s="3">
        <f t="shared" si="68"/>
        <v>-0.16819274727446393</v>
      </c>
      <c r="AD344" s="3">
        <f t="shared" si="69"/>
        <v>303.61</v>
      </c>
      <c r="AE344" s="3">
        <f t="shared" si="70"/>
        <v>-51.064999999999998</v>
      </c>
      <c r="AF344" t="str">
        <f t="shared" si="71"/>
        <v>Regular</v>
      </c>
    </row>
    <row r="345" spans="1:32" x14ac:dyDescent="0.25">
      <c r="A345" t="s">
        <v>6052</v>
      </c>
      <c r="B345" s="1">
        <v>45089</v>
      </c>
      <c r="C345" s="1">
        <v>45091</v>
      </c>
      <c r="D345" s="4">
        <f t="shared" si="60"/>
        <v>2</v>
      </c>
      <c r="E345" s="4" t="str">
        <f>TEXT(Table1[[#This Row],[Order_Date]],"dddd")</f>
        <v>Monday</v>
      </c>
      <c r="F345" s="4">
        <f t="shared" si="61"/>
        <v>6</v>
      </c>
      <c r="G345" t="str">
        <f t="shared" si="64"/>
        <v>June</v>
      </c>
      <c r="H345">
        <f t="shared" si="65"/>
        <v>2023</v>
      </c>
      <c r="I345" t="str">
        <f t="shared" si="66"/>
        <v>2023-Q2</v>
      </c>
      <c r="J345" t="s">
        <v>44</v>
      </c>
      <c r="K345" t="s">
        <v>6053</v>
      </c>
      <c r="L345" t="s">
        <v>6054</v>
      </c>
      <c r="M345" t="s">
        <v>36</v>
      </c>
      <c r="N345" t="s">
        <v>25</v>
      </c>
      <c r="O345" t="s">
        <v>37</v>
      </c>
      <c r="P345" t="s">
        <v>38</v>
      </c>
      <c r="Q345" t="s">
        <v>39</v>
      </c>
      <c r="R345" t="s">
        <v>6055</v>
      </c>
      <c r="S345" t="s">
        <v>59</v>
      </c>
      <c r="T345" t="s">
        <v>60</v>
      </c>
      <c r="U345" t="s">
        <v>6056</v>
      </c>
      <c r="V345" s="3">
        <v>2219.94</v>
      </c>
      <c r="W345" s="4">
        <v>6</v>
      </c>
      <c r="X345" s="2">
        <v>0.2</v>
      </c>
      <c r="Y345" s="3">
        <v>606.14</v>
      </c>
      <c r="Z345" t="str">
        <f t="shared" si="62"/>
        <v>Normal</v>
      </c>
      <c r="AA345" t="str">
        <f t="shared" si="63"/>
        <v>High</v>
      </c>
      <c r="AB345" t="str">
        <f t="shared" si="67"/>
        <v>High Profit</v>
      </c>
      <c r="AC345" s="3">
        <f t="shared" si="68"/>
        <v>0.27304341558780865</v>
      </c>
      <c r="AD345" s="3">
        <f t="shared" si="69"/>
        <v>369.99</v>
      </c>
      <c r="AE345" s="3">
        <f t="shared" si="70"/>
        <v>101.02333333333333</v>
      </c>
      <c r="AF345" t="str">
        <f t="shared" si="71"/>
        <v>Regular</v>
      </c>
    </row>
    <row r="346" spans="1:32" x14ac:dyDescent="0.25">
      <c r="A346" t="s">
        <v>5746</v>
      </c>
      <c r="B346" s="1">
        <v>45090</v>
      </c>
      <c r="C346" s="1">
        <v>45091</v>
      </c>
      <c r="D346" s="4">
        <f t="shared" si="60"/>
        <v>1</v>
      </c>
      <c r="E346" s="4" t="str">
        <f>TEXT(Table1[[#This Row],[Order_Date]],"dddd")</f>
        <v>Tuesday</v>
      </c>
      <c r="F346" s="4">
        <f t="shared" si="61"/>
        <v>6</v>
      </c>
      <c r="G346" t="str">
        <f t="shared" si="64"/>
        <v>June</v>
      </c>
      <c r="H346">
        <f t="shared" si="65"/>
        <v>2023</v>
      </c>
      <c r="I346" t="str">
        <f t="shared" si="66"/>
        <v>2023-Q2</v>
      </c>
      <c r="J346" t="s">
        <v>104</v>
      </c>
      <c r="K346" t="s">
        <v>5747</v>
      </c>
      <c r="L346" t="s">
        <v>5748</v>
      </c>
      <c r="M346" t="s">
        <v>47</v>
      </c>
      <c r="N346" t="s">
        <v>25</v>
      </c>
      <c r="O346" t="s">
        <v>73</v>
      </c>
      <c r="P346" t="s">
        <v>74</v>
      </c>
      <c r="Q346" t="s">
        <v>28</v>
      </c>
      <c r="R346" t="s">
        <v>5749</v>
      </c>
      <c r="S346" t="s">
        <v>59</v>
      </c>
      <c r="T346" t="s">
        <v>277</v>
      </c>
      <c r="U346" t="s">
        <v>3262</v>
      </c>
      <c r="V346" s="3">
        <v>4028.24</v>
      </c>
      <c r="W346" s="4">
        <v>4</v>
      </c>
      <c r="X346" s="2">
        <v>0.4</v>
      </c>
      <c r="Y346" s="3">
        <v>319.97000000000003</v>
      </c>
      <c r="Z346" t="str">
        <f t="shared" si="62"/>
        <v>Normal</v>
      </c>
      <c r="AA346" t="str">
        <f t="shared" si="63"/>
        <v>High</v>
      </c>
      <c r="AB346" t="str">
        <f t="shared" si="67"/>
        <v>Low Profit</v>
      </c>
      <c r="AC346" s="3">
        <f t="shared" si="68"/>
        <v>7.9431712112485856E-2</v>
      </c>
      <c r="AD346" s="3">
        <f t="shared" si="69"/>
        <v>1007.06</v>
      </c>
      <c r="AE346" s="3">
        <f t="shared" si="70"/>
        <v>79.992500000000007</v>
      </c>
      <c r="AF346" t="str">
        <f t="shared" si="71"/>
        <v>Regular</v>
      </c>
    </row>
    <row r="347" spans="1:32" x14ac:dyDescent="0.25">
      <c r="A347" t="s">
        <v>2627</v>
      </c>
      <c r="B347" s="1">
        <v>45091</v>
      </c>
      <c r="C347" s="1">
        <v>45099</v>
      </c>
      <c r="D347" s="4">
        <f t="shared" si="60"/>
        <v>8</v>
      </c>
      <c r="E347" s="4" t="str">
        <f>TEXT(Table1[[#This Row],[Order_Date]],"dddd")</f>
        <v>Wednesday</v>
      </c>
      <c r="F347" s="4">
        <f t="shared" si="61"/>
        <v>6</v>
      </c>
      <c r="G347" t="str">
        <f t="shared" si="64"/>
        <v>June</v>
      </c>
      <c r="H347">
        <f t="shared" si="65"/>
        <v>2023</v>
      </c>
      <c r="I347" t="str">
        <f t="shared" si="66"/>
        <v>2023-Q2</v>
      </c>
      <c r="J347" t="s">
        <v>104</v>
      </c>
      <c r="K347" t="s">
        <v>2628</v>
      </c>
      <c r="L347" t="s">
        <v>2629</v>
      </c>
      <c r="M347" t="s">
        <v>47</v>
      </c>
      <c r="N347" t="s">
        <v>25</v>
      </c>
      <c r="O347" t="s">
        <v>37</v>
      </c>
      <c r="P347" t="s">
        <v>38</v>
      </c>
      <c r="Q347" t="s">
        <v>87</v>
      </c>
      <c r="R347" t="s">
        <v>2630</v>
      </c>
      <c r="S347" t="s">
        <v>51</v>
      </c>
      <c r="T347" t="s">
        <v>94</v>
      </c>
      <c r="U347" t="s">
        <v>2631</v>
      </c>
      <c r="V347" s="3">
        <v>4618</v>
      </c>
      <c r="W347" s="4">
        <v>7</v>
      </c>
      <c r="X347" s="2">
        <v>0.3</v>
      </c>
      <c r="Y347" s="3">
        <v>1082.19</v>
      </c>
      <c r="Z347" t="str">
        <f t="shared" si="62"/>
        <v>Outlier</v>
      </c>
      <c r="AA347" t="str">
        <f t="shared" si="63"/>
        <v>High</v>
      </c>
      <c r="AB347" t="str">
        <f t="shared" si="67"/>
        <v>High Profit</v>
      </c>
      <c r="AC347" s="3">
        <f t="shared" si="68"/>
        <v>0.2343417063663924</v>
      </c>
      <c r="AD347" s="3">
        <f t="shared" si="69"/>
        <v>659.71428571428567</v>
      </c>
      <c r="AE347" s="3">
        <f t="shared" si="70"/>
        <v>154.59857142857143</v>
      </c>
      <c r="AF347" t="str">
        <f t="shared" si="71"/>
        <v>Regular</v>
      </c>
    </row>
    <row r="348" spans="1:32" x14ac:dyDescent="0.25">
      <c r="A348" t="s">
        <v>4749</v>
      </c>
      <c r="B348" s="1">
        <v>45091</v>
      </c>
      <c r="C348" s="1">
        <v>45094</v>
      </c>
      <c r="D348" s="4">
        <f t="shared" si="60"/>
        <v>3</v>
      </c>
      <c r="E348" s="4" t="str">
        <f>TEXT(Table1[[#This Row],[Order_Date]],"dddd")</f>
        <v>Wednesday</v>
      </c>
      <c r="F348" s="4">
        <f t="shared" si="61"/>
        <v>6</v>
      </c>
      <c r="G348" t="str">
        <f t="shared" si="64"/>
        <v>June</v>
      </c>
      <c r="H348">
        <f t="shared" si="65"/>
        <v>2023</v>
      </c>
      <c r="I348" t="str">
        <f t="shared" si="66"/>
        <v>2023-Q2</v>
      </c>
      <c r="J348" t="s">
        <v>21</v>
      </c>
      <c r="K348" t="s">
        <v>4750</v>
      </c>
      <c r="L348" t="s">
        <v>4751</v>
      </c>
      <c r="M348" t="s">
        <v>24</v>
      </c>
      <c r="N348" t="s">
        <v>25</v>
      </c>
      <c r="O348" t="s">
        <v>162</v>
      </c>
      <c r="P348" t="s">
        <v>163</v>
      </c>
      <c r="Q348" t="s">
        <v>28</v>
      </c>
      <c r="R348" t="s">
        <v>4752</v>
      </c>
      <c r="S348" t="s">
        <v>30</v>
      </c>
      <c r="T348" t="s">
        <v>41</v>
      </c>
      <c r="U348" t="s">
        <v>4753</v>
      </c>
      <c r="V348" s="3">
        <v>1159.69</v>
      </c>
      <c r="W348" s="4">
        <v>2</v>
      </c>
      <c r="X348" s="2">
        <v>0.3</v>
      </c>
      <c r="Y348" s="3">
        <v>56.27</v>
      </c>
      <c r="Z348" t="str">
        <f t="shared" si="62"/>
        <v>Normal</v>
      </c>
      <c r="AA348" t="str">
        <f t="shared" si="63"/>
        <v>High</v>
      </c>
      <c r="AB348" t="str">
        <f t="shared" si="67"/>
        <v>Low Profit</v>
      </c>
      <c r="AC348" s="3">
        <f t="shared" si="68"/>
        <v>4.8521587665669275E-2</v>
      </c>
      <c r="AD348" s="3">
        <f t="shared" si="69"/>
        <v>579.84500000000003</v>
      </c>
      <c r="AE348" s="3">
        <f t="shared" si="70"/>
        <v>28.135000000000002</v>
      </c>
      <c r="AF348" t="str">
        <f t="shared" si="71"/>
        <v>Regular</v>
      </c>
    </row>
    <row r="349" spans="1:32" x14ac:dyDescent="0.25">
      <c r="A349" t="s">
        <v>5517</v>
      </c>
      <c r="B349" s="1">
        <v>45094</v>
      </c>
      <c r="C349" s="1">
        <v>45099</v>
      </c>
      <c r="D349" s="4">
        <f t="shared" si="60"/>
        <v>5</v>
      </c>
      <c r="E349" s="4" t="str">
        <f>TEXT(Table1[[#This Row],[Order_Date]],"dddd")</f>
        <v>Saturday</v>
      </c>
      <c r="F349" s="4">
        <f t="shared" si="61"/>
        <v>6</v>
      </c>
      <c r="G349" t="str">
        <f t="shared" si="64"/>
        <v>June</v>
      </c>
      <c r="H349">
        <f t="shared" si="65"/>
        <v>2023</v>
      </c>
      <c r="I349" t="str">
        <f t="shared" si="66"/>
        <v>2023-Q2</v>
      </c>
      <c r="J349" t="s">
        <v>21</v>
      </c>
      <c r="K349" t="s">
        <v>5518</v>
      </c>
      <c r="L349" t="s">
        <v>5519</v>
      </c>
      <c r="M349" t="s">
        <v>36</v>
      </c>
      <c r="N349" t="s">
        <v>25</v>
      </c>
      <c r="O349" t="s">
        <v>26</v>
      </c>
      <c r="P349" t="s">
        <v>27</v>
      </c>
      <c r="Q349" t="s">
        <v>87</v>
      </c>
      <c r="R349" t="s">
        <v>5520</v>
      </c>
      <c r="S349" t="s">
        <v>51</v>
      </c>
      <c r="T349" t="s">
        <v>52</v>
      </c>
      <c r="U349" t="s">
        <v>1155</v>
      </c>
      <c r="V349" s="3">
        <v>3716.71</v>
      </c>
      <c r="W349" s="4">
        <v>3</v>
      </c>
      <c r="X349" s="2">
        <v>0.4</v>
      </c>
      <c r="Y349" s="3">
        <v>-568.30999999999995</v>
      </c>
      <c r="Z349" t="str">
        <f t="shared" si="62"/>
        <v>Normal</v>
      </c>
      <c r="AA349" t="str">
        <f t="shared" si="63"/>
        <v>High</v>
      </c>
      <c r="AB349" t="str">
        <f t="shared" si="67"/>
        <v>Loss</v>
      </c>
      <c r="AC349" s="3">
        <f t="shared" si="68"/>
        <v>-0.15290673741023644</v>
      </c>
      <c r="AD349" s="3">
        <f t="shared" si="69"/>
        <v>1238.9033333333334</v>
      </c>
      <c r="AE349" s="3">
        <f t="shared" si="70"/>
        <v>-189.43666666666664</v>
      </c>
      <c r="AF349" t="str">
        <f t="shared" si="71"/>
        <v>Regular</v>
      </c>
    </row>
    <row r="350" spans="1:32" x14ac:dyDescent="0.25">
      <c r="A350" t="s">
        <v>6377</v>
      </c>
      <c r="B350" s="1">
        <v>45095</v>
      </c>
      <c r="C350" s="1">
        <v>45105</v>
      </c>
      <c r="D350" s="4">
        <f t="shared" si="60"/>
        <v>10</v>
      </c>
      <c r="E350" s="4" t="str">
        <f>TEXT(Table1[[#This Row],[Order_Date]],"dddd")</f>
        <v>Sunday</v>
      </c>
      <c r="F350" s="4">
        <f t="shared" si="61"/>
        <v>6</v>
      </c>
      <c r="G350" t="str">
        <f t="shared" si="64"/>
        <v>June</v>
      </c>
      <c r="H350">
        <f t="shared" si="65"/>
        <v>2023</v>
      </c>
      <c r="I350" t="str">
        <f t="shared" si="66"/>
        <v>2023-Q2</v>
      </c>
      <c r="J350" t="s">
        <v>44</v>
      </c>
      <c r="K350" t="s">
        <v>6378</v>
      </c>
      <c r="L350" t="s">
        <v>6379</v>
      </c>
      <c r="M350" t="s">
        <v>36</v>
      </c>
      <c r="N350" t="s">
        <v>25</v>
      </c>
      <c r="O350" t="s">
        <v>26</v>
      </c>
      <c r="P350" t="s">
        <v>27</v>
      </c>
      <c r="Q350" t="s">
        <v>28</v>
      </c>
      <c r="R350" t="s">
        <v>6380</v>
      </c>
      <c r="S350" t="s">
        <v>30</v>
      </c>
      <c r="T350" t="s">
        <v>68</v>
      </c>
      <c r="U350" t="s">
        <v>6381</v>
      </c>
      <c r="V350" s="3">
        <v>4532.7</v>
      </c>
      <c r="W350" s="4">
        <v>9</v>
      </c>
      <c r="X350" s="2">
        <v>0.1</v>
      </c>
      <c r="Y350" s="3">
        <v>580.66999999999996</v>
      </c>
      <c r="Z350" t="str">
        <f t="shared" si="62"/>
        <v>Normal</v>
      </c>
      <c r="AA350" t="str">
        <f t="shared" si="63"/>
        <v>Medium</v>
      </c>
      <c r="AB350" t="str">
        <f t="shared" si="67"/>
        <v>High Profit</v>
      </c>
      <c r="AC350" s="3">
        <f t="shared" si="68"/>
        <v>0.12810686787124673</v>
      </c>
      <c r="AD350" s="3">
        <f t="shared" si="69"/>
        <v>503.63333333333333</v>
      </c>
      <c r="AE350" s="3">
        <f t="shared" si="70"/>
        <v>64.518888888888881</v>
      </c>
      <c r="AF350" t="str">
        <f t="shared" si="71"/>
        <v>Regular</v>
      </c>
    </row>
    <row r="351" spans="1:32" x14ac:dyDescent="0.25">
      <c r="A351" t="s">
        <v>3205</v>
      </c>
      <c r="B351" s="1">
        <v>45095</v>
      </c>
      <c r="C351" s="1">
        <f>B351+5</f>
        <v>45100</v>
      </c>
      <c r="D351" s="4">
        <f t="shared" si="60"/>
        <v>5</v>
      </c>
      <c r="E351" s="4" t="str">
        <f>TEXT(Table1[[#This Row],[Order_Date]],"dddd")</f>
        <v>Sunday</v>
      </c>
      <c r="F351" s="4">
        <f t="shared" si="61"/>
        <v>6</v>
      </c>
      <c r="G351" t="str">
        <f t="shared" si="64"/>
        <v>June</v>
      </c>
      <c r="H351">
        <f t="shared" si="65"/>
        <v>2023</v>
      </c>
      <c r="I351" t="str">
        <f t="shared" si="66"/>
        <v>2023-Q2</v>
      </c>
      <c r="J351" t="s">
        <v>44</v>
      </c>
      <c r="K351" t="s">
        <v>3206</v>
      </c>
      <c r="L351" t="s">
        <v>3207</v>
      </c>
      <c r="M351" t="s">
        <v>24</v>
      </c>
      <c r="N351" t="s">
        <v>25</v>
      </c>
      <c r="O351" t="s">
        <v>156</v>
      </c>
      <c r="P351" t="s">
        <v>143</v>
      </c>
      <c r="Q351" t="s">
        <v>28</v>
      </c>
      <c r="R351" t="s">
        <v>3208</v>
      </c>
      <c r="S351" t="s">
        <v>59</v>
      </c>
      <c r="T351" t="s">
        <v>277</v>
      </c>
      <c r="U351" t="s">
        <v>3209</v>
      </c>
      <c r="V351" s="3">
        <v>4851.78</v>
      </c>
      <c r="W351" s="4">
        <v>4</v>
      </c>
      <c r="X351" s="2">
        <v>0.1</v>
      </c>
      <c r="Y351" s="3">
        <v>130.66999999999999</v>
      </c>
      <c r="Z351" t="str">
        <f t="shared" si="62"/>
        <v>Normal</v>
      </c>
      <c r="AA351" t="str">
        <f t="shared" si="63"/>
        <v>Medium</v>
      </c>
      <c r="AB351" t="str">
        <f t="shared" si="67"/>
        <v>Low Profit</v>
      </c>
      <c r="AC351" s="3">
        <f t="shared" si="68"/>
        <v>2.693238357881025E-2</v>
      </c>
      <c r="AD351" s="3">
        <f t="shared" si="69"/>
        <v>1212.9449999999999</v>
      </c>
      <c r="AE351" s="3">
        <f t="shared" si="70"/>
        <v>32.667499999999997</v>
      </c>
      <c r="AF351" t="str">
        <f t="shared" si="71"/>
        <v>Regular</v>
      </c>
    </row>
    <row r="352" spans="1:32" x14ac:dyDescent="0.25">
      <c r="A352" t="s">
        <v>503</v>
      </c>
      <c r="B352" s="1">
        <v>45095</v>
      </c>
      <c r="C352" s="1">
        <v>45102</v>
      </c>
      <c r="D352" s="4">
        <f t="shared" si="60"/>
        <v>7</v>
      </c>
      <c r="E352" s="4" t="str">
        <f>TEXT(Table1[[#This Row],[Order_Date]],"dddd")</f>
        <v>Sunday</v>
      </c>
      <c r="F352" s="4">
        <f t="shared" si="61"/>
        <v>6</v>
      </c>
      <c r="G352" t="str">
        <f t="shared" si="64"/>
        <v>June</v>
      </c>
      <c r="H352">
        <f t="shared" si="65"/>
        <v>2023</v>
      </c>
      <c r="I352" t="str">
        <f t="shared" si="66"/>
        <v>2023-Q2</v>
      </c>
      <c r="J352" t="s">
        <v>104</v>
      </c>
      <c r="K352" t="s">
        <v>504</v>
      </c>
      <c r="L352" t="s">
        <v>505</v>
      </c>
      <c r="M352" t="s">
        <v>36</v>
      </c>
      <c r="N352" t="s">
        <v>25</v>
      </c>
      <c r="O352" t="s">
        <v>99</v>
      </c>
      <c r="P352" t="s">
        <v>74</v>
      </c>
      <c r="Q352" t="s">
        <v>87</v>
      </c>
      <c r="R352" t="s">
        <v>506</v>
      </c>
      <c r="S352" t="s">
        <v>51</v>
      </c>
      <c r="T352" t="s">
        <v>52</v>
      </c>
      <c r="U352" t="s">
        <v>507</v>
      </c>
      <c r="V352" s="3">
        <v>2282.16</v>
      </c>
      <c r="W352" s="4">
        <v>8</v>
      </c>
      <c r="X352" s="2">
        <v>0.2</v>
      </c>
      <c r="Y352" s="3">
        <v>342.86</v>
      </c>
      <c r="Z352" t="str">
        <f t="shared" si="62"/>
        <v>Normal</v>
      </c>
      <c r="AA352" t="str">
        <f t="shared" si="63"/>
        <v>High</v>
      </c>
      <c r="AB352" t="str">
        <f t="shared" si="67"/>
        <v>Low Profit</v>
      </c>
      <c r="AC352" s="3">
        <f t="shared" si="68"/>
        <v>0.15023486521540999</v>
      </c>
      <c r="AD352" s="3">
        <f t="shared" si="69"/>
        <v>285.27</v>
      </c>
      <c r="AE352" s="3">
        <f t="shared" si="70"/>
        <v>42.857500000000002</v>
      </c>
      <c r="AF352" t="str">
        <f t="shared" si="71"/>
        <v>Regular</v>
      </c>
    </row>
    <row r="353" spans="1:32" x14ac:dyDescent="0.25">
      <c r="A353" t="s">
        <v>6596</v>
      </c>
      <c r="B353" s="1">
        <v>45095</v>
      </c>
      <c r="C353" s="1">
        <v>45101</v>
      </c>
      <c r="D353" s="4">
        <f t="shared" si="60"/>
        <v>6</v>
      </c>
      <c r="E353" s="4" t="str">
        <f>TEXT(Table1[[#This Row],[Order_Date]],"dddd")</f>
        <v>Sunday</v>
      </c>
      <c r="F353" s="4">
        <f t="shared" si="61"/>
        <v>6</v>
      </c>
      <c r="G353" t="str">
        <f t="shared" si="64"/>
        <v>June</v>
      </c>
      <c r="H353">
        <f t="shared" si="65"/>
        <v>2023</v>
      </c>
      <c r="I353" t="str">
        <f t="shared" si="66"/>
        <v>2023-Q2</v>
      </c>
      <c r="J353" t="s">
        <v>44</v>
      </c>
      <c r="K353" t="s">
        <v>6597</v>
      </c>
      <c r="L353" t="s">
        <v>6598</v>
      </c>
      <c r="M353" t="s">
        <v>36</v>
      </c>
      <c r="N353" t="s">
        <v>25</v>
      </c>
      <c r="O353" t="s">
        <v>113</v>
      </c>
      <c r="P353" t="s">
        <v>113</v>
      </c>
      <c r="Q353" t="s">
        <v>39</v>
      </c>
      <c r="R353" t="s">
        <v>6599</v>
      </c>
      <c r="S353" t="s">
        <v>51</v>
      </c>
      <c r="T353" t="s">
        <v>52</v>
      </c>
      <c r="U353" t="s">
        <v>6600</v>
      </c>
      <c r="V353" s="3">
        <v>434.53</v>
      </c>
      <c r="W353" s="4">
        <v>4</v>
      </c>
      <c r="X353" s="2">
        <v>0.4</v>
      </c>
      <c r="Y353" s="3">
        <v>109.05</v>
      </c>
      <c r="Z353" t="str">
        <f t="shared" si="62"/>
        <v>Normal</v>
      </c>
      <c r="AA353" t="str">
        <f t="shared" si="63"/>
        <v>High</v>
      </c>
      <c r="AB353" t="str">
        <f t="shared" si="67"/>
        <v>Low Profit</v>
      </c>
      <c r="AC353" s="3">
        <f t="shared" si="68"/>
        <v>0.25096080822958139</v>
      </c>
      <c r="AD353" s="3">
        <f t="shared" si="69"/>
        <v>108.63249999999999</v>
      </c>
      <c r="AE353" s="3">
        <f t="shared" si="70"/>
        <v>27.262499999999999</v>
      </c>
      <c r="AF353" t="str">
        <f t="shared" si="71"/>
        <v>Regular</v>
      </c>
    </row>
    <row r="354" spans="1:32" x14ac:dyDescent="0.25">
      <c r="A354" t="s">
        <v>863</v>
      </c>
      <c r="B354" s="1">
        <v>45095</v>
      </c>
      <c r="C354" s="1">
        <v>45097</v>
      </c>
      <c r="D354" s="4">
        <f t="shared" si="60"/>
        <v>2</v>
      </c>
      <c r="E354" s="4" t="str">
        <f>TEXT(Table1[[#This Row],[Order_Date]],"dddd")</f>
        <v>Sunday</v>
      </c>
      <c r="F354" s="4">
        <f t="shared" si="61"/>
        <v>6</v>
      </c>
      <c r="G354" t="str">
        <f t="shared" si="64"/>
        <v>June</v>
      </c>
      <c r="H354">
        <f t="shared" si="65"/>
        <v>2023</v>
      </c>
      <c r="I354" t="str">
        <f t="shared" si="66"/>
        <v>2023-Q2</v>
      </c>
      <c r="J354" t="s">
        <v>21</v>
      </c>
      <c r="K354" t="s">
        <v>864</v>
      </c>
      <c r="L354" t="s">
        <v>865</v>
      </c>
      <c r="M354" t="s">
        <v>36</v>
      </c>
      <c r="N354" t="s">
        <v>25</v>
      </c>
      <c r="O354" t="s">
        <v>244</v>
      </c>
      <c r="P354" t="s">
        <v>163</v>
      </c>
      <c r="Q354" t="s">
        <v>39</v>
      </c>
      <c r="R354" t="s">
        <v>866</v>
      </c>
      <c r="S354" t="s">
        <v>51</v>
      </c>
      <c r="T354" t="s">
        <v>127</v>
      </c>
      <c r="U354" t="s">
        <v>867</v>
      </c>
      <c r="V354" s="3">
        <v>2436.27</v>
      </c>
      <c r="W354" s="4">
        <v>9</v>
      </c>
      <c r="X354" s="2">
        <v>0</v>
      </c>
      <c r="Y354" s="3">
        <v>85.47</v>
      </c>
      <c r="Z354" t="str">
        <f t="shared" si="62"/>
        <v>Normal</v>
      </c>
      <c r="AA354" t="str">
        <f t="shared" si="63"/>
        <v>Low</v>
      </c>
      <c r="AB354" t="str">
        <f t="shared" si="67"/>
        <v>Low Profit</v>
      </c>
      <c r="AC354" s="3">
        <f t="shared" si="68"/>
        <v>3.5082318462239408E-2</v>
      </c>
      <c r="AD354" s="3">
        <f t="shared" si="69"/>
        <v>270.69666666666666</v>
      </c>
      <c r="AE354" s="3">
        <f t="shared" si="70"/>
        <v>9.4966666666666661</v>
      </c>
      <c r="AF354" t="str">
        <f t="shared" si="71"/>
        <v>Regular</v>
      </c>
    </row>
    <row r="355" spans="1:32" x14ac:dyDescent="0.25">
      <c r="A355" t="s">
        <v>5721</v>
      </c>
      <c r="B355" s="1">
        <v>45097</v>
      </c>
      <c r="C355" s="1">
        <v>45106</v>
      </c>
      <c r="D355" s="4">
        <f t="shared" si="60"/>
        <v>9</v>
      </c>
      <c r="E355" s="4" t="str">
        <f>TEXT(Table1[[#This Row],[Order_Date]],"dddd")</f>
        <v>Tuesday</v>
      </c>
      <c r="F355" s="4">
        <f t="shared" si="61"/>
        <v>6</v>
      </c>
      <c r="G355" t="str">
        <f t="shared" si="64"/>
        <v>June</v>
      </c>
      <c r="H355">
        <f t="shared" si="65"/>
        <v>2023</v>
      </c>
      <c r="I355" t="str">
        <f t="shared" si="66"/>
        <v>2023-Q2</v>
      </c>
      <c r="J355" t="s">
        <v>104</v>
      </c>
      <c r="K355" t="s">
        <v>5722</v>
      </c>
      <c r="L355" t="s">
        <v>5723</v>
      </c>
      <c r="M355" t="s">
        <v>24</v>
      </c>
      <c r="N355" t="s">
        <v>25</v>
      </c>
      <c r="O355" t="s">
        <v>142</v>
      </c>
      <c r="P355" t="s">
        <v>143</v>
      </c>
      <c r="Q355" t="s">
        <v>39</v>
      </c>
      <c r="R355" t="s">
        <v>5724</v>
      </c>
      <c r="S355" t="s">
        <v>51</v>
      </c>
      <c r="T355" t="s">
        <v>108</v>
      </c>
      <c r="U355" t="s">
        <v>5725</v>
      </c>
      <c r="V355" s="3">
        <v>96.17</v>
      </c>
      <c r="W355" s="4">
        <v>9</v>
      </c>
      <c r="X355" s="2">
        <v>0.1</v>
      </c>
      <c r="Y355" s="3">
        <v>-11.54</v>
      </c>
      <c r="Z355" t="str">
        <f t="shared" si="62"/>
        <v>Normal</v>
      </c>
      <c r="AA355" t="str">
        <f t="shared" si="63"/>
        <v>Medium</v>
      </c>
      <c r="AB355" t="str">
        <f t="shared" si="67"/>
        <v>Loss</v>
      </c>
      <c r="AC355" s="3">
        <f t="shared" si="68"/>
        <v>-0.1199958406987626</v>
      </c>
      <c r="AD355" s="3">
        <f t="shared" si="69"/>
        <v>10.685555555555556</v>
      </c>
      <c r="AE355" s="3">
        <f t="shared" si="70"/>
        <v>-1.2822222222222222</v>
      </c>
      <c r="AF355" t="str">
        <f t="shared" si="71"/>
        <v>Regular</v>
      </c>
    </row>
    <row r="356" spans="1:32" x14ac:dyDescent="0.25">
      <c r="A356" t="s">
        <v>5825</v>
      </c>
      <c r="B356" s="1">
        <v>45097</v>
      </c>
      <c r="C356" s="1">
        <v>45104</v>
      </c>
      <c r="D356" s="4">
        <f t="shared" si="60"/>
        <v>7</v>
      </c>
      <c r="E356" s="4" t="str">
        <f>TEXT(Table1[[#This Row],[Order_Date]],"dddd")</f>
        <v>Tuesday</v>
      </c>
      <c r="F356" s="4">
        <f t="shared" si="61"/>
        <v>6</v>
      </c>
      <c r="G356" t="str">
        <f t="shared" si="64"/>
        <v>June</v>
      </c>
      <c r="H356">
        <f t="shared" si="65"/>
        <v>2023</v>
      </c>
      <c r="I356" t="str">
        <f t="shared" si="66"/>
        <v>2023-Q2</v>
      </c>
      <c r="J356" t="s">
        <v>21</v>
      </c>
      <c r="K356" t="s">
        <v>5826</v>
      </c>
      <c r="L356" t="s">
        <v>5827</v>
      </c>
      <c r="M356" t="s">
        <v>47</v>
      </c>
      <c r="N356" t="s">
        <v>25</v>
      </c>
      <c r="O356" t="s">
        <v>80</v>
      </c>
      <c r="P356" t="s">
        <v>49</v>
      </c>
      <c r="Q356" t="s">
        <v>28</v>
      </c>
      <c r="R356" t="s">
        <v>5828</v>
      </c>
      <c r="S356" t="s">
        <v>51</v>
      </c>
      <c r="T356" t="s">
        <v>94</v>
      </c>
      <c r="U356" t="s">
        <v>5829</v>
      </c>
      <c r="V356" s="3">
        <v>3834.83</v>
      </c>
      <c r="W356" s="4">
        <v>10</v>
      </c>
      <c r="X356" s="2">
        <v>0.2</v>
      </c>
      <c r="Y356" s="3">
        <v>-306.02999999999997</v>
      </c>
      <c r="Z356" t="str">
        <f t="shared" si="62"/>
        <v>Normal</v>
      </c>
      <c r="AA356" t="str">
        <f t="shared" si="63"/>
        <v>High</v>
      </c>
      <c r="AB356" t="str">
        <f t="shared" si="67"/>
        <v>Loss</v>
      </c>
      <c r="AC356" s="3">
        <f t="shared" si="68"/>
        <v>-7.9802755272072035E-2</v>
      </c>
      <c r="AD356" s="3">
        <f t="shared" si="69"/>
        <v>383.483</v>
      </c>
      <c r="AE356" s="3">
        <f t="shared" si="70"/>
        <v>-30.602999999999998</v>
      </c>
      <c r="AF356" t="str">
        <f t="shared" si="71"/>
        <v>Regular</v>
      </c>
    </row>
    <row r="357" spans="1:32" x14ac:dyDescent="0.25">
      <c r="A357" t="s">
        <v>5283</v>
      </c>
      <c r="B357" s="1">
        <v>45097</v>
      </c>
      <c r="C357" s="1">
        <v>45106</v>
      </c>
      <c r="D357" s="4">
        <f t="shared" si="60"/>
        <v>9</v>
      </c>
      <c r="E357" s="4" t="str">
        <f>TEXT(Table1[[#This Row],[Order_Date]],"dddd")</f>
        <v>Tuesday</v>
      </c>
      <c r="F357" s="4">
        <f t="shared" si="61"/>
        <v>6</v>
      </c>
      <c r="G357" t="str">
        <f t="shared" si="64"/>
        <v>June</v>
      </c>
      <c r="H357">
        <f t="shared" si="65"/>
        <v>2023</v>
      </c>
      <c r="I357" t="str">
        <f t="shared" si="66"/>
        <v>2023-Q2</v>
      </c>
      <c r="J357" t="s">
        <v>21</v>
      </c>
      <c r="K357" t="s">
        <v>5284</v>
      </c>
      <c r="L357" t="s">
        <v>5285</v>
      </c>
      <c r="M357" t="s">
        <v>36</v>
      </c>
      <c r="N357" t="s">
        <v>25</v>
      </c>
      <c r="O357" t="s">
        <v>149</v>
      </c>
      <c r="P357" t="s">
        <v>113</v>
      </c>
      <c r="Q357" t="s">
        <v>66</v>
      </c>
      <c r="R357" t="s">
        <v>5286</v>
      </c>
      <c r="S357" t="s">
        <v>30</v>
      </c>
      <c r="T357" t="s">
        <v>41</v>
      </c>
      <c r="U357" t="s">
        <v>5287</v>
      </c>
      <c r="V357" s="3">
        <v>2340.91</v>
      </c>
      <c r="W357" s="4">
        <v>4</v>
      </c>
      <c r="X357" s="2">
        <v>0</v>
      </c>
      <c r="Y357" s="3">
        <v>158.21</v>
      </c>
      <c r="Z357" t="str">
        <f t="shared" si="62"/>
        <v>Normal</v>
      </c>
      <c r="AA357" t="str">
        <f t="shared" si="63"/>
        <v>Low</v>
      </c>
      <c r="AB357" t="str">
        <f t="shared" si="67"/>
        <v>Low Profit</v>
      </c>
      <c r="AC357" s="3">
        <f t="shared" si="68"/>
        <v>6.7584828122396856E-2</v>
      </c>
      <c r="AD357" s="3">
        <f t="shared" si="69"/>
        <v>585.22749999999996</v>
      </c>
      <c r="AE357" s="3">
        <f t="shared" si="70"/>
        <v>39.552500000000002</v>
      </c>
      <c r="AF357" t="str">
        <f t="shared" si="71"/>
        <v>Regular</v>
      </c>
    </row>
    <row r="358" spans="1:32" x14ac:dyDescent="0.25">
      <c r="A358" t="s">
        <v>2128</v>
      </c>
      <c r="B358" s="1">
        <v>45098</v>
      </c>
      <c r="C358" s="1">
        <v>45100</v>
      </c>
      <c r="D358" s="4">
        <f t="shared" si="60"/>
        <v>2</v>
      </c>
      <c r="E358" s="4" t="str">
        <f>TEXT(Table1[[#This Row],[Order_Date]],"dddd")</f>
        <v>Wednesday</v>
      </c>
      <c r="F358" s="4">
        <f t="shared" si="61"/>
        <v>6</v>
      </c>
      <c r="G358" t="str">
        <f t="shared" si="64"/>
        <v>June</v>
      </c>
      <c r="H358">
        <f t="shared" si="65"/>
        <v>2023</v>
      </c>
      <c r="I358" t="str">
        <f t="shared" si="66"/>
        <v>2023-Q2</v>
      </c>
      <c r="J358" t="s">
        <v>104</v>
      </c>
      <c r="K358" t="s">
        <v>2129</v>
      </c>
      <c r="L358" t="s">
        <v>2130</v>
      </c>
      <c r="M358" t="s">
        <v>24</v>
      </c>
      <c r="N358" t="s">
        <v>25</v>
      </c>
      <c r="O358" t="s">
        <v>142</v>
      </c>
      <c r="P358" t="s">
        <v>143</v>
      </c>
      <c r="Q358" t="s">
        <v>66</v>
      </c>
      <c r="R358" t="s">
        <v>2131</v>
      </c>
      <c r="S358" t="s">
        <v>30</v>
      </c>
      <c r="T358" t="s">
        <v>68</v>
      </c>
      <c r="U358" t="s">
        <v>2132</v>
      </c>
      <c r="V358" s="3">
        <v>423.29</v>
      </c>
      <c r="W358" s="4">
        <v>2</v>
      </c>
      <c r="X358" s="2">
        <v>0</v>
      </c>
      <c r="Y358" s="3">
        <v>9.18</v>
      </c>
      <c r="Z358" t="str">
        <f t="shared" si="62"/>
        <v>Normal</v>
      </c>
      <c r="AA358" t="str">
        <f t="shared" si="63"/>
        <v>Low</v>
      </c>
      <c r="AB358" t="str">
        <f t="shared" si="67"/>
        <v>Low Profit</v>
      </c>
      <c r="AC358" s="3">
        <f t="shared" si="68"/>
        <v>2.1687259325757755E-2</v>
      </c>
      <c r="AD358" s="3">
        <f t="shared" si="69"/>
        <v>211.64500000000001</v>
      </c>
      <c r="AE358" s="3">
        <f t="shared" si="70"/>
        <v>4.59</v>
      </c>
      <c r="AF358" t="str">
        <f t="shared" si="71"/>
        <v>Regular</v>
      </c>
    </row>
    <row r="359" spans="1:32" x14ac:dyDescent="0.25">
      <c r="A359" t="s">
        <v>204</v>
      </c>
      <c r="B359" s="1">
        <v>45098</v>
      </c>
      <c r="C359" s="1">
        <v>45106</v>
      </c>
      <c r="D359" s="4">
        <f t="shared" si="60"/>
        <v>8</v>
      </c>
      <c r="E359" s="4" t="str">
        <f>TEXT(Table1[[#This Row],[Order_Date]],"dddd")</f>
        <v>Wednesday</v>
      </c>
      <c r="F359" s="4">
        <f t="shared" si="61"/>
        <v>6</v>
      </c>
      <c r="G359" t="str">
        <f t="shared" si="64"/>
        <v>June</v>
      </c>
      <c r="H359">
        <f t="shared" si="65"/>
        <v>2023</v>
      </c>
      <c r="I359" t="str">
        <f t="shared" si="66"/>
        <v>2023-Q2</v>
      </c>
      <c r="J359" t="s">
        <v>55</v>
      </c>
      <c r="K359" t="s">
        <v>205</v>
      </c>
      <c r="L359" t="s">
        <v>206</v>
      </c>
      <c r="M359" t="s">
        <v>24</v>
      </c>
      <c r="N359" t="s">
        <v>25</v>
      </c>
      <c r="O359" t="s">
        <v>149</v>
      </c>
      <c r="P359" t="s">
        <v>113</v>
      </c>
      <c r="Q359" t="s">
        <v>28</v>
      </c>
      <c r="R359" t="s">
        <v>207</v>
      </c>
      <c r="S359" t="s">
        <v>51</v>
      </c>
      <c r="T359" t="s">
        <v>127</v>
      </c>
      <c r="U359" t="s">
        <v>208</v>
      </c>
      <c r="V359" s="3">
        <v>4478.46</v>
      </c>
      <c r="W359" s="4">
        <v>6</v>
      </c>
      <c r="X359" s="2">
        <v>0.3</v>
      </c>
      <c r="Y359" s="3">
        <v>-331.41</v>
      </c>
      <c r="Z359" t="str">
        <f t="shared" si="62"/>
        <v>Normal</v>
      </c>
      <c r="AA359" t="str">
        <f t="shared" si="63"/>
        <v>High</v>
      </c>
      <c r="AB359" t="str">
        <f t="shared" si="67"/>
        <v>Loss</v>
      </c>
      <c r="AC359" s="3">
        <f t="shared" si="68"/>
        <v>-7.4000884232526362E-2</v>
      </c>
      <c r="AD359" s="3">
        <f t="shared" si="69"/>
        <v>746.41</v>
      </c>
      <c r="AE359" s="3">
        <f t="shared" si="70"/>
        <v>-55.235000000000007</v>
      </c>
      <c r="AF359" t="str">
        <f t="shared" si="71"/>
        <v>Regular</v>
      </c>
    </row>
    <row r="360" spans="1:32" x14ac:dyDescent="0.25">
      <c r="A360" t="s">
        <v>3347</v>
      </c>
      <c r="B360" s="1">
        <v>45098</v>
      </c>
      <c r="C360" s="1">
        <v>45104</v>
      </c>
      <c r="D360" s="4">
        <f t="shared" si="60"/>
        <v>6</v>
      </c>
      <c r="E360" s="4" t="str">
        <f>TEXT(Table1[[#This Row],[Order_Date]],"dddd")</f>
        <v>Wednesday</v>
      </c>
      <c r="F360" s="4">
        <f t="shared" si="61"/>
        <v>6</v>
      </c>
      <c r="G360" t="str">
        <f t="shared" si="64"/>
        <v>June</v>
      </c>
      <c r="H360">
        <f t="shared" si="65"/>
        <v>2023</v>
      </c>
      <c r="I360" t="str">
        <f t="shared" si="66"/>
        <v>2023-Q2</v>
      </c>
      <c r="J360" t="s">
        <v>21</v>
      </c>
      <c r="K360" t="s">
        <v>3348</v>
      </c>
      <c r="L360" t="s">
        <v>3349</v>
      </c>
      <c r="M360" t="s">
        <v>36</v>
      </c>
      <c r="N360" t="s">
        <v>25</v>
      </c>
      <c r="O360" t="s">
        <v>382</v>
      </c>
      <c r="P360" t="s">
        <v>38</v>
      </c>
      <c r="Q360" t="s">
        <v>66</v>
      </c>
      <c r="R360" t="s">
        <v>3350</v>
      </c>
      <c r="S360" t="s">
        <v>59</v>
      </c>
      <c r="T360" t="s">
        <v>303</v>
      </c>
      <c r="U360" t="s">
        <v>3351</v>
      </c>
      <c r="V360" s="3">
        <v>3995.47</v>
      </c>
      <c r="W360" s="4">
        <v>1</v>
      </c>
      <c r="X360" s="2">
        <v>0.1</v>
      </c>
      <c r="Y360" s="3">
        <v>-764.46</v>
      </c>
      <c r="Z360" t="str">
        <f t="shared" si="62"/>
        <v>Normal</v>
      </c>
      <c r="AA360" t="str">
        <f t="shared" si="63"/>
        <v>Medium</v>
      </c>
      <c r="AB360" t="str">
        <f t="shared" si="67"/>
        <v>Loss</v>
      </c>
      <c r="AC360" s="3">
        <f t="shared" si="68"/>
        <v>-0.19133168313114604</v>
      </c>
      <c r="AD360" s="3">
        <f t="shared" si="69"/>
        <v>3995.47</v>
      </c>
      <c r="AE360" s="3">
        <f t="shared" si="70"/>
        <v>-764.46</v>
      </c>
      <c r="AF360" t="str">
        <f t="shared" si="71"/>
        <v>Regular</v>
      </c>
    </row>
    <row r="361" spans="1:32" x14ac:dyDescent="0.25">
      <c r="A361" t="s">
        <v>459</v>
      </c>
      <c r="B361" s="1">
        <v>45099</v>
      </c>
      <c r="C361" s="1">
        <v>45101</v>
      </c>
      <c r="D361" s="4">
        <f t="shared" si="60"/>
        <v>2</v>
      </c>
      <c r="E361" s="4" t="str">
        <f>TEXT(Table1[[#This Row],[Order_Date]],"dddd")</f>
        <v>Thursday</v>
      </c>
      <c r="F361" s="4">
        <f t="shared" si="61"/>
        <v>6</v>
      </c>
      <c r="G361" t="str">
        <f t="shared" si="64"/>
        <v>June</v>
      </c>
      <c r="H361">
        <f t="shared" si="65"/>
        <v>2023</v>
      </c>
      <c r="I361" t="str">
        <f t="shared" si="66"/>
        <v>2023-Q2</v>
      </c>
      <c r="J361" t="s">
        <v>44</v>
      </c>
      <c r="K361" t="s">
        <v>460</v>
      </c>
      <c r="L361" t="s">
        <v>461</v>
      </c>
      <c r="M361" t="s">
        <v>36</v>
      </c>
      <c r="N361" t="s">
        <v>25</v>
      </c>
      <c r="O361" t="s">
        <v>80</v>
      </c>
      <c r="P361" t="s">
        <v>49</v>
      </c>
      <c r="Q361" t="s">
        <v>87</v>
      </c>
      <c r="R361" t="s">
        <v>462</v>
      </c>
      <c r="S361" t="s">
        <v>51</v>
      </c>
      <c r="T361" t="s">
        <v>127</v>
      </c>
      <c r="U361" t="s">
        <v>463</v>
      </c>
      <c r="V361" s="3">
        <v>4310.59</v>
      </c>
      <c r="W361" s="4">
        <v>3</v>
      </c>
      <c r="X361" s="2">
        <v>0.4</v>
      </c>
      <c r="Y361" s="3">
        <v>-295.60000000000002</v>
      </c>
      <c r="Z361" t="str">
        <f t="shared" si="62"/>
        <v>Normal</v>
      </c>
      <c r="AA361" t="str">
        <f t="shared" si="63"/>
        <v>High</v>
      </c>
      <c r="AB361" t="str">
        <f t="shared" si="67"/>
        <v>Loss</v>
      </c>
      <c r="AC361" s="3">
        <f t="shared" si="68"/>
        <v>-6.8575299436968024E-2</v>
      </c>
      <c r="AD361" s="3">
        <f t="shared" si="69"/>
        <v>1436.8633333333335</v>
      </c>
      <c r="AE361" s="3">
        <f t="shared" si="70"/>
        <v>-98.533333333333346</v>
      </c>
      <c r="AF361" t="str">
        <f t="shared" si="71"/>
        <v>Regular</v>
      </c>
    </row>
    <row r="362" spans="1:32" x14ac:dyDescent="0.25">
      <c r="A362" t="s">
        <v>3455</v>
      </c>
      <c r="B362" s="1">
        <v>45099</v>
      </c>
      <c r="C362" s="1">
        <v>45101</v>
      </c>
      <c r="D362" s="4">
        <f t="shared" si="60"/>
        <v>2</v>
      </c>
      <c r="E362" s="4" t="str">
        <f>TEXT(Table1[[#This Row],[Order_Date]],"dddd")</f>
        <v>Thursday</v>
      </c>
      <c r="F362" s="4">
        <f t="shared" si="61"/>
        <v>6</v>
      </c>
      <c r="G362" t="str">
        <f t="shared" si="64"/>
        <v>June</v>
      </c>
      <c r="H362">
        <f t="shared" si="65"/>
        <v>2023</v>
      </c>
      <c r="I362" t="str">
        <f t="shared" si="66"/>
        <v>2023-Q2</v>
      </c>
      <c r="J362" t="s">
        <v>55</v>
      </c>
      <c r="K362" t="s">
        <v>3456</v>
      </c>
      <c r="L362" t="s">
        <v>3457</v>
      </c>
      <c r="M362" t="s">
        <v>47</v>
      </c>
      <c r="N362" t="s">
        <v>25</v>
      </c>
      <c r="O362" t="s">
        <v>48</v>
      </c>
      <c r="P362" t="s">
        <v>49</v>
      </c>
      <c r="Q362" t="s">
        <v>87</v>
      </c>
      <c r="R362" t="s">
        <v>3458</v>
      </c>
      <c r="S362" t="s">
        <v>59</v>
      </c>
      <c r="T362" t="s">
        <v>101</v>
      </c>
      <c r="U362" t="s">
        <v>3459</v>
      </c>
      <c r="V362" s="3">
        <v>3617.1</v>
      </c>
      <c r="W362" s="4">
        <v>6</v>
      </c>
      <c r="X362" s="2">
        <v>0</v>
      </c>
      <c r="Y362" s="3">
        <v>685.5</v>
      </c>
      <c r="Z362" t="str">
        <f t="shared" si="62"/>
        <v>Normal</v>
      </c>
      <c r="AA362" t="str">
        <f t="shared" si="63"/>
        <v>Low</v>
      </c>
      <c r="AB362" t="str">
        <f t="shared" si="67"/>
        <v>High Profit</v>
      </c>
      <c r="AC362" s="3">
        <f t="shared" si="68"/>
        <v>0.18951646346520692</v>
      </c>
      <c r="AD362" s="3">
        <f t="shared" si="69"/>
        <v>602.85</v>
      </c>
      <c r="AE362" s="3">
        <f t="shared" si="70"/>
        <v>114.25</v>
      </c>
      <c r="AF362" t="str">
        <f t="shared" si="71"/>
        <v>Regular</v>
      </c>
    </row>
    <row r="363" spans="1:32" x14ac:dyDescent="0.25">
      <c r="A363" t="s">
        <v>5307</v>
      </c>
      <c r="B363" s="1">
        <v>45100</v>
      </c>
      <c r="C363" s="1">
        <v>45103</v>
      </c>
      <c r="D363" s="4">
        <f t="shared" si="60"/>
        <v>3</v>
      </c>
      <c r="E363" s="4" t="str">
        <f>TEXT(Table1[[#This Row],[Order_Date]],"dddd")</f>
        <v>Friday</v>
      </c>
      <c r="F363" s="4">
        <f t="shared" si="61"/>
        <v>6</v>
      </c>
      <c r="G363" t="str">
        <f t="shared" si="64"/>
        <v>June</v>
      </c>
      <c r="H363">
        <f t="shared" si="65"/>
        <v>2023</v>
      </c>
      <c r="I363" t="str">
        <f t="shared" si="66"/>
        <v>2023-Q2</v>
      </c>
      <c r="J363" t="s">
        <v>104</v>
      </c>
      <c r="K363" t="s">
        <v>5308</v>
      </c>
      <c r="L363" t="s">
        <v>5309</v>
      </c>
      <c r="M363" t="s">
        <v>47</v>
      </c>
      <c r="N363" t="s">
        <v>25</v>
      </c>
      <c r="O363" t="s">
        <v>156</v>
      </c>
      <c r="P363" t="s">
        <v>143</v>
      </c>
      <c r="Q363" t="s">
        <v>39</v>
      </c>
      <c r="R363" t="s">
        <v>5310</v>
      </c>
      <c r="S363" t="s">
        <v>30</v>
      </c>
      <c r="T363" t="s">
        <v>41</v>
      </c>
      <c r="U363" t="s">
        <v>5311</v>
      </c>
      <c r="V363" s="3">
        <v>355.52</v>
      </c>
      <c r="W363" s="4">
        <v>3</v>
      </c>
      <c r="X363" s="2">
        <v>0.3</v>
      </c>
      <c r="Y363" s="3">
        <v>-69.52</v>
      </c>
      <c r="Z363" t="str">
        <f t="shared" si="62"/>
        <v>Normal</v>
      </c>
      <c r="AA363" t="str">
        <f t="shared" si="63"/>
        <v>High</v>
      </c>
      <c r="AB363" t="str">
        <f t="shared" si="67"/>
        <v>Loss</v>
      </c>
      <c r="AC363" s="3">
        <f t="shared" si="68"/>
        <v>-0.19554455445544555</v>
      </c>
      <c r="AD363" s="3">
        <f t="shared" si="69"/>
        <v>118.50666666666666</v>
      </c>
      <c r="AE363" s="3">
        <f t="shared" si="70"/>
        <v>-23.173333333333332</v>
      </c>
      <c r="AF363" t="str">
        <f t="shared" si="71"/>
        <v>Regular</v>
      </c>
    </row>
    <row r="364" spans="1:32" x14ac:dyDescent="0.25">
      <c r="A364" t="s">
        <v>5588</v>
      </c>
      <c r="B364" s="1">
        <v>45100</v>
      </c>
      <c r="C364" s="1">
        <v>45109</v>
      </c>
      <c r="D364" s="4">
        <f t="shared" si="60"/>
        <v>9</v>
      </c>
      <c r="E364" s="4" t="str">
        <f>TEXT(Table1[[#This Row],[Order_Date]],"dddd")</f>
        <v>Friday</v>
      </c>
      <c r="F364" s="4">
        <f t="shared" si="61"/>
        <v>6</v>
      </c>
      <c r="G364" t="str">
        <f t="shared" si="64"/>
        <v>June</v>
      </c>
      <c r="H364">
        <f t="shared" si="65"/>
        <v>2023</v>
      </c>
      <c r="I364" t="str">
        <f t="shared" si="66"/>
        <v>2023-Q2</v>
      </c>
      <c r="J364" t="s">
        <v>55</v>
      </c>
      <c r="K364" t="s">
        <v>5589</v>
      </c>
      <c r="L364" t="s">
        <v>5590</v>
      </c>
      <c r="M364" t="s">
        <v>24</v>
      </c>
      <c r="N364" t="s">
        <v>25</v>
      </c>
      <c r="O364" t="s">
        <v>48</v>
      </c>
      <c r="P364" t="s">
        <v>49</v>
      </c>
      <c r="Q364" t="s">
        <v>39</v>
      </c>
      <c r="R364" t="s">
        <v>5591</v>
      </c>
      <c r="S364" t="s">
        <v>30</v>
      </c>
      <c r="T364" t="s">
        <v>82</v>
      </c>
      <c r="U364" t="s">
        <v>5592</v>
      </c>
      <c r="V364" s="3">
        <v>964.66</v>
      </c>
      <c r="W364" s="4">
        <v>5</v>
      </c>
      <c r="X364" s="2">
        <v>0.4</v>
      </c>
      <c r="Y364" s="3">
        <v>66.95</v>
      </c>
      <c r="Z364" t="str">
        <f t="shared" si="62"/>
        <v>Normal</v>
      </c>
      <c r="AA364" t="str">
        <f t="shared" si="63"/>
        <v>High</v>
      </c>
      <c r="AB364" t="str">
        <f t="shared" si="67"/>
        <v>Low Profit</v>
      </c>
      <c r="AC364" s="3">
        <f t="shared" si="68"/>
        <v>6.9402691103601269E-2</v>
      </c>
      <c r="AD364" s="3">
        <f t="shared" si="69"/>
        <v>192.93199999999999</v>
      </c>
      <c r="AE364" s="3">
        <f t="shared" si="70"/>
        <v>13.39</v>
      </c>
      <c r="AF364" t="str">
        <f t="shared" si="71"/>
        <v>Regular</v>
      </c>
    </row>
    <row r="365" spans="1:32" x14ac:dyDescent="0.25">
      <c r="A365" t="s">
        <v>3587</v>
      </c>
      <c r="B365" s="1">
        <v>45101</v>
      </c>
      <c r="C365" s="1">
        <v>45104</v>
      </c>
      <c r="D365" s="4">
        <f t="shared" si="60"/>
        <v>3</v>
      </c>
      <c r="E365" s="4" t="str">
        <f>TEXT(Table1[[#This Row],[Order_Date]],"dddd")</f>
        <v>Saturday</v>
      </c>
      <c r="F365" s="4">
        <f t="shared" si="61"/>
        <v>6</v>
      </c>
      <c r="G365" t="str">
        <f t="shared" si="64"/>
        <v>June</v>
      </c>
      <c r="H365">
        <f t="shared" si="65"/>
        <v>2023</v>
      </c>
      <c r="I365" t="str">
        <f t="shared" si="66"/>
        <v>2023-Q2</v>
      </c>
      <c r="J365" t="s">
        <v>104</v>
      </c>
      <c r="K365" t="s">
        <v>3588</v>
      </c>
      <c r="L365" t="s">
        <v>3589</v>
      </c>
      <c r="M365" t="s">
        <v>24</v>
      </c>
      <c r="N365" t="s">
        <v>25</v>
      </c>
      <c r="O365" t="s">
        <v>511</v>
      </c>
      <c r="P365" t="s">
        <v>120</v>
      </c>
      <c r="Q365" t="s">
        <v>66</v>
      </c>
      <c r="R365" t="s">
        <v>3590</v>
      </c>
      <c r="S365" t="s">
        <v>59</v>
      </c>
      <c r="T365" t="s">
        <v>277</v>
      </c>
      <c r="U365" t="s">
        <v>3591</v>
      </c>
      <c r="V365" s="3">
        <v>2352.4699999999998</v>
      </c>
      <c r="W365" s="4">
        <v>9</v>
      </c>
      <c r="X365" s="2">
        <v>0.4</v>
      </c>
      <c r="Y365" s="3">
        <v>-452.8</v>
      </c>
      <c r="Z365" t="str">
        <f t="shared" si="62"/>
        <v>Normal</v>
      </c>
      <c r="AA365" t="str">
        <f t="shared" si="63"/>
        <v>High</v>
      </c>
      <c r="AB365" t="str">
        <f t="shared" si="67"/>
        <v>Loss</v>
      </c>
      <c r="AC365" s="3">
        <f t="shared" si="68"/>
        <v>-0.19247854382840165</v>
      </c>
      <c r="AD365" s="3">
        <f t="shared" si="69"/>
        <v>261.38555555555553</v>
      </c>
      <c r="AE365" s="3">
        <f t="shared" si="70"/>
        <v>-50.31111111111111</v>
      </c>
      <c r="AF365" t="str">
        <f t="shared" si="71"/>
        <v>Regular</v>
      </c>
    </row>
    <row r="366" spans="1:32" x14ac:dyDescent="0.25">
      <c r="A366" t="s">
        <v>4779</v>
      </c>
      <c r="B366" s="1">
        <v>45101</v>
      </c>
      <c r="C366" s="1">
        <v>45111</v>
      </c>
      <c r="D366" s="4">
        <f t="shared" si="60"/>
        <v>10</v>
      </c>
      <c r="E366" s="4" t="str">
        <f>TEXT(Table1[[#This Row],[Order_Date]],"dddd")</f>
        <v>Saturday</v>
      </c>
      <c r="F366" s="4">
        <f t="shared" si="61"/>
        <v>6</v>
      </c>
      <c r="G366" t="str">
        <f t="shared" si="64"/>
        <v>June</v>
      </c>
      <c r="H366">
        <f t="shared" si="65"/>
        <v>2023</v>
      </c>
      <c r="I366" t="str">
        <f t="shared" si="66"/>
        <v>2023-Q2</v>
      </c>
      <c r="J366" t="s">
        <v>104</v>
      </c>
      <c r="K366" t="s">
        <v>4780</v>
      </c>
      <c r="L366" t="s">
        <v>4781</v>
      </c>
      <c r="M366" t="s">
        <v>47</v>
      </c>
      <c r="N366" t="s">
        <v>25</v>
      </c>
      <c r="O366" t="s">
        <v>255</v>
      </c>
      <c r="P366" t="s">
        <v>143</v>
      </c>
      <c r="Q366" t="s">
        <v>87</v>
      </c>
      <c r="R366" t="s">
        <v>4782</v>
      </c>
      <c r="S366" t="s">
        <v>51</v>
      </c>
      <c r="T366" t="s">
        <v>127</v>
      </c>
      <c r="U366" t="s">
        <v>4783</v>
      </c>
      <c r="V366" s="3">
        <v>1648</v>
      </c>
      <c r="W366" s="4">
        <v>5</v>
      </c>
      <c r="X366" s="2">
        <v>0.2</v>
      </c>
      <c r="Y366" s="3">
        <v>-225.09</v>
      </c>
      <c r="Z366" t="str">
        <f t="shared" si="62"/>
        <v>Normal</v>
      </c>
      <c r="AA366" t="str">
        <f t="shared" si="63"/>
        <v>High</v>
      </c>
      <c r="AB366" t="str">
        <f t="shared" si="67"/>
        <v>Loss</v>
      </c>
      <c r="AC366" s="3">
        <f t="shared" si="68"/>
        <v>-0.13658373786407768</v>
      </c>
      <c r="AD366" s="3">
        <f t="shared" si="69"/>
        <v>329.6</v>
      </c>
      <c r="AE366" s="3">
        <f t="shared" si="70"/>
        <v>-45.018000000000001</v>
      </c>
      <c r="AF366" t="str">
        <f t="shared" si="71"/>
        <v>Regular</v>
      </c>
    </row>
    <row r="367" spans="1:32" x14ac:dyDescent="0.25">
      <c r="A367" t="s">
        <v>1116</v>
      </c>
      <c r="B367" s="1">
        <v>45101</v>
      </c>
      <c r="C367" s="1">
        <v>45103</v>
      </c>
      <c r="D367" s="4">
        <f t="shared" si="60"/>
        <v>2</v>
      </c>
      <c r="E367" s="4" t="str">
        <f>TEXT(Table1[[#This Row],[Order_Date]],"dddd")</f>
        <v>Saturday</v>
      </c>
      <c r="F367" s="4">
        <f t="shared" si="61"/>
        <v>6</v>
      </c>
      <c r="G367" t="str">
        <f t="shared" si="64"/>
        <v>June</v>
      </c>
      <c r="H367">
        <f t="shared" si="65"/>
        <v>2023</v>
      </c>
      <c r="I367" t="str">
        <f t="shared" si="66"/>
        <v>2023-Q2</v>
      </c>
      <c r="J367" t="s">
        <v>44</v>
      </c>
      <c r="K367" t="s">
        <v>1117</v>
      </c>
      <c r="L367" t="s">
        <v>1118</v>
      </c>
      <c r="M367" t="s">
        <v>36</v>
      </c>
      <c r="N367" t="s">
        <v>25</v>
      </c>
      <c r="O367" t="s">
        <v>119</v>
      </c>
      <c r="P367" t="s">
        <v>120</v>
      </c>
      <c r="Q367" t="s">
        <v>39</v>
      </c>
      <c r="R367" t="s">
        <v>1119</v>
      </c>
      <c r="S367" t="s">
        <v>30</v>
      </c>
      <c r="T367" t="s">
        <v>68</v>
      </c>
      <c r="U367" t="s">
        <v>1120</v>
      </c>
      <c r="V367" s="3">
        <v>4819.7</v>
      </c>
      <c r="W367" s="4">
        <v>8</v>
      </c>
      <c r="X367" s="2">
        <v>0</v>
      </c>
      <c r="Y367" s="3">
        <v>223.00751899999997</v>
      </c>
      <c r="Z367" t="str">
        <f t="shared" si="62"/>
        <v>Normal</v>
      </c>
      <c r="AA367" t="str">
        <f t="shared" si="63"/>
        <v>Low</v>
      </c>
      <c r="AB367" t="str">
        <f t="shared" si="67"/>
        <v>Low Profit</v>
      </c>
      <c r="AC367" s="3">
        <f t="shared" si="68"/>
        <v>4.6269999999999999E-2</v>
      </c>
      <c r="AD367" s="3">
        <f t="shared" si="69"/>
        <v>602.46249999999998</v>
      </c>
      <c r="AE367" s="3">
        <f t="shared" si="70"/>
        <v>27.875939874999997</v>
      </c>
      <c r="AF367" t="str">
        <f t="shared" si="71"/>
        <v>Regular</v>
      </c>
    </row>
    <row r="368" spans="1:32" x14ac:dyDescent="0.25">
      <c r="A368" t="s">
        <v>2835</v>
      </c>
      <c r="B368" s="1">
        <v>45103</v>
      </c>
      <c r="C368" s="1">
        <v>45109</v>
      </c>
      <c r="D368" s="4">
        <f t="shared" si="60"/>
        <v>6</v>
      </c>
      <c r="E368" s="4" t="str">
        <f>TEXT(Table1[[#This Row],[Order_Date]],"dddd")</f>
        <v>Monday</v>
      </c>
      <c r="F368" s="4">
        <f t="shared" si="61"/>
        <v>6</v>
      </c>
      <c r="G368" t="str">
        <f t="shared" si="64"/>
        <v>June</v>
      </c>
      <c r="H368">
        <f t="shared" si="65"/>
        <v>2023</v>
      </c>
      <c r="I368" t="str">
        <f t="shared" si="66"/>
        <v>2023-Q2</v>
      </c>
      <c r="J368" t="s">
        <v>44</v>
      </c>
      <c r="K368" t="s">
        <v>2836</v>
      </c>
      <c r="L368" t="s">
        <v>2837</v>
      </c>
      <c r="M368" t="s">
        <v>24</v>
      </c>
      <c r="N368" t="s">
        <v>25</v>
      </c>
      <c r="O368" t="s">
        <v>73</v>
      </c>
      <c r="P368" t="s">
        <v>74</v>
      </c>
      <c r="Q368" t="s">
        <v>39</v>
      </c>
      <c r="R368" t="s">
        <v>2838</v>
      </c>
      <c r="S368" t="s">
        <v>59</v>
      </c>
      <c r="T368" t="s">
        <v>101</v>
      </c>
      <c r="U368" t="s">
        <v>2839</v>
      </c>
      <c r="V368" s="3">
        <v>3490.93</v>
      </c>
      <c r="W368" s="4">
        <v>8</v>
      </c>
      <c r="X368" s="2">
        <v>0</v>
      </c>
      <c r="Y368" s="3">
        <v>-19.43</v>
      </c>
      <c r="Z368" t="str">
        <f t="shared" si="62"/>
        <v>Normal</v>
      </c>
      <c r="AA368" t="str">
        <f t="shared" si="63"/>
        <v>Low</v>
      </c>
      <c r="AB368" t="str">
        <f t="shared" si="67"/>
        <v>Loss</v>
      </c>
      <c r="AC368" s="3">
        <f t="shared" si="68"/>
        <v>-5.5658520795318156E-3</v>
      </c>
      <c r="AD368" s="3">
        <f t="shared" si="69"/>
        <v>436.36624999999998</v>
      </c>
      <c r="AE368" s="3">
        <f t="shared" si="70"/>
        <v>-2.42875</v>
      </c>
      <c r="AF368" t="str">
        <f t="shared" si="71"/>
        <v>Regular</v>
      </c>
    </row>
    <row r="369" spans="1:32" x14ac:dyDescent="0.25">
      <c r="A369" t="s">
        <v>798</v>
      </c>
      <c r="B369" s="1">
        <v>45103</v>
      </c>
      <c r="C369" s="1">
        <v>45113</v>
      </c>
      <c r="D369" s="4">
        <f t="shared" si="60"/>
        <v>10</v>
      </c>
      <c r="E369" s="4" t="str">
        <f>TEXT(Table1[[#This Row],[Order_Date]],"dddd")</f>
        <v>Monday</v>
      </c>
      <c r="F369" s="4">
        <f t="shared" si="61"/>
        <v>6</v>
      </c>
      <c r="G369" t="str">
        <f t="shared" si="64"/>
        <v>June</v>
      </c>
      <c r="H369">
        <f t="shared" si="65"/>
        <v>2023</v>
      </c>
      <c r="I369" t="str">
        <f t="shared" si="66"/>
        <v>2023-Q2</v>
      </c>
      <c r="J369" t="s">
        <v>21</v>
      </c>
      <c r="K369" t="s">
        <v>799</v>
      </c>
      <c r="L369" t="s">
        <v>800</v>
      </c>
      <c r="M369" t="s">
        <v>47</v>
      </c>
      <c r="N369" t="s">
        <v>25</v>
      </c>
      <c r="O369" t="s">
        <v>119</v>
      </c>
      <c r="P369" t="s">
        <v>120</v>
      </c>
      <c r="Q369" t="s">
        <v>28</v>
      </c>
      <c r="R369" t="s">
        <v>801</v>
      </c>
      <c r="S369" t="s">
        <v>59</v>
      </c>
      <c r="T369" t="s">
        <v>60</v>
      </c>
      <c r="U369" t="s">
        <v>802</v>
      </c>
      <c r="V369" s="3">
        <v>599.75</v>
      </c>
      <c r="W369" s="4">
        <v>9</v>
      </c>
      <c r="X369" s="2">
        <v>0.3</v>
      </c>
      <c r="Y369" s="3">
        <v>161.96</v>
      </c>
      <c r="Z369" t="str">
        <f t="shared" si="62"/>
        <v>Normal</v>
      </c>
      <c r="AA369" t="str">
        <f t="shared" si="63"/>
        <v>High</v>
      </c>
      <c r="AB369" t="str">
        <f t="shared" si="67"/>
        <v>Low Profit</v>
      </c>
      <c r="AC369" s="3">
        <f t="shared" si="68"/>
        <v>0.27004585243851609</v>
      </c>
      <c r="AD369" s="3">
        <f t="shared" si="69"/>
        <v>66.638888888888886</v>
      </c>
      <c r="AE369" s="3">
        <f t="shared" si="70"/>
        <v>17.995555555555555</v>
      </c>
      <c r="AF369" t="str">
        <f t="shared" si="71"/>
        <v>Regular</v>
      </c>
    </row>
    <row r="370" spans="1:32" x14ac:dyDescent="0.25">
      <c r="A370" t="s">
        <v>3372</v>
      </c>
      <c r="B370" s="1">
        <v>45104</v>
      </c>
      <c r="C370" s="1">
        <v>45111</v>
      </c>
      <c r="D370" s="4">
        <f t="shared" si="60"/>
        <v>7</v>
      </c>
      <c r="E370" s="4" t="str">
        <f>TEXT(Table1[[#This Row],[Order_Date]],"dddd")</f>
        <v>Tuesday</v>
      </c>
      <c r="F370" s="4">
        <f t="shared" si="61"/>
        <v>6</v>
      </c>
      <c r="G370" t="str">
        <f t="shared" si="64"/>
        <v>June</v>
      </c>
      <c r="H370">
        <f t="shared" si="65"/>
        <v>2023</v>
      </c>
      <c r="I370" t="str">
        <f t="shared" si="66"/>
        <v>2023-Q2</v>
      </c>
      <c r="J370" t="s">
        <v>21</v>
      </c>
      <c r="K370" t="s">
        <v>3373</v>
      </c>
      <c r="L370" t="s">
        <v>3374</v>
      </c>
      <c r="M370" t="s">
        <v>36</v>
      </c>
      <c r="N370" t="s">
        <v>25</v>
      </c>
      <c r="O370" t="s">
        <v>162</v>
      </c>
      <c r="P370" t="s">
        <v>163</v>
      </c>
      <c r="Q370" t="s">
        <v>87</v>
      </c>
      <c r="R370" t="s">
        <v>3375</v>
      </c>
      <c r="S370" t="s">
        <v>30</v>
      </c>
      <c r="T370" t="s">
        <v>68</v>
      </c>
      <c r="U370" t="s">
        <v>3376</v>
      </c>
      <c r="V370" s="3">
        <v>4972.8900000000003</v>
      </c>
      <c r="W370" s="4">
        <v>6</v>
      </c>
      <c r="X370" s="2">
        <v>0.3</v>
      </c>
      <c r="Y370" s="3">
        <v>1093.1600000000001</v>
      </c>
      <c r="Z370" t="str">
        <f t="shared" si="62"/>
        <v>Outlier</v>
      </c>
      <c r="AA370" t="str">
        <f t="shared" si="63"/>
        <v>High</v>
      </c>
      <c r="AB370" t="str">
        <f t="shared" si="67"/>
        <v>High Profit</v>
      </c>
      <c r="AC370" s="3">
        <f t="shared" si="68"/>
        <v>0.21982388510503953</v>
      </c>
      <c r="AD370" s="3">
        <f t="shared" si="69"/>
        <v>828.81500000000005</v>
      </c>
      <c r="AE370" s="3">
        <f t="shared" si="70"/>
        <v>182.19333333333336</v>
      </c>
      <c r="AF370" t="str">
        <f t="shared" si="71"/>
        <v>Regular</v>
      </c>
    </row>
    <row r="371" spans="1:32" x14ac:dyDescent="0.25">
      <c r="A371" t="s">
        <v>2065</v>
      </c>
      <c r="B371" s="1">
        <v>45105</v>
      </c>
      <c r="C371" s="1">
        <v>45112</v>
      </c>
      <c r="D371" s="4">
        <f t="shared" si="60"/>
        <v>7</v>
      </c>
      <c r="E371" s="4" t="str">
        <f>TEXT(Table1[[#This Row],[Order_Date]],"dddd")</f>
        <v>Wednesday</v>
      </c>
      <c r="F371" s="4">
        <f t="shared" si="61"/>
        <v>6</v>
      </c>
      <c r="G371" t="str">
        <f t="shared" si="64"/>
        <v>June</v>
      </c>
      <c r="H371">
        <f t="shared" si="65"/>
        <v>2023</v>
      </c>
      <c r="I371" t="str">
        <f t="shared" si="66"/>
        <v>2023-Q2</v>
      </c>
      <c r="J371" t="s">
        <v>104</v>
      </c>
      <c r="K371" t="s">
        <v>2066</v>
      </c>
      <c r="L371" t="s">
        <v>2067</v>
      </c>
      <c r="M371" t="s">
        <v>24</v>
      </c>
      <c r="N371" t="s">
        <v>25</v>
      </c>
      <c r="O371" t="s">
        <v>73</v>
      </c>
      <c r="P371" t="s">
        <v>74</v>
      </c>
      <c r="Q371" t="s">
        <v>28</v>
      </c>
      <c r="R371" t="s">
        <v>2068</v>
      </c>
      <c r="S371" t="s">
        <v>59</v>
      </c>
      <c r="T371" t="s">
        <v>303</v>
      </c>
      <c r="U371" t="s">
        <v>2069</v>
      </c>
      <c r="V371" s="3">
        <v>83.56</v>
      </c>
      <c r="W371" s="4">
        <v>9</v>
      </c>
      <c r="X371" s="2">
        <v>0.4</v>
      </c>
      <c r="Y371" s="3">
        <v>21.68</v>
      </c>
      <c r="Z371" t="str">
        <f t="shared" si="62"/>
        <v>Normal</v>
      </c>
      <c r="AA371" t="str">
        <f t="shared" si="63"/>
        <v>High</v>
      </c>
      <c r="AB371" t="str">
        <f t="shared" si="67"/>
        <v>Low Profit</v>
      </c>
      <c r="AC371" s="3">
        <f t="shared" si="68"/>
        <v>0.2594542843465773</v>
      </c>
      <c r="AD371" s="3">
        <f t="shared" si="69"/>
        <v>9.2844444444444445</v>
      </c>
      <c r="AE371" s="3">
        <f t="shared" si="70"/>
        <v>2.4088888888888889</v>
      </c>
      <c r="AF371" t="str">
        <f t="shared" si="71"/>
        <v>Regular</v>
      </c>
    </row>
    <row r="372" spans="1:32" x14ac:dyDescent="0.25">
      <c r="A372" t="s">
        <v>6733</v>
      </c>
      <c r="B372" s="1">
        <v>45106</v>
      </c>
      <c r="C372" s="1">
        <v>45108</v>
      </c>
      <c r="D372" s="4">
        <f t="shared" si="60"/>
        <v>2</v>
      </c>
      <c r="E372" s="4" t="str">
        <f>TEXT(Table1[[#This Row],[Order_Date]],"dddd")</f>
        <v>Thursday</v>
      </c>
      <c r="F372" s="4">
        <f t="shared" si="61"/>
        <v>6</v>
      </c>
      <c r="G372" t="str">
        <f t="shared" si="64"/>
        <v>June</v>
      </c>
      <c r="H372">
        <f t="shared" si="65"/>
        <v>2023</v>
      </c>
      <c r="I372" t="str">
        <f t="shared" si="66"/>
        <v>2023-Q2</v>
      </c>
      <c r="J372" t="s">
        <v>44</v>
      </c>
      <c r="K372" t="s">
        <v>6734</v>
      </c>
      <c r="L372" t="s">
        <v>6735</v>
      </c>
      <c r="M372" t="s">
        <v>24</v>
      </c>
      <c r="N372" t="s">
        <v>25</v>
      </c>
      <c r="O372" t="s">
        <v>233</v>
      </c>
      <c r="P372" t="s">
        <v>163</v>
      </c>
      <c r="Q372" t="s">
        <v>87</v>
      </c>
      <c r="R372" t="s">
        <v>6736</v>
      </c>
      <c r="S372" t="s">
        <v>59</v>
      </c>
      <c r="T372" t="s">
        <v>60</v>
      </c>
      <c r="U372" t="s">
        <v>6737</v>
      </c>
      <c r="V372" s="3">
        <v>3603.41</v>
      </c>
      <c r="W372" s="4">
        <v>6</v>
      </c>
      <c r="X372" s="2">
        <v>0.1</v>
      </c>
      <c r="Y372" s="3">
        <v>-1.01</v>
      </c>
      <c r="Z372" t="str">
        <f t="shared" si="62"/>
        <v>Normal</v>
      </c>
      <c r="AA372" t="str">
        <f t="shared" si="63"/>
        <v>Medium</v>
      </c>
      <c r="AB372" t="str">
        <f t="shared" si="67"/>
        <v>Loss</v>
      </c>
      <c r="AC372" s="3">
        <f t="shared" si="68"/>
        <v>-2.802900585833974E-4</v>
      </c>
      <c r="AD372" s="3">
        <f t="shared" si="69"/>
        <v>600.56833333333327</v>
      </c>
      <c r="AE372" s="3">
        <f t="shared" si="70"/>
        <v>-0.16833333333333333</v>
      </c>
      <c r="AF372" t="str">
        <f t="shared" si="71"/>
        <v>Regular</v>
      </c>
    </row>
    <row r="373" spans="1:32" x14ac:dyDescent="0.25">
      <c r="A373" t="s">
        <v>7161</v>
      </c>
      <c r="B373" s="1">
        <v>45106</v>
      </c>
      <c r="C373" s="1">
        <v>45108</v>
      </c>
      <c r="D373" s="4">
        <f t="shared" si="60"/>
        <v>2</v>
      </c>
      <c r="E373" s="4" t="str">
        <f>TEXT(Table1[[#This Row],[Order_Date]],"dddd")</f>
        <v>Thursday</v>
      </c>
      <c r="F373" s="4">
        <f t="shared" si="61"/>
        <v>6</v>
      </c>
      <c r="G373" t="str">
        <f t="shared" si="64"/>
        <v>June</v>
      </c>
      <c r="H373">
        <f t="shared" si="65"/>
        <v>2023</v>
      </c>
      <c r="I373" t="str">
        <f t="shared" si="66"/>
        <v>2023-Q2</v>
      </c>
      <c r="J373" t="s">
        <v>44</v>
      </c>
      <c r="K373" t="s">
        <v>7162</v>
      </c>
      <c r="L373" t="s">
        <v>7163</v>
      </c>
      <c r="M373" t="s">
        <v>24</v>
      </c>
      <c r="N373" t="s">
        <v>25</v>
      </c>
      <c r="O373" t="s">
        <v>233</v>
      </c>
      <c r="P373" t="s">
        <v>163</v>
      </c>
      <c r="Q373" t="s">
        <v>39</v>
      </c>
      <c r="R373" t="s">
        <v>7164</v>
      </c>
      <c r="S373" t="s">
        <v>51</v>
      </c>
      <c r="T373" t="s">
        <v>94</v>
      </c>
      <c r="U373" t="s">
        <v>7165</v>
      </c>
      <c r="V373" s="3">
        <v>1933.01</v>
      </c>
      <c r="W373" s="4">
        <v>1</v>
      </c>
      <c r="X373" s="2">
        <v>0</v>
      </c>
      <c r="Y373" s="3">
        <v>470.39</v>
      </c>
      <c r="Z373" t="str">
        <f t="shared" si="62"/>
        <v>Normal</v>
      </c>
      <c r="AA373" t="str">
        <f t="shared" si="63"/>
        <v>Low</v>
      </c>
      <c r="AB373" t="str">
        <f t="shared" si="67"/>
        <v>Low Profit</v>
      </c>
      <c r="AC373" s="3">
        <f t="shared" si="68"/>
        <v>0.24334586991272678</v>
      </c>
      <c r="AD373" s="3">
        <f t="shared" si="69"/>
        <v>1933.01</v>
      </c>
      <c r="AE373" s="3">
        <f t="shared" si="70"/>
        <v>470.39</v>
      </c>
      <c r="AF373" t="str">
        <f t="shared" si="71"/>
        <v>Regular</v>
      </c>
    </row>
    <row r="374" spans="1:32" x14ac:dyDescent="0.25">
      <c r="A374" t="s">
        <v>553</v>
      </c>
      <c r="B374" s="1">
        <v>45106</v>
      </c>
      <c r="C374" s="1">
        <v>45108</v>
      </c>
      <c r="D374" s="4">
        <f t="shared" si="60"/>
        <v>2</v>
      </c>
      <c r="E374" s="4" t="str">
        <f>TEXT(Table1[[#This Row],[Order_Date]],"dddd")</f>
        <v>Thursday</v>
      </c>
      <c r="F374" s="4">
        <f t="shared" si="61"/>
        <v>6</v>
      </c>
      <c r="G374" t="str">
        <f t="shared" si="64"/>
        <v>June</v>
      </c>
      <c r="H374">
        <f t="shared" si="65"/>
        <v>2023</v>
      </c>
      <c r="I374" t="str">
        <f t="shared" si="66"/>
        <v>2023-Q2</v>
      </c>
      <c r="J374" t="s">
        <v>55</v>
      </c>
      <c r="K374" t="s">
        <v>554</v>
      </c>
      <c r="L374" t="s">
        <v>555</v>
      </c>
      <c r="M374" t="s">
        <v>47</v>
      </c>
      <c r="N374" t="s">
        <v>25</v>
      </c>
      <c r="O374" t="s">
        <v>179</v>
      </c>
      <c r="P374" t="s">
        <v>27</v>
      </c>
      <c r="Q374" t="s">
        <v>87</v>
      </c>
      <c r="R374" t="s">
        <v>556</v>
      </c>
      <c r="S374" t="s">
        <v>59</v>
      </c>
      <c r="T374" t="s">
        <v>277</v>
      </c>
      <c r="U374" t="s">
        <v>557</v>
      </c>
      <c r="V374" s="3">
        <v>799.3</v>
      </c>
      <c r="W374" s="4">
        <v>10</v>
      </c>
      <c r="X374" s="2">
        <v>0.3</v>
      </c>
      <c r="Y374" s="3">
        <v>213.22</v>
      </c>
      <c r="Z374" t="str">
        <f t="shared" si="62"/>
        <v>Normal</v>
      </c>
      <c r="AA374" t="str">
        <f t="shared" si="63"/>
        <v>High</v>
      </c>
      <c r="AB374" t="str">
        <f t="shared" si="67"/>
        <v>Low Profit</v>
      </c>
      <c r="AC374" s="3">
        <f t="shared" si="68"/>
        <v>0.26675841361191044</v>
      </c>
      <c r="AD374" s="3">
        <f t="shared" si="69"/>
        <v>79.929999999999993</v>
      </c>
      <c r="AE374" s="3">
        <f t="shared" si="70"/>
        <v>21.321999999999999</v>
      </c>
      <c r="AF374" t="str">
        <f t="shared" si="71"/>
        <v>Regular</v>
      </c>
    </row>
    <row r="375" spans="1:32" x14ac:dyDescent="0.25">
      <c r="A375" t="s">
        <v>6382</v>
      </c>
      <c r="B375" s="1">
        <v>45106</v>
      </c>
      <c r="C375" s="1">
        <v>45113</v>
      </c>
      <c r="D375" s="4">
        <f t="shared" si="60"/>
        <v>7</v>
      </c>
      <c r="E375" s="4" t="str">
        <f>TEXT(Table1[[#This Row],[Order_Date]],"dddd")</f>
        <v>Thursday</v>
      </c>
      <c r="F375" s="4">
        <f t="shared" si="61"/>
        <v>6</v>
      </c>
      <c r="G375" t="str">
        <f t="shared" si="64"/>
        <v>June</v>
      </c>
      <c r="H375">
        <f t="shared" si="65"/>
        <v>2023</v>
      </c>
      <c r="I375" t="str">
        <f t="shared" si="66"/>
        <v>2023-Q2</v>
      </c>
      <c r="J375" t="s">
        <v>21</v>
      </c>
      <c r="K375" t="s">
        <v>6383</v>
      </c>
      <c r="L375" t="s">
        <v>6384</v>
      </c>
      <c r="M375" t="s">
        <v>36</v>
      </c>
      <c r="N375" t="s">
        <v>25</v>
      </c>
      <c r="O375" t="s">
        <v>244</v>
      </c>
      <c r="P375" t="s">
        <v>163</v>
      </c>
      <c r="Q375" t="s">
        <v>66</v>
      </c>
      <c r="R375" t="s">
        <v>6385</v>
      </c>
      <c r="S375" t="s">
        <v>51</v>
      </c>
      <c r="T375" t="s">
        <v>151</v>
      </c>
      <c r="U375" t="s">
        <v>6386</v>
      </c>
      <c r="V375" s="3">
        <v>2149.23</v>
      </c>
      <c r="W375" s="4">
        <v>8</v>
      </c>
      <c r="X375" s="2">
        <v>0.3</v>
      </c>
      <c r="Y375" s="3">
        <v>93.8</v>
      </c>
      <c r="Z375" t="str">
        <f t="shared" si="62"/>
        <v>Normal</v>
      </c>
      <c r="AA375" t="str">
        <f t="shared" si="63"/>
        <v>High</v>
      </c>
      <c r="AB375" t="str">
        <f t="shared" si="67"/>
        <v>Low Profit</v>
      </c>
      <c r="AC375" s="3">
        <f t="shared" si="68"/>
        <v>4.3643537452948265E-2</v>
      </c>
      <c r="AD375" s="3">
        <f t="shared" si="69"/>
        <v>268.65375</v>
      </c>
      <c r="AE375" s="3">
        <f t="shared" si="70"/>
        <v>11.725</v>
      </c>
      <c r="AF375" t="str">
        <f t="shared" si="71"/>
        <v>Regular</v>
      </c>
    </row>
    <row r="376" spans="1:32" x14ac:dyDescent="0.25">
      <c r="A376" t="s">
        <v>1638</v>
      </c>
      <c r="B376" s="1">
        <v>45107</v>
      </c>
      <c r="C376" s="1">
        <v>45114</v>
      </c>
      <c r="D376" s="4">
        <f t="shared" si="60"/>
        <v>7</v>
      </c>
      <c r="E376" s="4" t="str">
        <f>TEXT(Table1[[#This Row],[Order_Date]],"dddd")</f>
        <v>Friday</v>
      </c>
      <c r="F376" s="4">
        <f t="shared" si="61"/>
        <v>6</v>
      </c>
      <c r="G376" t="str">
        <f t="shared" si="64"/>
        <v>June</v>
      </c>
      <c r="H376">
        <f t="shared" si="65"/>
        <v>2023</v>
      </c>
      <c r="I376" t="str">
        <f t="shared" si="66"/>
        <v>2023-Q2</v>
      </c>
      <c r="J376" t="s">
        <v>21</v>
      </c>
      <c r="K376" t="s">
        <v>1639</v>
      </c>
      <c r="L376" t="s">
        <v>1640</v>
      </c>
      <c r="M376" t="s">
        <v>24</v>
      </c>
      <c r="N376" t="s">
        <v>25</v>
      </c>
      <c r="O376" t="s">
        <v>26</v>
      </c>
      <c r="P376" t="s">
        <v>27</v>
      </c>
      <c r="Q376" t="s">
        <v>39</v>
      </c>
      <c r="R376" t="s">
        <v>1641</v>
      </c>
      <c r="S376" t="s">
        <v>30</v>
      </c>
      <c r="T376" t="s">
        <v>31</v>
      </c>
      <c r="U376" t="s">
        <v>1642</v>
      </c>
      <c r="V376" s="3">
        <v>2751.2</v>
      </c>
      <c r="W376" s="4">
        <v>9</v>
      </c>
      <c r="X376" s="2">
        <v>0.4</v>
      </c>
      <c r="Y376" s="3">
        <v>127.38</v>
      </c>
      <c r="Z376" t="str">
        <f t="shared" si="62"/>
        <v>Normal</v>
      </c>
      <c r="AA376" t="str">
        <f t="shared" si="63"/>
        <v>High</v>
      </c>
      <c r="AB376" t="str">
        <f t="shared" si="67"/>
        <v>Low Profit</v>
      </c>
      <c r="AC376" s="3">
        <f t="shared" si="68"/>
        <v>4.6299796452457111E-2</v>
      </c>
      <c r="AD376" s="3">
        <f t="shared" si="69"/>
        <v>305.68888888888887</v>
      </c>
      <c r="AE376" s="3">
        <f t="shared" si="70"/>
        <v>14.153333333333332</v>
      </c>
      <c r="AF376" t="str">
        <f t="shared" si="71"/>
        <v>Regular</v>
      </c>
    </row>
    <row r="377" spans="1:32" x14ac:dyDescent="0.25">
      <c r="A377" t="s">
        <v>2760</v>
      </c>
      <c r="B377" s="1">
        <v>45107</v>
      </c>
      <c r="C377" s="1">
        <v>45115</v>
      </c>
      <c r="D377" s="4">
        <f t="shared" si="60"/>
        <v>8</v>
      </c>
      <c r="E377" s="4" t="str">
        <f>TEXT(Table1[[#This Row],[Order_Date]],"dddd")</f>
        <v>Friday</v>
      </c>
      <c r="F377" s="4">
        <f t="shared" si="61"/>
        <v>6</v>
      </c>
      <c r="G377" t="str">
        <f t="shared" si="64"/>
        <v>June</v>
      </c>
      <c r="H377">
        <f t="shared" si="65"/>
        <v>2023</v>
      </c>
      <c r="I377" t="str">
        <f t="shared" si="66"/>
        <v>2023-Q2</v>
      </c>
      <c r="J377" t="s">
        <v>44</v>
      </c>
      <c r="K377" t="s">
        <v>2761</v>
      </c>
      <c r="L377" t="s">
        <v>2762</v>
      </c>
      <c r="M377" t="s">
        <v>36</v>
      </c>
      <c r="N377" t="s">
        <v>25</v>
      </c>
      <c r="O377" t="s">
        <v>119</v>
      </c>
      <c r="P377" t="s">
        <v>120</v>
      </c>
      <c r="Q377" t="s">
        <v>28</v>
      </c>
      <c r="R377" t="s">
        <v>2763</v>
      </c>
      <c r="S377" t="s">
        <v>51</v>
      </c>
      <c r="T377" t="s">
        <v>52</v>
      </c>
      <c r="U377" t="s">
        <v>2764</v>
      </c>
      <c r="V377" s="3">
        <v>921.56</v>
      </c>
      <c r="W377" s="4">
        <v>6</v>
      </c>
      <c r="X377" s="2">
        <v>0.4</v>
      </c>
      <c r="Y377" s="3">
        <v>205.3</v>
      </c>
      <c r="Z377" t="str">
        <f t="shared" si="62"/>
        <v>Normal</v>
      </c>
      <c r="AA377" t="str">
        <f t="shared" si="63"/>
        <v>High</v>
      </c>
      <c r="AB377" t="str">
        <f t="shared" si="67"/>
        <v>Low Profit</v>
      </c>
      <c r="AC377" s="3">
        <f t="shared" si="68"/>
        <v>0.22277442597334957</v>
      </c>
      <c r="AD377" s="3">
        <f t="shared" si="69"/>
        <v>153.59333333333333</v>
      </c>
      <c r="AE377" s="3">
        <f t="shared" si="70"/>
        <v>34.216666666666669</v>
      </c>
      <c r="AF377" t="str">
        <f t="shared" si="71"/>
        <v>Regular</v>
      </c>
    </row>
    <row r="378" spans="1:32" x14ac:dyDescent="0.25">
      <c r="A378" t="s">
        <v>6314</v>
      </c>
      <c r="B378" s="1">
        <v>45107</v>
      </c>
      <c r="C378" s="1">
        <v>45114</v>
      </c>
      <c r="D378" s="4">
        <f t="shared" si="60"/>
        <v>7</v>
      </c>
      <c r="E378" s="4" t="str">
        <f>TEXT(Table1[[#This Row],[Order_Date]],"dddd")</f>
        <v>Friday</v>
      </c>
      <c r="F378" s="4">
        <f t="shared" si="61"/>
        <v>6</v>
      </c>
      <c r="G378" t="str">
        <f t="shared" si="64"/>
        <v>June</v>
      </c>
      <c r="H378">
        <f t="shared" si="65"/>
        <v>2023</v>
      </c>
      <c r="I378" t="str">
        <f t="shared" si="66"/>
        <v>2023-Q2</v>
      </c>
      <c r="J378" t="s">
        <v>44</v>
      </c>
      <c r="K378" t="s">
        <v>6315</v>
      </c>
      <c r="L378" t="s">
        <v>6316</v>
      </c>
      <c r="M378" t="s">
        <v>24</v>
      </c>
      <c r="N378" t="s">
        <v>25</v>
      </c>
      <c r="O378" t="s">
        <v>80</v>
      </c>
      <c r="P378" t="s">
        <v>49</v>
      </c>
      <c r="Q378" t="s">
        <v>28</v>
      </c>
      <c r="R378" t="s">
        <v>6317</v>
      </c>
      <c r="S378" t="s">
        <v>59</v>
      </c>
      <c r="T378" t="s">
        <v>60</v>
      </c>
      <c r="U378" t="s">
        <v>6318</v>
      </c>
      <c r="V378" s="3">
        <v>109.16</v>
      </c>
      <c r="W378" s="4">
        <v>6</v>
      </c>
      <c r="X378" s="2">
        <v>0.4</v>
      </c>
      <c r="Y378" s="3">
        <v>26.79</v>
      </c>
      <c r="Z378" t="str">
        <f t="shared" si="62"/>
        <v>Normal</v>
      </c>
      <c r="AA378" t="str">
        <f t="shared" si="63"/>
        <v>High</v>
      </c>
      <c r="AB378" t="str">
        <f t="shared" si="67"/>
        <v>Low Profit</v>
      </c>
      <c r="AC378" s="3">
        <f t="shared" si="68"/>
        <v>0.24541956760718212</v>
      </c>
      <c r="AD378" s="3">
        <f t="shared" si="69"/>
        <v>18.193333333333332</v>
      </c>
      <c r="AE378" s="3">
        <f t="shared" si="70"/>
        <v>4.4649999999999999</v>
      </c>
      <c r="AF378" t="str">
        <f t="shared" si="71"/>
        <v>Regular</v>
      </c>
    </row>
    <row r="379" spans="1:32" x14ac:dyDescent="0.25">
      <c r="A379" t="s">
        <v>3533</v>
      </c>
      <c r="B379" s="1">
        <v>45107</v>
      </c>
      <c r="C379" s="1">
        <v>45117</v>
      </c>
      <c r="D379" s="4">
        <f t="shared" si="60"/>
        <v>10</v>
      </c>
      <c r="E379" s="4" t="str">
        <f>TEXT(Table1[[#This Row],[Order_Date]],"dddd")</f>
        <v>Friday</v>
      </c>
      <c r="F379" s="4">
        <f t="shared" si="61"/>
        <v>6</v>
      </c>
      <c r="G379" t="str">
        <f t="shared" si="64"/>
        <v>June</v>
      </c>
      <c r="H379">
        <f t="shared" si="65"/>
        <v>2023</v>
      </c>
      <c r="I379" t="str">
        <f t="shared" si="66"/>
        <v>2023-Q2</v>
      </c>
      <c r="J379" t="s">
        <v>21</v>
      </c>
      <c r="K379" t="s">
        <v>3534</v>
      </c>
      <c r="L379" t="s">
        <v>3535</v>
      </c>
      <c r="M379" t="s">
        <v>36</v>
      </c>
      <c r="N379" t="s">
        <v>25</v>
      </c>
      <c r="O379" t="s">
        <v>244</v>
      </c>
      <c r="P379" t="s">
        <v>163</v>
      </c>
      <c r="Q379" t="s">
        <v>39</v>
      </c>
      <c r="R379" t="s">
        <v>3536</v>
      </c>
      <c r="S379" t="s">
        <v>30</v>
      </c>
      <c r="T379" t="s">
        <v>41</v>
      </c>
      <c r="U379" t="s">
        <v>3537</v>
      </c>
      <c r="V379" s="3">
        <v>4722.88</v>
      </c>
      <c r="W379" s="4">
        <v>3</v>
      </c>
      <c r="X379" s="2">
        <v>0.3</v>
      </c>
      <c r="Y379" s="3">
        <v>-270.47000000000003</v>
      </c>
      <c r="Z379" t="str">
        <f t="shared" si="62"/>
        <v>Normal</v>
      </c>
      <c r="AA379" t="str">
        <f t="shared" si="63"/>
        <v>High</v>
      </c>
      <c r="AB379" t="str">
        <f t="shared" si="67"/>
        <v>Loss</v>
      </c>
      <c r="AC379" s="3">
        <f t="shared" si="68"/>
        <v>-5.726802290128058E-2</v>
      </c>
      <c r="AD379" s="3">
        <f t="shared" si="69"/>
        <v>1574.2933333333333</v>
      </c>
      <c r="AE379" s="3">
        <f t="shared" si="70"/>
        <v>-90.15666666666668</v>
      </c>
      <c r="AF379" t="str">
        <f t="shared" si="71"/>
        <v>Regular</v>
      </c>
    </row>
    <row r="380" spans="1:32" x14ac:dyDescent="0.25">
      <c r="A380" t="s">
        <v>1414</v>
      </c>
      <c r="B380" s="1">
        <v>45108</v>
      </c>
      <c r="C380" s="1">
        <v>45117</v>
      </c>
      <c r="D380" s="4">
        <f t="shared" si="60"/>
        <v>9</v>
      </c>
      <c r="E380" s="4" t="str">
        <f>TEXT(Table1[[#This Row],[Order_Date]],"dddd")</f>
        <v>Saturday</v>
      </c>
      <c r="F380" s="4">
        <f t="shared" si="61"/>
        <v>7</v>
      </c>
      <c r="G380" t="str">
        <f t="shared" si="64"/>
        <v>July</v>
      </c>
      <c r="H380">
        <f t="shared" si="65"/>
        <v>2023</v>
      </c>
      <c r="I380" t="str">
        <f t="shared" si="66"/>
        <v>2023-Q3</v>
      </c>
      <c r="J380" t="s">
        <v>44</v>
      </c>
      <c r="K380" t="s">
        <v>1415</v>
      </c>
      <c r="L380" t="s">
        <v>1416</v>
      </c>
      <c r="M380" t="s">
        <v>47</v>
      </c>
      <c r="N380" t="s">
        <v>25</v>
      </c>
      <c r="O380" t="s">
        <v>255</v>
      </c>
      <c r="P380" t="s">
        <v>143</v>
      </c>
      <c r="Q380" t="s">
        <v>87</v>
      </c>
      <c r="R380" t="s">
        <v>1417</v>
      </c>
      <c r="S380" t="s">
        <v>51</v>
      </c>
      <c r="T380" t="s">
        <v>127</v>
      </c>
      <c r="U380" t="s">
        <v>1418</v>
      </c>
      <c r="V380" s="3">
        <v>4838.74</v>
      </c>
      <c r="W380" s="4">
        <v>7</v>
      </c>
      <c r="X380" s="2">
        <v>0.4</v>
      </c>
      <c r="Y380" s="3">
        <v>-222.63</v>
      </c>
      <c r="Z380" t="str">
        <f t="shared" si="62"/>
        <v>Normal</v>
      </c>
      <c r="AA380" t="str">
        <f t="shared" si="63"/>
        <v>High</v>
      </c>
      <c r="AB380" t="str">
        <f t="shared" si="67"/>
        <v>Loss</v>
      </c>
      <c r="AC380" s="3">
        <f t="shared" si="68"/>
        <v>-4.6009911671220198E-2</v>
      </c>
      <c r="AD380" s="3">
        <f t="shared" si="69"/>
        <v>691.24857142857138</v>
      </c>
      <c r="AE380" s="3">
        <f t="shared" si="70"/>
        <v>-31.804285714285715</v>
      </c>
      <c r="AF380" t="str">
        <f t="shared" si="71"/>
        <v>Regular</v>
      </c>
    </row>
    <row r="381" spans="1:32" x14ac:dyDescent="0.25">
      <c r="A381" t="s">
        <v>2514</v>
      </c>
      <c r="B381" s="1">
        <v>45109</v>
      </c>
      <c r="C381" s="1">
        <v>45117</v>
      </c>
      <c r="D381" s="4">
        <f t="shared" si="60"/>
        <v>8</v>
      </c>
      <c r="E381" s="4" t="str">
        <f>TEXT(Table1[[#This Row],[Order_Date]],"dddd")</f>
        <v>Sunday</v>
      </c>
      <c r="F381" s="4">
        <f t="shared" si="61"/>
        <v>7</v>
      </c>
      <c r="G381" t="str">
        <f t="shared" si="64"/>
        <v>July</v>
      </c>
      <c r="H381">
        <f t="shared" si="65"/>
        <v>2023</v>
      </c>
      <c r="I381" t="str">
        <f t="shared" si="66"/>
        <v>2023-Q3</v>
      </c>
      <c r="J381" t="s">
        <v>21</v>
      </c>
      <c r="K381" t="s">
        <v>2515</v>
      </c>
      <c r="L381" t="s">
        <v>2516</v>
      </c>
      <c r="M381" t="s">
        <v>24</v>
      </c>
      <c r="N381" t="s">
        <v>25</v>
      </c>
      <c r="O381" t="s">
        <v>119</v>
      </c>
      <c r="P381" t="s">
        <v>120</v>
      </c>
      <c r="Q381" t="s">
        <v>87</v>
      </c>
      <c r="R381" t="s">
        <v>2517</v>
      </c>
      <c r="S381" t="s">
        <v>30</v>
      </c>
      <c r="T381" t="s">
        <v>31</v>
      </c>
      <c r="U381" t="s">
        <v>2518</v>
      </c>
      <c r="V381" s="3">
        <v>2860.02</v>
      </c>
      <c r="W381" s="4">
        <v>10</v>
      </c>
      <c r="X381" s="2">
        <v>0</v>
      </c>
      <c r="Y381" s="3">
        <v>-507.32</v>
      </c>
      <c r="Z381" t="str">
        <f t="shared" si="62"/>
        <v>Normal</v>
      </c>
      <c r="AA381" t="str">
        <f t="shared" si="63"/>
        <v>Low</v>
      </c>
      <c r="AB381" t="str">
        <f t="shared" si="67"/>
        <v>Loss</v>
      </c>
      <c r="AC381" s="3">
        <f t="shared" si="68"/>
        <v>-0.17738337494143397</v>
      </c>
      <c r="AD381" s="3">
        <f t="shared" si="69"/>
        <v>286.00200000000001</v>
      </c>
      <c r="AE381" s="3">
        <f t="shared" si="70"/>
        <v>-50.731999999999999</v>
      </c>
      <c r="AF381" t="str">
        <f t="shared" si="71"/>
        <v>Regular</v>
      </c>
    </row>
    <row r="382" spans="1:32" x14ac:dyDescent="0.25">
      <c r="A382" t="s">
        <v>783</v>
      </c>
      <c r="B382" s="1">
        <v>45109</v>
      </c>
      <c r="C382" s="1">
        <v>45114</v>
      </c>
      <c r="D382" s="4">
        <f t="shared" si="60"/>
        <v>5</v>
      </c>
      <c r="E382" s="4" t="str">
        <f>TEXT(Table1[[#This Row],[Order_Date]],"dddd")</f>
        <v>Sunday</v>
      </c>
      <c r="F382" s="4">
        <f t="shared" si="61"/>
        <v>7</v>
      </c>
      <c r="G382" t="str">
        <f t="shared" si="64"/>
        <v>July</v>
      </c>
      <c r="H382">
        <f t="shared" si="65"/>
        <v>2023</v>
      </c>
      <c r="I382" t="str">
        <f t="shared" si="66"/>
        <v>2023-Q3</v>
      </c>
      <c r="J382" t="s">
        <v>44</v>
      </c>
      <c r="K382" t="s">
        <v>784</v>
      </c>
      <c r="L382" t="s">
        <v>785</v>
      </c>
      <c r="M382" t="s">
        <v>24</v>
      </c>
      <c r="N382" t="s">
        <v>25</v>
      </c>
      <c r="O382" t="s">
        <v>99</v>
      </c>
      <c r="P382" t="s">
        <v>74</v>
      </c>
      <c r="Q382" t="s">
        <v>28</v>
      </c>
      <c r="R382" t="s">
        <v>786</v>
      </c>
      <c r="S382" t="s">
        <v>59</v>
      </c>
      <c r="T382" t="s">
        <v>60</v>
      </c>
      <c r="U382" t="s">
        <v>787</v>
      </c>
      <c r="V382" s="3">
        <v>3326.38</v>
      </c>
      <c r="W382" s="4">
        <v>5</v>
      </c>
      <c r="X382" s="2">
        <v>0.1</v>
      </c>
      <c r="Y382" s="3">
        <v>499.05</v>
      </c>
      <c r="Z382" t="str">
        <f t="shared" si="62"/>
        <v>Normal</v>
      </c>
      <c r="AA382" t="str">
        <f t="shared" si="63"/>
        <v>Medium</v>
      </c>
      <c r="AB382" t="str">
        <f t="shared" si="67"/>
        <v>Low Profit</v>
      </c>
      <c r="AC382" s="3">
        <f t="shared" si="68"/>
        <v>0.15002795832105772</v>
      </c>
      <c r="AD382" s="3">
        <f t="shared" si="69"/>
        <v>665.27600000000007</v>
      </c>
      <c r="AE382" s="3">
        <f t="shared" si="70"/>
        <v>99.81</v>
      </c>
      <c r="AF382" t="str">
        <f t="shared" si="71"/>
        <v>Regular</v>
      </c>
    </row>
    <row r="383" spans="1:32" x14ac:dyDescent="0.25">
      <c r="A383" t="s">
        <v>354</v>
      </c>
      <c r="B383" s="1">
        <v>45109</v>
      </c>
      <c r="C383" s="1">
        <v>45117</v>
      </c>
      <c r="D383" s="4">
        <f t="shared" si="60"/>
        <v>8</v>
      </c>
      <c r="E383" s="4" t="str">
        <f>TEXT(Table1[[#This Row],[Order_Date]],"dddd")</f>
        <v>Sunday</v>
      </c>
      <c r="F383" s="4">
        <f t="shared" si="61"/>
        <v>7</v>
      </c>
      <c r="G383" t="str">
        <f t="shared" si="64"/>
        <v>July</v>
      </c>
      <c r="H383">
        <f t="shared" si="65"/>
        <v>2023</v>
      </c>
      <c r="I383" t="str">
        <f t="shared" si="66"/>
        <v>2023-Q3</v>
      </c>
      <c r="J383" t="s">
        <v>104</v>
      </c>
      <c r="K383" t="s">
        <v>355</v>
      </c>
      <c r="L383" t="s">
        <v>356</v>
      </c>
      <c r="M383" t="s">
        <v>36</v>
      </c>
      <c r="N383" t="s">
        <v>25</v>
      </c>
      <c r="O383" t="s">
        <v>162</v>
      </c>
      <c r="P383" t="s">
        <v>163</v>
      </c>
      <c r="Q383" t="s">
        <v>87</v>
      </c>
      <c r="R383" t="s">
        <v>357</v>
      </c>
      <c r="S383" t="s">
        <v>59</v>
      </c>
      <c r="T383" t="s">
        <v>303</v>
      </c>
      <c r="U383" t="s">
        <v>358</v>
      </c>
      <c r="V383" s="3">
        <v>2742.15</v>
      </c>
      <c r="W383" s="4">
        <v>2</v>
      </c>
      <c r="X383" s="2">
        <v>0.2</v>
      </c>
      <c r="Y383" s="3">
        <v>-260.43</v>
      </c>
      <c r="Z383" t="str">
        <f t="shared" si="62"/>
        <v>Normal</v>
      </c>
      <c r="AA383" t="str">
        <f t="shared" si="63"/>
        <v>High</v>
      </c>
      <c r="AB383" t="str">
        <f t="shared" si="67"/>
        <v>Loss</v>
      </c>
      <c r="AC383" s="3">
        <f t="shared" si="68"/>
        <v>-9.4972922706635307E-2</v>
      </c>
      <c r="AD383" s="3">
        <f t="shared" si="69"/>
        <v>1371.075</v>
      </c>
      <c r="AE383" s="3">
        <f t="shared" si="70"/>
        <v>-130.215</v>
      </c>
      <c r="AF383" t="str">
        <f t="shared" si="71"/>
        <v>Regular</v>
      </c>
    </row>
    <row r="384" spans="1:32" x14ac:dyDescent="0.25">
      <c r="A384" t="s">
        <v>1026</v>
      </c>
      <c r="B384" s="1">
        <v>45110</v>
      </c>
      <c r="C384" s="1">
        <v>45118</v>
      </c>
      <c r="D384" s="4">
        <f t="shared" si="60"/>
        <v>8</v>
      </c>
      <c r="E384" s="4" t="str">
        <f>TEXT(Table1[[#This Row],[Order_Date]],"dddd")</f>
        <v>Monday</v>
      </c>
      <c r="F384" s="4">
        <f t="shared" si="61"/>
        <v>7</v>
      </c>
      <c r="G384" t="str">
        <f t="shared" si="64"/>
        <v>July</v>
      </c>
      <c r="H384">
        <f t="shared" si="65"/>
        <v>2023</v>
      </c>
      <c r="I384" t="str">
        <f t="shared" si="66"/>
        <v>2023-Q3</v>
      </c>
      <c r="J384" t="s">
        <v>44</v>
      </c>
      <c r="K384" t="s">
        <v>1027</v>
      </c>
      <c r="L384" t="s">
        <v>1028</v>
      </c>
      <c r="M384" t="s">
        <v>36</v>
      </c>
      <c r="N384" t="s">
        <v>25</v>
      </c>
      <c r="O384" t="s">
        <v>255</v>
      </c>
      <c r="P384" t="s">
        <v>143</v>
      </c>
      <c r="Q384" t="s">
        <v>87</v>
      </c>
      <c r="R384" t="s">
        <v>1029</v>
      </c>
      <c r="S384" t="s">
        <v>51</v>
      </c>
      <c r="T384" t="s">
        <v>127</v>
      </c>
      <c r="U384" t="s">
        <v>1030</v>
      </c>
      <c r="V384" s="3">
        <v>460.35</v>
      </c>
      <c r="W384" s="4">
        <v>4</v>
      </c>
      <c r="X384" s="2">
        <v>0.2</v>
      </c>
      <c r="Y384" s="3">
        <v>-43.64</v>
      </c>
      <c r="Z384" t="str">
        <f t="shared" si="62"/>
        <v>Normal</v>
      </c>
      <c r="AA384" t="str">
        <f t="shared" si="63"/>
        <v>High</v>
      </c>
      <c r="AB384" t="str">
        <f t="shared" si="67"/>
        <v>Loss</v>
      </c>
      <c r="AC384" s="3">
        <f t="shared" si="68"/>
        <v>-9.4797436732920598E-2</v>
      </c>
      <c r="AD384" s="3">
        <f t="shared" si="69"/>
        <v>115.08750000000001</v>
      </c>
      <c r="AE384" s="3">
        <f t="shared" si="70"/>
        <v>-10.91</v>
      </c>
      <c r="AF384" t="str">
        <f t="shared" si="71"/>
        <v>Regular</v>
      </c>
    </row>
    <row r="385" spans="1:32" x14ac:dyDescent="0.25">
      <c r="A385" t="s">
        <v>4564</v>
      </c>
      <c r="B385" s="1">
        <v>45110</v>
      </c>
      <c r="C385" s="1">
        <v>45116</v>
      </c>
      <c r="D385" s="4">
        <f t="shared" si="60"/>
        <v>6</v>
      </c>
      <c r="E385" s="4" t="str">
        <f>TEXT(Table1[[#This Row],[Order_Date]],"dddd")</f>
        <v>Monday</v>
      </c>
      <c r="F385" s="4">
        <f t="shared" si="61"/>
        <v>7</v>
      </c>
      <c r="G385" t="str">
        <f t="shared" si="64"/>
        <v>July</v>
      </c>
      <c r="H385">
        <f t="shared" si="65"/>
        <v>2023</v>
      </c>
      <c r="I385" t="str">
        <f t="shared" si="66"/>
        <v>2023-Q3</v>
      </c>
      <c r="J385" t="s">
        <v>55</v>
      </c>
      <c r="K385" t="s">
        <v>4565</v>
      </c>
      <c r="L385" t="s">
        <v>4566</v>
      </c>
      <c r="M385" t="s">
        <v>47</v>
      </c>
      <c r="N385" t="s">
        <v>25</v>
      </c>
      <c r="O385" t="s">
        <v>26</v>
      </c>
      <c r="P385" t="s">
        <v>27</v>
      </c>
      <c r="Q385" t="s">
        <v>39</v>
      </c>
      <c r="R385" t="s">
        <v>4567</v>
      </c>
      <c r="S385" t="s">
        <v>51</v>
      </c>
      <c r="T385" t="s">
        <v>52</v>
      </c>
      <c r="U385" t="s">
        <v>4568</v>
      </c>
      <c r="V385" s="3">
        <v>4665.75</v>
      </c>
      <c r="W385" s="4">
        <v>3</v>
      </c>
      <c r="X385" s="2">
        <v>0.1</v>
      </c>
      <c r="Y385" s="3">
        <v>48.13</v>
      </c>
      <c r="Z385" t="str">
        <f t="shared" si="62"/>
        <v>Normal</v>
      </c>
      <c r="AA385" t="str">
        <f t="shared" si="63"/>
        <v>Medium</v>
      </c>
      <c r="AB385" t="str">
        <f t="shared" si="67"/>
        <v>Low Profit</v>
      </c>
      <c r="AC385" s="3">
        <f t="shared" si="68"/>
        <v>1.0315597706692386E-2</v>
      </c>
      <c r="AD385" s="3">
        <f t="shared" si="69"/>
        <v>1555.25</v>
      </c>
      <c r="AE385" s="3">
        <f t="shared" si="70"/>
        <v>16.043333333333333</v>
      </c>
      <c r="AF385" t="str">
        <f t="shared" si="71"/>
        <v>Regular</v>
      </c>
    </row>
    <row r="386" spans="1:32" x14ac:dyDescent="0.25">
      <c r="A386" t="s">
        <v>3151</v>
      </c>
      <c r="B386" s="1">
        <v>45111</v>
      </c>
      <c r="C386" s="1">
        <v>45119</v>
      </c>
      <c r="D386" s="4">
        <f t="shared" ref="D386:D449" si="72">C386-B386</f>
        <v>8</v>
      </c>
      <c r="E386" s="4" t="str">
        <f>TEXT(Table1[[#This Row],[Order_Date]],"dddd")</f>
        <v>Tuesday</v>
      </c>
      <c r="F386" s="4">
        <f t="shared" ref="F386:F449" si="73">MONTH(B386)</f>
        <v>7</v>
      </c>
      <c r="G386" t="str">
        <f t="shared" si="64"/>
        <v>July</v>
      </c>
      <c r="H386">
        <f t="shared" si="65"/>
        <v>2023</v>
      </c>
      <c r="I386" t="str">
        <f t="shared" si="66"/>
        <v>2023-Q3</v>
      </c>
      <c r="J386" t="s">
        <v>104</v>
      </c>
      <c r="K386" t="s">
        <v>3152</v>
      </c>
      <c r="L386" t="s">
        <v>3153</v>
      </c>
      <c r="M386" t="s">
        <v>36</v>
      </c>
      <c r="N386" t="s">
        <v>25</v>
      </c>
      <c r="O386" t="s">
        <v>26</v>
      </c>
      <c r="P386" t="s">
        <v>27</v>
      </c>
      <c r="Q386" t="s">
        <v>28</v>
      </c>
      <c r="R386" t="s">
        <v>3154</v>
      </c>
      <c r="S386" t="s">
        <v>59</v>
      </c>
      <c r="T386" t="s">
        <v>303</v>
      </c>
      <c r="U386" t="s">
        <v>3155</v>
      </c>
      <c r="V386" s="3">
        <v>1608.69</v>
      </c>
      <c r="W386" s="4">
        <v>4</v>
      </c>
      <c r="X386" s="2">
        <v>0</v>
      </c>
      <c r="Y386" s="3">
        <v>444.63</v>
      </c>
      <c r="Z386" t="str">
        <f t="shared" ref="Z386:Z449" si="74">IF(OR(Y386&lt;-800.884,Y386&gt;1030.126),"Outlier","Normal")</f>
        <v>Normal</v>
      </c>
      <c r="AA386" t="str">
        <f t="shared" ref="AA386:AA449" si="75">IF(X386&lt;10%,"Low",IF(X386&lt;0.2,"Medium","High"))</f>
        <v>Low</v>
      </c>
      <c r="AB386" t="str">
        <f t="shared" si="67"/>
        <v>Low Profit</v>
      </c>
      <c r="AC386" s="3">
        <f t="shared" si="68"/>
        <v>0.27639259273073119</v>
      </c>
      <c r="AD386" s="3">
        <f t="shared" si="69"/>
        <v>402.17250000000001</v>
      </c>
      <c r="AE386" s="3">
        <f t="shared" si="70"/>
        <v>111.1575</v>
      </c>
      <c r="AF386" t="str">
        <f t="shared" si="71"/>
        <v>Regular</v>
      </c>
    </row>
    <row r="387" spans="1:32" x14ac:dyDescent="0.25">
      <c r="A387" t="s">
        <v>3053</v>
      </c>
      <c r="B387" s="1">
        <v>45111</v>
      </c>
      <c r="C387" s="1">
        <v>45113</v>
      </c>
      <c r="D387" s="4">
        <f t="shared" si="72"/>
        <v>2</v>
      </c>
      <c r="E387" s="4" t="str">
        <f>TEXT(Table1[[#This Row],[Order_Date]],"dddd")</f>
        <v>Tuesday</v>
      </c>
      <c r="F387" s="4">
        <f t="shared" si="73"/>
        <v>7</v>
      </c>
      <c r="G387" t="str">
        <f t="shared" ref="G387:G450" si="76">TEXT(B387,"mmmm")</f>
        <v>July</v>
      </c>
      <c r="H387">
        <f t="shared" ref="H387:H450" si="77">YEAR(B387)</f>
        <v>2023</v>
      </c>
      <c r="I387" t="str">
        <f t="shared" ref="I387:I450" si="78">H387 &amp; "-Q" &amp; INT((MONTH(B387)+2)/3)</f>
        <v>2023-Q3</v>
      </c>
      <c r="J387" t="s">
        <v>21</v>
      </c>
      <c r="K387" t="s">
        <v>3054</v>
      </c>
      <c r="L387" t="s">
        <v>3055</v>
      </c>
      <c r="M387" t="s">
        <v>36</v>
      </c>
      <c r="N387" t="s">
        <v>25</v>
      </c>
      <c r="O387" t="s">
        <v>37</v>
      </c>
      <c r="P387" t="s">
        <v>38</v>
      </c>
      <c r="Q387" t="s">
        <v>87</v>
      </c>
      <c r="R387" t="s">
        <v>3056</v>
      </c>
      <c r="S387" t="s">
        <v>59</v>
      </c>
      <c r="T387" t="s">
        <v>303</v>
      </c>
      <c r="U387" t="s">
        <v>3057</v>
      </c>
      <c r="V387" s="3">
        <v>3097.04</v>
      </c>
      <c r="W387" s="4">
        <v>1</v>
      </c>
      <c r="X387" s="2">
        <v>0</v>
      </c>
      <c r="Y387" s="3">
        <v>504.42</v>
      </c>
      <c r="Z387" t="str">
        <f t="shared" si="74"/>
        <v>Normal</v>
      </c>
      <c r="AA387" t="str">
        <f t="shared" si="75"/>
        <v>Low</v>
      </c>
      <c r="AB387" t="str">
        <f t="shared" ref="AB387:AB450" si="79">IF(Y387&lt;0, "Loss", IF(Y387&lt;500,"Low Profit", "High Profit"))</f>
        <v>High Profit</v>
      </c>
      <c r="AC387" s="3">
        <f t="shared" ref="AC387:AC450" si="80">Y387/V387</f>
        <v>0.16287164518378841</v>
      </c>
      <c r="AD387" s="3">
        <f t="shared" ref="AD387:AD450" si="81">V387/W387</f>
        <v>3097.04</v>
      </c>
      <c r="AE387" s="3">
        <f t="shared" ref="AE387:AE450" si="82">Y387/W387</f>
        <v>504.42</v>
      </c>
      <c r="AF387" t="str">
        <f t="shared" ref="AF387:AF450" si="83">IF(V387&gt;5000,"High value", "Regular")</f>
        <v>Regular</v>
      </c>
    </row>
    <row r="388" spans="1:32" x14ac:dyDescent="0.25">
      <c r="A388" t="s">
        <v>912</v>
      </c>
      <c r="B388" s="1">
        <v>45111</v>
      </c>
      <c r="C388" s="1">
        <v>45116</v>
      </c>
      <c r="D388" s="4">
        <f t="shared" si="72"/>
        <v>5</v>
      </c>
      <c r="E388" s="4" t="str">
        <f>TEXT(Table1[[#This Row],[Order_Date]],"dddd")</f>
        <v>Tuesday</v>
      </c>
      <c r="F388" s="4">
        <f t="shared" si="73"/>
        <v>7</v>
      </c>
      <c r="G388" t="str">
        <f t="shared" si="76"/>
        <v>July</v>
      </c>
      <c r="H388">
        <f t="shared" si="77"/>
        <v>2023</v>
      </c>
      <c r="I388" t="str">
        <f t="shared" si="78"/>
        <v>2023-Q3</v>
      </c>
      <c r="J388" t="s">
        <v>44</v>
      </c>
      <c r="K388" t="s">
        <v>913</v>
      </c>
      <c r="L388" t="s">
        <v>914</v>
      </c>
      <c r="M388" t="s">
        <v>36</v>
      </c>
      <c r="N388" t="s">
        <v>25</v>
      </c>
      <c r="O388" t="s">
        <v>99</v>
      </c>
      <c r="P388" t="s">
        <v>74</v>
      </c>
      <c r="Q388" t="s">
        <v>87</v>
      </c>
      <c r="R388" t="s">
        <v>915</v>
      </c>
      <c r="S388" t="s">
        <v>30</v>
      </c>
      <c r="T388" t="s">
        <v>41</v>
      </c>
      <c r="U388" t="s">
        <v>916</v>
      </c>
      <c r="V388" s="3">
        <v>2470.3200000000002</v>
      </c>
      <c r="W388" s="4">
        <v>2</v>
      </c>
      <c r="X388" s="2">
        <v>0.4</v>
      </c>
      <c r="Y388" s="3">
        <v>426.83</v>
      </c>
      <c r="Z388" t="str">
        <f t="shared" si="74"/>
        <v>Normal</v>
      </c>
      <c r="AA388" t="str">
        <f t="shared" si="75"/>
        <v>High</v>
      </c>
      <c r="AB388" t="str">
        <f t="shared" si="79"/>
        <v>Low Profit</v>
      </c>
      <c r="AC388" s="3">
        <f t="shared" si="80"/>
        <v>0.17278328313740729</v>
      </c>
      <c r="AD388" s="3">
        <f t="shared" si="81"/>
        <v>1235.1600000000001</v>
      </c>
      <c r="AE388" s="3">
        <f t="shared" si="82"/>
        <v>213.41499999999999</v>
      </c>
      <c r="AF388" t="str">
        <f t="shared" si="83"/>
        <v>Regular</v>
      </c>
    </row>
    <row r="389" spans="1:32" x14ac:dyDescent="0.25">
      <c r="A389" t="s">
        <v>2433</v>
      </c>
      <c r="B389" s="1">
        <v>45115</v>
      </c>
      <c r="C389" s="1">
        <v>45119</v>
      </c>
      <c r="D389" s="4">
        <f t="shared" si="72"/>
        <v>4</v>
      </c>
      <c r="E389" s="4" t="str">
        <f>TEXT(Table1[[#This Row],[Order_Date]],"dddd")</f>
        <v>Saturday</v>
      </c>
      <c r="F389" s="4">
        <f t="shared" si="73"/>
        <v>7</v>
      </c>
      <c r="G389" t="str">
        <f t="shared" si="76"/>
        <v>July</v>
      </c>
      <c r="H389">
        <f t="shared" si="77"/>
        <v>2023</v>
      </c>
      <c r="I389" t="str">
        <f t="shared" si="78"/>
        <v>2023-Q3</v>
      </c>
      <c r="J389" t="s">
        <v>104</v>
      </c>
      <c r="K389" t="s">
        <v>2434</v>
      </c>
      <c r="L389" t="s">
        <v>2435</v>
      </c>
      <c r="M389" t="s">
        <v>36</v>
      </c>
      <c r="N389" t="s">
        <v>25</v>
      </c>
      <c r="O389" t="s">
        <v>179</v>
      </c>
      <c r="P389" t="s">
        <v>27</v>
      </c>
      <c r="Q389" t="s">
        <v>28</v>
      </c>
      <c r="R389" t="s">
        <v>2436</v>
      </c>
      <c r="S389" t="s">
        <v>30</v>
      </c>
      <c r="T389" t="s">
        <v>68</v>
      </c>
      <c r="U389" t="s">
        <v>2437</v>
      </c>
      <c r="V389" s="3">
        <v>2904.81</v>
      </c>
      <c r="W389" s="4">
        <v>10</v>
      </c>
      <c r="X389" s="2">
        <v>0.3</v>
      </c>
      <c r="Y389" s="3">
        <v>603.16</v>
      </c>
      <c r="Z389" t="str">
        <f t="shared" si="74"/>
        <v>Normal</v>
      </c>
      <c r="AA389" t="str">
        <f t="shared" si="75"/>
        <v>High</v>
      </c>
      <c r="AB389" t="str">
        <f t="shared" si="79"/>
        <v>High Profit</v>
      </c>
      <c r="AC389" s="3">
        <f t="shared" si="80"/>
        <v>0.20764180789793479</v>
      </c>
      <c r="AD389" s="3">
        <f t="shared" si="81"/>
        <v>290.48099999999999</v>
      </c>
      <c r="AE389" s="3">
        <f t="shared" si="82"/>
        <v>60.315999999999995</v>
      </c>
      <c r="AF389" t="str">
        <f t="shared" si="83"/>
        <v>Regular</v>
      </c>
    </row>
    <row r="390" spans="1:32" x14ac:dyDescent="0.25">
      <c r="A390" t="s">
        <v>2108</v>
      </c>
      <c r="B390" s="1">
        <v>45115</v>
      </c>
      <c r="C390" s="1">
        <v>45122</v>
      </c>
      <c r="D390" s="4">
        <f t="shared" si="72"/>
        <v>7</v>
      </c>
      <c r="E390" s="4" t="str">
        <f>TEXT(Table1[[#This Row],[Order_Date]],"dddd")</f>
        <v>Saturday</v>
      </c>
      <c r="F390" s="4">
        <f t="shared" si="73"/>
        <v>7</v>
      </c>
      <c r="G390" t="str">
        <f t="shared" si="76"/>
        <v>July</v>
      </c>
      <c r="H390">
        <f t="shared" si="77"/>
        <v>2023</v>
      </c>
      <c r="I390" t="str">
        <f t="shared" si="78"/>
        <v>2023-Q3</v>
      </c>
      <c r="J390" t="s">
        <v>104</v>
      </c>
      <c r="K390" t="s">
        <v>2109</v>
      </c>
      <c r="L390" t="s">
        <v>2110</v>
      </c>
      <c r="M390" t="s">
        <v>36</v>
      </c>
      <c r="N390" t="s">
        <v>25</v>
      </c>
      <c r="O390" t="s">
        <v>80</v>
      </c>
      <c r="P390" t="s">
        <v>49</v>
      </c>
      <c r="Q390" t="s">
        <v>87</v>
      </c>
      <c r="R390" t="s">
        <v>2111</v>
      </c>
      <c r="S390" t="s">
        <v>30</v>
      </c>
      <c r="T390" t="s">
        <v>68</v>
      </c>
      <c r="U390" t="s">
        <v>2112</v>
      </c>
      <c r="V390" s="3">
        <v>4374.32</v>
      </c>
      <c r="W390" s="4">
        <v>6</v>
      </c>
      <c r="X390" s="2">
        <v>0</v>
      </c>
      <c r="Y390" s="3">
        <v>1084.73</v>
      </c>
      <c r="Z390" t="str">
        <f t="shared" si="74"/>
        <v>Outlier</v>
      </c>
      <c r="AA390" t="str">
        <f t="shared" si="75"/>
        <v>Low</v>
      </c>
      <c r="AB390" t="str">
        <f t="shared" si="79"/>
        <v>High Profit</v>
      </c>
      <c r="AC390" s="3">
        <f t="shared" si="80"/>
        <v>0.2479768283984711</v>
      </c>
      <c r="AD390" s="3">
        <f t="shared" si="81"/>
        <v>729.05333333333328</v>
      </c>
      <c r="AE390" s="3">
        <f t="shared" si="82"/>
        <v>180.78833333333333</v>
      </c>
      <c r="AF390" t="str">
        <f t="shared" si="83"/>
        <v>Regular</v>
      </c>
    </row>
    <row r="391" spans="1:32" x14ac:dyDescent="0.25">
      <c r="A391" t="s">
        <v>649</v>
      </c>
      <c r="B391" s="1">
        <v>45115</v>
      </c>
      <c r="C391" s="1">
        <v>45117</v>
      </c>
      <c r="D391" s="4">
        <f t="shared" si="72"/>
        <v>2</v>
      </c>
      <c r="E391" s="4" t="str">
        <f>TEXT(Table1[[#This Row],[Order_Date]],"dddd")</f>
        <v>Saturday</v>
      </c>
      <c r="F391" s="4">
        <f t="shared" si="73"/>
        <v>7</v>
      </c>
      <c r="G391" t="str">
        <f t="shared" si="76"/>
        <v>July</v>
      </c>
      <c r="H391">
        <f t="shared" si="77"/>
        <v>2023</v>
      </c>
      <c r="I391" t="str">
        <f t="shared" si="78"/>
        <v>2023-Q3</v>
      </c>
      <c r="J391" t="s">
        <v>21</v>
      </c>
      <c r="K391" t="s">
        <v>650</v>
      </c>
      <c r="L391" t="s">
        <v>651</v>
      </c>
      <c r="M391" t="s">
        <v>36</v>
      </c>
      <c r="N391" t="s">
        <v>25</v>
      </c>
      <c r="O391" t="s">
        <v>113</v>
      </c>
      <c r="P391" t="s">
        <v>113</v>
      </c>
      <c r="Q391" t="s">
        <v>28</v>
      </c>
      <c r="R391" t="s">
        <v>652</v>
      </c>
      <c r="S391" t="s">
        <v>30</v>
      </c>
      <c r="T391" t="s">
        <v>82</v>
      </c>
      <c r="U391" t="s">
        <v>653</v>
      </c>
      <c r="V391" s="3">
        <v>4602.72</v>
      </c>
      <c r="W391" s="4">
        <v>1</v>
      </c>
      <c r="X391" s="2">
        <v>0</v>
      </c>
      <c r="Y391" s="3">
        <v>39.020000000000003</v>
      </c>
      <c r="Z391" t="str">
        <f t="shared" si="74"/>
        <v>Normal</v>
      </c>
      <c r="AA391" t="str">
        <f t="shared" si="75"/>
        <v>Low</v>
      </c>
      <c r="AB391" t="str">
        <f t="shared" si="79"/>
        <v>Low Profit</v>
      </c>
      <c r="AC391" s="3">
        <f t="shared" si="80"/>
        <v>8.4775958563631949E-3</v>
      </c>
      <c r="AD391" s="3">
        <f t="shared" si="81"/>
        <v>4602.72</v>
      </c>
      <c r="AE391" s="3">
        <f t="shared" si="82"/>
        <v>39.020000000000003</v>
      </c>
      <c r="AF391" t="str">
        <f t="shared" si="83"/>
        <v>Regular</v>
      </c>
    </row>
    <row r="392" spans="1:32" x14ac:dyDescent="0.25">
      <c r="A392" t="s">
        <v>6881</v>
      </c>
      <c r="B392" s="1">
        <v>45116</v>
      </c>
      <c r="C392" s="1">
        <v>45121</v>
      </c>
      <c r="D392" s="4">
        <f t="shared" si="72"/>
        <v>5</v>
      </c>
      <c r="E392" s="4" t="str">
        <f>TEXT(Table1[[#This Row],[Order_Date]],"dddd")</f>
        <v>Sunday</v>
      </c>
      <c r="F392" s="4">
        <f t="shared" si="73"/>
        <v>7</v>
      </c>
      <c r="G392" t="str">
        <f t="shared" si="76"/>
        <v>July</v>
      </c>
      <c r="H392">
        <f t="shared" si="77"/>
        <v>2023</v>
      </c>
      <c r="I392" t="str">
        <f t="shared" si="78"/>
        <v>2023-Q3</v>
      </c>
      <c r="J392" t="s">
        <v>44</v>
      </c>
      <c r="K392" t="s">
        <v>6882</v>
      </c>
      <c r="L392" t="s">
        <v>6883</v>
      </c>
      <c r="M392" t="s">
        <v>36</v>
      </c>
      <c r="N392" t="s">
        <v>25</v>
      </c>
      <c r="O392" t="s">
        <v>65</v>
      </c>
      <c r="P392" t="s">
        <v>27</v>
      </c>
      <c r="Q392" t="s">
        <v>39</v>
      </c>
      <c r="R392" t="s">
        <v>6884</v>
      </c>
      <c r="S392" t="s">
        <v>30</v>
      </c>
      <c r="T392" t="s">
        <v>31</v>
      </c>
      <c r="U392" t="s">
        <v>6885</v>
      </c>
      <c r="V392" s="3">
        <v>1898.61</v>
      </c>
      <c r="W392" s="4">
        <v>8</v>
      </c>
      <c r="X392" s="2">
        <v>0.3</v>
      </c>
      <c r="Y392" s="3">
        <v>400.15</v>
      </c>
      <c r="Z392" t="str">
        <f t="shared" si="74"/>
        <v>Normal</v>
      </c>
      <c r="AA392" t="str">
        <f t="shared" si="75"/>
        <v>High</v>
      </c>
      <c r="AB392" t="str">
        <f t="shared" si="79"/>
        <v>Low Profit</v>
      </c>
      <c r="AC392" s="3">
        <f t="shared" si="80"/>
        <v>0.21075945033471855</v>
      </c>
      <c r="AD392" s="3">
        <f t="shared" si="81"/>
        <v>237.32624999999999</v>
      </c>
      <c r="AE392" s="3">
        <f t="shared" si="82"/>
        <v>50.018749999999997</v>
      </c>
      <c r="AF392" t="str">
        <f t="shared" si="83"/>
        <v>Regular</v>
      </c>
    </row>
    <row r="393" spans="1:32" x14ac:dyDescent="0.25">
      <c r="A393" t="s">
        <v>7061</v>
      </c>
      <c r="B393" s="1">
        <v>45116</v>
      </c>
      <c r="C393" s="1">
        <v>45117</v>
      </c>
      <c r="D393" s="4">
        <f t="shared" si="72"/>
        <v>1</v>
      </c>
      <c r="E393" s="4" t="str">
        <f>TEXT(Table1[[#This Row],[Order_Date]],"dddd")</f>
        <v>Sunday</v>
      </c>
      <c r="F393" s="4">
        <f t="shared" si="73"/>
        <v>7</v>
      </c>
      <c r="G393" t="str">
        <f t="shared" si="76"/>
        <v>July</v>
      </c>
      <c r="H393">
        <f t="shared" si="77"/>
        <v>2023</v>
      </c>
      <c r="I393" t="str">
        <f t="shared" si="78"/>
        <v>2023-Q3</v>
      </c>
      <c r="J393" t="s">
        <v>44</v>
      </c>
      <c r="K393" t="s">
        <v>7062</v>
      </c>
      <c r="L393" t="s">
        <v>7063</v>
      </c>
      <c r="M393" t="s">
        <v>47</v>
      </c>
      <c r="N393" t="s">
        <v>25</v>
      </c>
      <c r="O393" t="s">
        <v>37</v>
      </c>
      <c r="P393" t="s">
        <v>38</v>
      </c>
      <c r="Q393" t="s">
        <v>28</v>
      </c>
      <c r="R393" t="s">
        <v>7064</v>
      </c>
      <c r="S393" t="s">
        <v>51</v>
      </c>
      <c r="T393" t="s">
        <v>52</v>
      </c>
      <c r="U393" t="s">
        <v>7065</v>
      </c>
      <c r="V393" s="3">
        <v>781.03</v>
      </c>
      <c r="W393" s="4">
        <v>10</v>
      </c>
      <c r="X393" s="2">
        <v>0.4</v>
      </c>
      <c r="Y393" s="3">
        <v>148.88</v>
      </c>
      <c r="Z393" t="str">
        <f t="shared" si="74"/>
        <v>Normal</v>
      </c>
      <c r="AA393" t="str">
        <f t="shared" si="75"/>
        <v>High</v>
      </c>
      <c r="AB393" t="str">
        <f t="shared" si="79"/>
        <v>Low Profit</v>
      </c>
      <c r="AC393" s="3">
        <f t="shared" si="80"/>
        <v>0.19062007861413774</v>
      </c>
      <c r="AD393" s="3">
        <f t="shared" si="81"/>
        <v>78.102999999999994</v>
      </c>
      <c r="AE393" s="3">
        <f t="shared" si="82"/>
        <v>14.888</v>
      </c>
      <c r="AF393" t="str">
        <f t="shared" si="83"/>
        <v>Regular</v>
      </c>
    </row>
    <row r="394" spans="1:32" x14ac:dyDescent="0.25">
      <c r="A394" t="s">
        <v>3902</v>
      </c>
      <c r="B394" s="1">
        <v>45117</v>
      </c>
      <c r="C394" s="1">
        <v>45118</v>
      </c>
      <c r="D394" s="4">
        <f t="shared" si="72"/>
        <v>1</v>
      </c>
      <c r="E394" s="4" t="str">
        <f>TEXT(Table1[[#This Row],[Order_Date]],"dddd")</f>
        <v>Monday</v>
      </c>
      <c r="F394" s="4">
        <f t="shared" si="73"/>
        <v>7</v>
      </c>
      <c r="G394" t="str">
        <f t="shared" si="76"/>
        <v>July</v>
      </c>
      <c r="H394">
        <f t="shared" si="77"/>
        <v>2023</v>
      </c>
      <c r="I394" t="str">
        <f t="shared" si="78"/>
        <v>2023-Q3</v>
      </c>
      <c r="J394" t="s">
        <v>21</v>
      </c>
      <c r="K394" t="s">
        <v>3903</v>
      </c>
      <c r="L394" t="s">
        <v>3904</v>
      </c>
      <c r="M394" t="s">
        <v>47</v>
      </c>
      <c r="N394" t="s">
        <v>25</v>
      </c>
      <c r="O394" t="s">
        <v>73</v>
      </c>
      <c r="P394" t="s">
        <v>74</v>
      </c>
      <c r="Q394" t="s">
        <v>66</v>
      </c>
      <c r="R394" t="s">
        <v>3905</v>
      </c>
      <c r="S394" t="s">
        <v>30</v>
      </c>
      <c r="T394" t="s">
        <v>41</v>
      </c>
      <c r="U394" t="s">
        <v>3906</v>
      </c>
      <c r="V394" s="3">
        <v>1121.8800000000001</v>
      </c>
      <c r="W394" s="4">
        <v>9</v>
      </c>
      <c r="X394" s="2">
        <v>0.4</v>
      </c>
      <c r="Y394" s="3">
        <v>-16.27</v>
      </c>
      <c r="Z394" t="str">
        <f t="shared" si="74"/>
        <v>Normal</v>
      </c>
      <c r="AA394" t="str">
        <f t="shared" si="75"/>
        <v>High</v>
      </c>
      <c r="AB394" t="str">
        <f t="shared" si="79"/>
        <v>Loss</v>
      </c>
      <c r="AC394" s="3">
        <f t="shared" si="80"/>
        <v>-1.4502442328947835E-2</v>
      </c>
      <c r="AD394" s="3">
        <f t="shared" si="81"/>
        <v>124.65333333333335</v>
      </c>
      <c r="AE394" s="3">
        <f t="shared" si="82"/>
        <v>-1.8077777777777777</v>
      </c>
      <c r="AF394" t="str">
        <f t="shared" si="83"/>
        <v>Regular</v>
      </c>
    </row>
    <row r="395" spans="1:32" x14ac:dyDescent="0.25">
      <c r="A395" t="s">
        <v>3731</v>
      </c>
      <c r="B395" s="1">
        <v>45117</v>
      </c>
      <c r="C395" s="1">
        <v>45127</v>
      </c>
      <c r="D395" s="4">
        <f t="shared" si="72"/>
        <v>10</v>
      </c>
      <c r="E395" s="4" t="str">
        <f>TEXT(Table1[[#This Row],[Order_Date]],"dddd")</f>
        <v>Monday</v>
      </c>
      <c r="F395" s="4">
        <f t="shared" si="73"/>
        <v>7</v>
      </c>
      <c r="G395" t="str">
        <f t="shared" si="76"/>
        <v>July</v>
      </c>
      <c r="H395">
        <f t="shared" si="77"/>
        <v>2023</v>
      </c>
      <c r="I395" t="str">
        <f t="shared" si="78"/>
        <v>2023-Q3</v>
      </c>
      <c r="J395" t="s">
        <v>44</v>
      </c>
      <c r="K395" t="s">
        <v>3732</v>
      </c>
      <c r="L395" t="s">
        <v>3733</v>
      </c>
      <c r="M395" t="s">
        <v>47</v>
      </c>
      <c r="N395" t="s">
        <v>25</v>
      </c>
      <c r="O395" t="s">
        <v>451</v>
      </c>
      <c r="P395" t="s">
        <v>38</v>
      </c>
      <c r="Q395" t="s">
        <v>39</v>
      </c>
      <c r="R395" t="s">
        <v>3734</v>
      </c>
      <c r="S395" t="s">
        <v>59</v>
      </c>
      <c r="T395" t="s">
        <v>60</v>
      </c>
      <c r="U395" t="s">
        <v>3735</v>
      </c>
      <c r="V395" s="3">
        <v>2690.97</v>
      </c>
      <c r="W395" s="4">
        <v>3</v>
      </c>
      <c r="X395" s="2">
        <v>0</v>
      </c>
      <c r="Y395" s="3">
        <v>381.83</v>
      </c>
      <c r="Z395" t="str">
        <f t="shared" si="74"/>
        <v>Normal</v>
      </c>
      <c r="AA395" t="str">
        <f t="shared" si="75"/>
        <v>Low</v>
      </c>
      <c r="AB395" t="str">
        <f t="shared" si="79"/>
        <v>Low Profit</v>
      </c>
      <c r="AC395" s="3">
        <f t="shared" si="80"/>
        <v>0.14189307201492399</v>
      </c>
      <c r="AD395" s="3">
        <f t="shared" si="81"/>
        <v>896.9899999999999</v>
      </c>
      <c r="AE395" s="3">
        <f t="shared" si="82"/>
        <v>127.27666666666666</v>
      </c>
      <c r="AF395" t="str">
        <f t="shared" si="83"/>
        <v>Regular</v>
      </c>
    </row>
    <row r="396" spans="1:32" x14ac:dyDescent="0.25">
      <c r="A396" t="s">
        <v>6278</v>
      </c>
      <c r="B396" s="1">
        <v>45117</v>
      </c>
      <c r="C396" s="1">
        <v>45127</v>
      </c>
      <c r="D396" s="4">
        <f t="shared" si="72"/>
        <v>10</v>
      </c>
      <c r="E396" s="4" t="str">
        <f>TEXT(Table1[[#This Row],[Order_Date]],"dddd")</f>
        <v>Monday</v>
      </c>
      <c r="F396" s="4">
        <f t="shared" si="73"/>
        <v>7</v>
      </c>
      <c r="G396" t="str">
        <f t="shared" si="76"/>
        <v>July</v>
      </c>
      <c r="H396">
        <f t="shared" si="77"/>
        <v>2023</v>
      </c>
      <c r="I396" t="str">
        <f t="shared" si="78"/>
        <v>2023-Q3</v>
      </c>
      <c r="J396" t="s">
        <v>55</v>
      </c>
      <c r="K396" t="s">
        <v>6279</v>
      </c>
      <c r="L396" t="s">
        <v>6280</v>
      </c>
      <c r="M396" t="s">
        <v>36</v>
      </c>
      <c r="N396" t="s">
        <v>25</v>
      </c>
      <c r="O396" t="s">
        <v>611</v>
      </c>
      <c r="P396" t="s">
        <v>74</v>
      </c>
      <c r="Q396" t="s">
        <v>66</v>
      </c>
      <c r="R396" t="s">
        <v>6281</v>
      </c>
      <c r="S396" t="s">
        <v>51</v>
      </c>
      <c r="T396" t="s">
        <v>151</v>
      </c>
      <c r="U396" t="s">
        <v>6282</v>
      </c>
      <c r="V396" s="3">
        <v>329.63</v>
      </c>
      <c r="W396" s="4">
        <v>8</v>
      </c>
      <c r="X396" s="2">
        <v>0</v>
      </c>
      <c r="Y396" s="3">
        <v>24.79</v>
      </c>
      <c r="Z396" t="str">
        <f t="shared" si="74"/>
        <v>Normal</v>
      </c>
      <c r="AA396" t="str">
        <f t="shared" si="75"/>
        <v>Low</v>
      </c>
      <c r="AB396" t="str">
        <f t="shared" si="79"/>
        <v>Low Profit</v>
      </c>
      <c r="AC396" s="3">
        <f t="shared" si="80"/>
        <v>7.5205533476928682E-2</v>
      </c>
      <c r="AD396" s="3">
        <f t="shared" si="81"/>
        <v>41.203749999999999</v>
      </c>
      <c r="AE396" s="3">
        <f t="shared" si="82"/>
        <v>3.0987499999999999</v>
      </c>
      <c r="AF396" t="str">
        <f t="shared" si="83"/>
        <v>Regular</v>
      </c>
    </row>
    <row r="397" spans="1:32" x14ac:dyDescent="0.25">
      <c r="A397" t="s">
        <v>6520</v>
      </c>
      <c r="B397" s="1">
        <v>45118</v>
      </c>
      <c r="C397" s="1">
        <v>45124</v>
      </c>
      <c r="D397" s="4">
        <f t="shared" si="72"/>
        <v>6</v>
      </c>
      <c r="E397" s="4" t="str">
        <f>TEXT(Table1[[#This Row],[Order_Date]],"dddd")</f>
        <v>Tuesday</v>
      </c>
      <c r="F397" s="4">
        <f t="shared" si="73"/>
        <v>7</v>
      </c>
      <c r="G397" t="str">
        <f t="shared" si="76"/>
        <v>July</v>
      </c>
      <c r="H397">
        <f t="shared" si="77"/>
        <v>2023</v>
      </c>
      <c r="I397" t="str">
        <f t="shared" si="78"/>
        <v>2023-Q3</v>
      </c>
      <c r="J397" t="s">
        <v>21</v>
      </c>
      <c r="K397" t="s">
        <v>6521</v>
      </c>
      <c r="L397" t="s">
        <v>6522</v>
      </c>
      <c r="M397" t="s">
        <v>47</v>
      </c>
      <c r="N397" t="s">
        <v>25</v>
      </c>
      <c r="O397" t="s">
        <v>179</v>
      </c>
      <c r="P397" t="s">
        <v>27</v>
      </c>
      <c r="Q397" t="s">
        <v>39</v>
      </c>
      <c r="R397" t="s">
        <v>6523</v>
      </c>
      <c r="S397" t="s">
        <v>30</v>
      </c>
      <c r="T397" t="s">
        <v>31</v>
      </c>
      <c r="U397" t="s">
        <v>6524</v>
      </c>
      <c r="V397" s="3">
        <v>4907.97</v>
      </c>
      <c r="W397" s="4">
        <v>4</v>
      </c>
      <c r="X397" s="2">
        <v>0.1</v>
      </c>
      <c r="Y397" s="3">
        <v>-966.15</v>
      </c>
      <c r="Z397" t="str">
        <f t="shared" si="74"/>
        <v>Outlier</v>
      </c>
      <c r="AA397" t="str">
        <f t="shared" si="75"/>
        <v>Medium</v>
      </c>
      <c r="AB397" t="str">
        <f t="shared" si="79"/>
        <v>Loss</v>
      </c>
      <c r="AC397" s="3">
        <f t="shared" si="80"/>
        <v>-0.19685328149927564</v>
      </c>
      <c r="AD397" s="3">
        <f t="shared" si="81"/>
        <v>1226.9925000000001</v>
      </c>
      <c r="AE397" s="3">
        <f t="shared" si="82"/>
        <v>-241.53749999999999</v>
      </c>
      <c r="AF397" t="str">
        <f t="shared" si="83"/>
        <v>Regular</v>
      </c>
    </row>
    <row r="398" spans="1:32" x14ac:dyDescent="0.25">
      <c r="A398" t="s">
        <v>7367</v>
      </c>
      <c r="B398" s="1">
        <v>45118</v>
      </c>
      <c r="C398" s="1">
        <v>45121</v>
      </c>
      <c r="D398" s="4">
        <f t="shared" si="72"/>
        <v>3</v>
      </c>
      <c r="E398" s="4" t="str">
        <f>TEXT(Table1[[#This Row],[Order_Date]],"dddd")</f>
        <v>Tuesday</v>
      </c>
      <c r="F398" s="4">
        <f t="shared" si="73"/>
        <v>7</v>
      </c>
      <c r="G398" t="str">
        <f t="shared" si="76"/>
        <v>July</v>
      </c>
      <c r="H398">
        <f t="shared" si="77"/>
        <v>2023</v>
      </c>
      <c r="I398" t="str">
        <f t="shared" si="78"/>
        <v>2023-Q3</v>
      </c>
      <c r="J398" t="s">
        <v>55</v>
      </c>
      <c r="K398" t="s">
        <v>7368</v>
      </c>
      <c r="L398" t="s">
        <v>7369</v>
      </c>
      <c r="M398" t="s">
        <v>24</v>
      </c>
      <c r="N398" t="s">
        <v>25</v>
      </c>
      <c r="O398" t="s">
        <v>113</v>
      </c>
      <c r="P398" t="s">
        <v>113</v>
      </c>
      <c r="Q398" t="s">
        <v>28</v>
      </c>
      <c r="R398" t="s">
        <v>7370</v>
      </c>
      <c r="S398" t="s">
        <v>30</v>
      </c>
      <c r="T398" t="s">
        <v>31</v>
      </c>
      <c r="U398" t="s">
        <v>7371</v>
      </c>
      <c r="V398" s="3">
        <v>966.6</v>
      </c>
      <c r="W398" s="4">
        <v>3</v>
      </c>
      <c r="X398" s="2">
        <v>0.3</v>
      </c>
      <c r="Y398" s="3">
        <v>72.150000000000006</v>
      </c>
      <c r="Z398" t="str">
        <f t="shared" si="74"/>
        <v>Normal</v>
      </c>
      <c r="AA398" t="str">
        <f t="shared" si="75"/>
        <v>High</v>
      </c>
      <c r="AB398" t="str">
        <f t="shared" si="79"/>
        <v>Low Profit</v>
      </c>
      <c r="AC398" s="3">
        <f t="shared" si="80"/>
        <v>7.4643078833022972E-2</v>
      </c>
      <c r="AD398" s="3">
        <f t="shared" si="81"/>
        <v>322.2</v>
      </c>
      <c r="AE398" s="3">
        <f t="shared" si="82"/>
        <v>24.05</v>
      </c>
      <c r="AF398" t="str">
        <f t="shared" si="83"/>
        <v>Regular</v>
      </c>
    </row>
    <row r="399" spans="1:32" x14ac:dyDescent="0.25">
      <c r="A399" t="s">
        <v>5048</v>
      </c>
      <c r="B399" s="1">
        <v>45118</v>
      </c>
      <c r="C399" s="1">
        <v>45123</v>
      </c>
      <c r="D399" s="4">
        <f t="shared" si="72"/>
        <v>5</v>
      </c>
      <c r="E399" s="4" t="str">
        <f>TEXT(Table1[[#This Row],[Order_Date]],"dddd")</f>
        <v>Tuesday</v>
      </c>
      <c r="F399" s="4">
        <f t="shared" si="73"/>
        <v>7</v>
      </c>
      <c r="G399" t="str">
        <f t="shared" si="76"/>
        <v>July</v>
      </c>
      <c r="H399">
        <f t="shared" si="77"/>
        <v>2023</v>
      </c>
      <c r="I399" t="str">
        <f t="shared" si="78"/>
        <v>2023-Q3</v>
      </c>
      <c r="J399" t="s">
        <v>104</v>
      </c>
      <c r="K399" t="s">
        <v>5049</v>
      </c>
      <c r="L399" t="s">
        <v>5050</v>
      </c>
      <c r="M399" t="s">
        <v>36</v>
      </c>
      <c r="N399" t="s">
        <v>25</v>
      </c>
      <c r="O399" t="s">
        <v>611</v>
      </c>
      <c r="P399" t="s">
        <v>74</v>
      </c>
      <c r="Q399" t="s">
        <v>87</v>
      </c>
      <c r="R399" t="s">
        <v>5051</v>
      </c>
      <c r="S399" t="s">
        <v>51</v>
      </c>
      <c r="T399" t="s">
        <v>94</v>
      </c>
      <c r="U399" t="s">
        <v>5052</v>
      </c>
      <c r="V399" s="3">
        <v>2964.84</v>
      </c>
      <c r="W399" s="4">
        <v>5</v>
      </c>
      <c r="X399" s="2">
        <v>0.3</v>
      </c>
      <c r="Y399" s="3">
        <v>-4.6500000000000004</v>
      </c>
      <c r="Z399" t="str">
        <f t="shared" si="74"/>
        <v>Normal</v>
      </c>
      <c r="AA399" t="str">
        <f t="shared" si="75"/>
        <v>High</v>
      </c>
      <c r="AB399" t="str">
        <f t="shared" si="79"/>
        <v>Loss</v>
      </c>
      <c r="AC399" s="3">
        <f t="shared" si="80"/>
        <v>-1.5683814303638645E-3</v>
      </c>
      <c r="AD399" s="3">
        <f t="shared" si="81"/>
        <v>592.96800000000007</v>
      </c>
      <c r="AE399" s="3">
        <f t="shared" si="82"/>
        <v>-0.93</v>
      </c>
      <c r="AF399" t="str">
        <f t="shared" si="83"/>
        <v>Regular</v>
      </c>
    </row>
    <row r="400" spans="1:32" x14ac:dyDescent="0.25">
      <c r="A400" t="s">
        <v>2021</v>
      </c>
      <c r="B400" s="1">
        <v>45119</v>
      </c>
      <c r="C400" s="1">
        <v>45122</v>
      </c>
      <c r="D400" s="4">
        <f t="shared" si="72"/>
        <v>3</v>
      </c>
      <c r="E400" s="4" t="str">
        <f>TEXT(Table1[[#This Row],[Order_Date]],"dddd")</f>
        <v>Wednesday</v>
      </c>
      <c r="F400" s="4">
        <f t="shared" si="73"/>
        <v>7</v>
      </c>
      <c r="G400" t="str">
        <f t="shared" si="76"/>
        <v>July</v>
      </c>
      <c r="H400">
        <f t="shared" si="77"/>
        <v>2023</v>
      </c>
      <c r="I400" t="str">
        <f t="shared" si="78"/>
        <v>2023-Q3</v>
      </c>
      <c r="J400" t="s">
        <v>104</v>
      </c>
      <c r="K400" t="s">
        <v>2022</v>
      </c>
      <c r="L400" t="s">
        <v>2023</v>
      </c>
      <c r="M400" t="s">
        <v>36</v>
      </c>
      <c r="N400" t="s">
        <v>25</v>
      </c>
      <c r="O400" t="s">
        <v>382</v>
      </c>
      <c r="P400" t="s">
        <v>38</v>
      </c>
      <c r="Q400" t="s">
        <v>87</v>
      </c>
      <c r="R400" t="s">
        <v>2024</v>
      </c>
      <c r="S400" t="s">
        <v>59</v>
      </c>
      <c r="T400" t="s">
        <v>101</v>
      </c>
      <c r="U400" t="s">
        <v>1389</v>
      </c>
      <c r="V400" s="3">
        <v>2446.9499999999998</v>
      </c>
      <c r="W400" s="4">
        <v>1</v>
      </c>
      <c r="X400" s="2">
        <v>0.2</v>
      </c>
      <c r="Y400" s="3">
        <v>-240.85</v>
      </c>
      <c r="Z400" t="str">
        <f t="shared" si="74"/>
        <v>Normal</v>
      </c>
      <c r="AA400" t="str">
        <f t="shared" si="75"/>
        <v>High</v>
      </c>
      <c r="AB400" t="str">
        <f t="shared" si="79"/>
        <v>Loss</v>
      </c>
      <c r="AC400" s="3">
        <f t="shared" si="80"/>
        <v>-9.8428656082061347E-2</v>
      </c>
      <c r="AD400" s="3">
        <f t="shared" si="81"/>
        <v>2446.9499999999998</v>
      </c>
      <c r="AE400" s="3">
        <f t="shared" si="82"/>
        <v>-240.85</v>
      </c>
      <c r="AF400" t="str">
        <f t="shared" si="83"/>
        <v>Regular</v>
      </c>
    </row>
    <row r="401" spans="1:32" x14ac:dyDescent="0.25">
      <c r="A401" t="s">
        <v>5109</v>
      </c>
      <c r="B401" s="1">
        <v>45121</v>
      </c>
      <c r="C401" s="1">
        <v>45127</v>
      </c>
      <c r="D401" s="4">
        <f t="shared" si="72"/>
        <v>6</v>
      </c>
      <c r="E401" s="4" t="str">
        <f>TEXT(Table1[[#This Row],[Order_Date]],"dddd")</f>
        <v>Friday</v>
      </c>
      <c r="F401" s="4">
        <f t="shared" si="73"/>
        <v>7</v>
      </c>
      <c r="G401" t="str">
        <f t="shared" si="76"/>
        <v>July</v>
      </c>
      <c r="H401">
        <f t="shared" si="77"/>
        <v>2023</v>
      </c>
      <c r="I401" t="str">
        <f t="shared" si="78"/>
        <v>2023-Q3</v>
      </c>
      <c r="J401" t="s">
        <v>55</v>
      </c>
      <c r="K401" t="s">
        <v>5110</v>
      </c>
      <c r="L401" t="s">
        <v>5111</v>
      </c>
      <c r="M401" t="s">
        <v>36</v>
      </c>
      <c r="N401" t="s">
        <v>25</v>
      </c>
      <c r="O401" t="s">
        <v>65</v>
      </c>
      <c r="P401" t="s">
        <v>27</v>
      </c>
      <c r="Q401" t="s">
        <v>39</v>
      </c>
      <c r="R401" t="s">
        <v>5112</v>
      </c>
      <c r="S401" t="s">
        <v>59</v>
      </c>
      <c r="T401" t="s">
        <v>303</v>
      </c>
      <c r="U401" t="s">
        <v>5113</v>
      </c>
      <c r="V401" s="3">
        <v>4385.97</v>
      </c>
      <c r="W401" s="4">
        <v>1</v>
      </c>
      <c r="X401" s="2">
        <v>0.3</v>
      </c>
      <c r="Y401" s="3">
        <v>20.13</v>
      </c>
      <c r="Z401" t="str">
        <f t="shared" si="74"/>
        <v>Normal</v>
      </c>
      <c r="AA401" t="str">
        <f t="shared" si="75"/>
        <v>High</v>
      </c>
      <c r="AB401" t="str">
        <f t="shared" si="79"/>
        <v>Low Profit</v>
      </c>
      <c r="AC401" s="3">
        <f t="shared" si="80"/>
        <v>4.5896346760237756E-3</v>
      </c>
      <c r="AD401" s="3">
        <f t="shared" si="81"/>
        <v>4385.97</v>
      </c>
      <c r="AE401" s="3">
        <f t="shared" si="82"/>
        <v>20.13</v>
      </c>
      <c r="AF401" t="str">
        <f t="shared" si="83"/>
        <v>Regular</v>
      </c>
    </row>
    <row r="402" spans="1:32" x14ac:dyDescent="0.25">
      <c r="A402" t="s">
        <v>2221</v>
      </c>
      <c r="B402" s="1">
        <v>45121</v>
      </c>
      <c r="C402" s="1">
        <v>45122</v>
      </c>
      <c r="D402" s="4">
        <f t="shared" si="72"/>
        <v>1</v>
      </c>
      <c r="E402" s="4" t="str">
        <f>TEXT(Table1[[#This Row],[Order_Date]],"dddd")</f>
        <v>Friday</v>
      </c>
      <c r="F402" s="4">
        <f t="shared" si="73"/>
        <v>7</v>
      </c>
      <c r="G402" t="str">
        <f t="shared" si="76"/>
        <v>July</v>
      </c>
      <c r="H402">
        <f t="shared" si="77"/>
        <v>2023</v>
      </c>
      <c r="I402" t="str">
        <f t="shared" si="78"/>
        <v>2023-Q3</v>
      </c>
      <c r="J402" t="s">
        <v>21</v>
      </c>
      <c r="K402" t="s">
        <v>2222</v>
      </c>
      <c r="L402" t="s">
        <v>2223</v>
      </c>
      <c r="M402" t="s">
        <v>47</v>
      </c>
      <c r="N402" t="s">
        <v>25</v>
      </c>
      <c r="O402" t="s">
        <v>26</v>
      </c>
      <c r="P402" t="s">
        <v>27</v>
      </c>
      <c r="Q402" t="s">
        <v>28</v>
      </c>
      <c r="R402" t="s">
        <v>2224</v>
      </c>
      <c r="S402" t="s">
        <v>51</v>
      </c>
      <c r="T402" t="s">
        <v>94</v>
      </c>
      <c r="U402" t="s">
        <v>2225</v>
      </c>
      <c r="V402" s="3">
        <v>2315.12</v>
      </c>
      <c r="W402" s="4">
        <v>8</v>
      </c>
      <c r="X402" s="2">
        <v>0.1</v>
      </c>
      <c r="Y402" s="3">
        <v>153.08000000000001</v>
      </c>
      <c r="Z402" t="str">
        <f t="shared" si="74"/>
        <v>Normal</v>
      </c>
      <c r="AA402" t="str">
        <f t="shared" si="75"/>
        <v>Medium</v>
      </c>
      <c r="AB402" t="str">
        <f t="shared" si="79"/>
        <v>Low Profit</v>
      </c>
      <c r="AC402" s="3">
        <f t="shared" si="80"/>
        <v>6.6121842496285305E-2</v>
      </c>
      <c r="AD402" s="3">
        <f t="shared" si="81"/>
        <v>289.39</v>
      </c>
      <c r="AE402" s="3">
        <f t="shared" si="82"/>
        <v>19.135000000000002</v>
      </c>
      <c r="AF402" t="str">
        <f t="shared" si="83"/>
        <v>Regular</v>
      </c>
    </row>
    <row r="403" spans="1:32" x14ac:dyDescent="0.25">
      <c r="A403" t="s">
        <v>6200</v>
      </c>
      <c r="B403" s="1">
        <v>45121</v>
      </c>
      <c r="C403" s="1">
        <v>45125</v>
      </c>
      <c r="D403" s="4">
        <f t="shared" si="72"/>
        <v>4</v>
      </c>
      <c r="E403" s="4" t="str">
        <f>TEXT(Table1[[#This Row],[Order_Date]],"dddd")</f>
        <v>Friday</v>
      </c>
      <c r="F403" s="4">
        <f t="shared" si="73"/>
        <v>7</v>
      </c>
      <c r="G403" t="str">
        <f t="shared" si="76"/>
        <v>July</v>
      </c>
      <c r="H403">
        <f t="shared" si="77"/>
        <v>2023</v>
      </c>
      <c r="I403" t="str">
        <f t="shared" si="78"/>
        <v>2023-Q3</v>
      </c>
      <c r="J403" t="s">
        <v>44</v>
      </c>
      <c r="K403" t="s">
        <v>6201</v>
      </c>
      <c r="L403" t="s">
        <v>6202</v>
      </c>
      <c r="M403" t="s">
        <v>24</v>
      </c>
      <c r="N403" t="s">
        <v>25</v>
      </c>
      <c r="O403" t="s">
        <v>26</v>
      </c>
      <c r="P403" t="s">
        <v>27</v>
      </c>
      <c r="Q403" t="s">
        <v>87</v>
      </c>
      <c r="R403" t="s">
        <v>6203</v>
      </c>
      <c r="S403" t="s">
        <v>59</v>
      </c>
      <c r="T403" t="s">
        <v>303</v>
      </c>
      <c r="U403" t="s">
        <v>6204</v>
      </c>
      <c r="V403" s="3">
        <v>4159.04</v>
      </c>
      <c r="W403" s="4">
        <v>4</v>
      </c>
      <c r="X403" s="2">
        <v>0</v>
      </c>
      <c r="Y403" s="3">
        <v>1236.17</v>
      </c>
      <c r="Z403" t="str">
        <f t="shared" si="74"/>
        <v>Outlier</v>
      </c>
      <c r="AA403" t="str">
        <f t="shared" si="75"/>
        <v>Low</v>
      </c>
      <c r="AB403" t="str">
        <f t="shared" si="79"/>
        <v>High Profit</v>
      </c>
      <c r="AC403" s="3">
        <f t="shared" si="80"/>
        <v>0.29722484034777258</v>
      </c>
      <c r="AD403" s="3">
        <f t="shared" si="81"/>
        <v>1039.76</v>
      </c>
      <c r="AE403" s="3">
        <f t="shared" si="82"/>
        <v>309.04250000000002</v>
      </c>
      <c r="AF403" t="str">
        <f t="shared" si="83"/>
        <v>Regular</v>
      </c>
    </row>
    <row r="404" spans="1:32" x14ac:dyDescent="0.25">
      <c r="A404" t="s">
        <v>474</v>
      </c>
      <c r="B404" s="1">
        <v>45121</v>
      </c>
      <c r="C404" s="1">
        <v>45124</v>
      </c>
      <c r="D404" s="4">
        <f t="shared" si="72"/>
        <v>3</v>
      </c>
      <c r="E404" s="4" t="str">
        <f>TEXT(Table1[[#This Row],[Order_Date]],"dddd")</f>
        <v>Friday</v>
      </c>
      <c r="F404" s="4">
        <f t="shared" si="73"/>
        <v>7</v>
      </c>
      <c r="G404" t="str">
        <f t="shared" si="76"/>
        <v>July</v>
      </c>
      <c r="H404">
        <f t="shared" si="77"/>
        <v>2023</v>
      </c>
      <c r="I404" t="str">
        <f t="shared" si="78"/>
        <v>2023-Q3</v>
      </c>
      <c r="J404" t="s">
        <v>55</v>
      </c>
      <c r="K404" t="s">
        <v>475</v>
      </c>
      <c r="L404" t="s">
        <v>476</v>
      </c>
      <c r="M404" t="s">
        <v>24</v>
      </c>
      <c r="N404" t="s">
        <v>25</v>
      </c>
      <c r="O404" t="s">
        <v>179</v>
      </c>
      <c r="P404" t="s">
        <v>27</v>
      </c>
      <c r="Q404" t="s">
        <v>66</v>
      </c>
      <c r="R404" t="s">
        <v>477</v>
      </c>
      <c r="S404" t="s">
        <v>59</v>
      </c>
      <c r="T404" t="s">
        <v>101</v>
      </c>
      <c r="U404" t="s">
        <v>478</v>
      </c>
      <c r="V404" s="3">
        <v>1781.99</v>
      </c>
      <c r="W404" s="4">
        <v>9</v>
      </c>
      <c r="X404" s="2">
        <v>0.3</v>
      </c>
      <c r="Y404" s="3">
        <v>333.9</v>
      </c>
      <c r="Z404" t="str">
        <f t="shared" si="74"/>
        <v>Normal</v>
      </c>
      <c r="AA404" t="str">
        <f t="shared" si="75"/>
        <v>High</v>
      </c>
      <c r="AB404" t="str">
        <f t="shared" si="79"/>
        <v>Low Profit</v>
      </c>
      <c r="AC404" s="3">
        <f t="shared" si="80"/>
        <v>0.18737478885964567</v>
      </c>
      <c r="AD404" s="3">
        <f t="shared" si="81"/>
        <v>197.9988888888889</v>
      </c>
      <c r="AE404" s="3">
        <f t="shared" si="82"/>
        <v>37.099999999999994</v>
      </c>
      <c r="AF404" t="str">
        <f t="shared" si="83"/>
        <v>Regular</v>
      </c>
    </row>
    <row r="405" spans="1:32" x14ac:dyDescent="0.25">
      <c r="A405" t="s">
        <v>2661</v>
      </c>
      <c r="B405" s="1">
        <v>45121</v>
      </c>
      <c r="C405" s="1">
        <v>45126</v>
      </c>
      <c r="D405" s="4">
        <f t="shared" si="72"/>
        <v>5</v>
      </c>
      <c r="E405" s="4" t="str">
        <f>TEXT(Table1[[#This Row],[Order_Date]],"dddd")</f>
        <v>Friday</v>
      </c>
      <c r="F405" s="4">
        <f t="shared" si="73"/>
        <v>7</v>
      </c>
      <c r="G405" t="str">
        <f t="shared" si="76"/>
        <v>July</v>
      </c>
      <c r="H405">
        <f t="shared" si="77"/>
        <v>2023</v>
      </c>
      <c r="I405" t="str">
        <f t="shared" si="78"/>
        <v>2023-Q3</v>
      </c>
      <c r="J405" t="s">
        <v>44</v>
      </c>
      <c r="K405" t="s">
        <v>2662</v>
      </c>
      <c r="L405" t="s">
        <v>2663</v>
      </c>
      <c r="M405" t="s">
        <v>36</v>
      </c>
      <c r="N405" t="s">
        <v>25</v>
      </c>
      <c r="O405" t="s">
        <v>119</v>
      </c>
      <c r="P405" t="s">
        <v>120</v>
      </c>
      <c r="Q405" t="s">
        <v>39</v>
      </c>
      <c r="R405" t="s">
        <v>2664</v>
      </c>
      <c r="S405" t="s">
        <v>59</v>
      </c>
      <c r="T405" t="s">
        <v>303</v>
      </c>
      <c r="U405" t="s">
        <v>2665</v>
      </c>
      <c r="V405" s="3">
        <v>547.65</v>
      </c>
      <c r="W405" s="4">
        <v>5</v>
      </c>
      <c r="X405" s="2">
        <v>0.3</v>
      </c>
      <c r="Y405" s="3">
        <v>-33.97</v>
      </c>
      <c r="Z405" t="str">
        <f t="shared" si="74"/>
        <v>Normal</v>
      </c>
      <c r="AA405" t="str">
        <f t="shared" si="75"/>
        <v>High</v>
      </c>
      <c r="AB405" t="str">
        <f t="shared" si="79"/>
        <v>Loss</v>
      </c>
      <c r="AC405" s="3">
        <f t="shared" si="80"/>
        <v>-6.2028667944855294E-2</v>
      </c>
      <c r="AD405" s="3">
        <f t="shared" si="81"/>
        <v>109.53</v>
      </c>
      <c r="AE405" s="3">
        <f t="shared" si="82"/>
        <v>-6.7939999999999996</v>
      </c>
      <c r="AF405" t="str">
        <f t="shared" si="83"/>
        <v>Regular</v>
      </c>
    </row>
    <row r="406" spans="1:32" x14ac:dyDescent="0.25">
      <c r="A406" t="s">
        <v>4027</v>
      </c>
      <c r="B406" s="1">
        <v>45121</v>
      </c>
      <c r="C406" s="1">
        <v>45127</v>
      </c>
      <c r="D406" s="4">
        <f t="shared" si="72"/>
        <v>6</v>
      </c>
      <c r="E406" s="4" t="str">
        <f>TEXT(Table1[[#This Row],[Order_Date]],"dddd")</f>
        <v>Friday</v>
      </c>
      <c r="F406" s="4">
        <f t="shared" si="73"/>
        <v>7</v>
      </c>
      <c r="G406" t="str">
        <f t="shared" si="76"/>
        <v>July</v>
      </c>
      <c r="H406">
        <f t="shared" si="77"/>
        <v>2023</v>
      </c>
      <c r="I406" t="str">
        <f t="shared" si="78"/>
        <v>2023-Q3</v>
      </c>
      <c r="J406" t="s">
        <v>55</v>
      </c>
      <c r="K406" t="s">
        <v>4028</v>
      </c>
      <c r="L406" t="s">
        <v>4029</v>
      </c>
      <c r="M406" t="s">
        <v>47</v>
      </c>
      <c r="N406" t="s">
        <v>25</v>
      </c>
      <c r="O406" t="s">
        <v>119</v>
      </c>
      <c r="P406" t="s">
        <v>120</v>
      </c>
      <c r="Q406" t="s">
        <v>28</v>
      </c>
      <c r="R406" t="s">
        <v>4030</v>
      </c>
      <c r="S406" t="s">
        <v>51</v>
      </c>
      <c r="T406" t="s">
        <v>94</v>
      </c>
      <c r="U406" t="s">
        <v>4031</v>
      </c>
      <c r="V406" s="3">
        <v>1928.52</v>
      </c>
      <c r="W406" s="4">
        <v>3</v>
      </c>
      <c r="X406" s="2">
        <v>0.4</v>
      </c>
      <c r="Y406" s="3">
        <v>453.08</v>
      </c>
      <c r="Z406" t="str">
        <f t="shared" si="74"/>
        <v>Normal</v>
      </c>
      <c r="AA406" t="str">
        <f t="shared" si="75"/>
        <v>High</v>
      </c>
      <c r="AB406" t="str">
        <f t="shared" si="79"/>
        <v>Low Profit</v>
      </c>
      <c r="AC406" s="3">
        <f t="shared" si="80"/>
        <v>0.23493663534731296</v>
      </c>
      <c r="AD406" s="3">
        <f t="shared" si="81"/>
        <v>642.84</v>
      </c>
      <c r="AE406" s="3">
        <f t="shared" si="82"/>
        <v>151.02666666666667</v>
      </c>
      <c r="AF406" t="str">
        <f t="shared" si="83"/>
        <v>Regular</v>
      </c>
    </row>
    <row r="407" spans="1:32" x14ac:dyDescent="0.25">
      <c r="A407" t="s">
        <v>5787</v>
      </c>
      <c r="B407" s="1">
        <v>45121</v>
      </c>
      <c r="C407" s="1">
        <v>45129</v>
      </c>
      <c r="D407" s="4">
        <f t="shared" si="72"/>
        <v>8</v>
      </c>
      <c r="E407" s="4" t="str">
        <f>TEXT(Table1[[#This Row],[Order_Date]],"dddd")</f>
        <v>Friday</v>
      </c>
      <c r="F407" s="4">
        <f t="shared" si="73"/>
        <v>7</v>
      </c>
      <c r="G407" t="str">
        <f t="shared" si="76"/>
        <v>July</v>
      </c>
      <c r="H407">
        <f t="shared" si="77"/>
        <v>2023</v>
      </c>
      <c r="I407" t="str">
        <f t="shared" si="78"/>
        <v>2023-Q3</v>
      </c>
      <c r="J407" t="s">
        <v>21</v>
      </c>
      <c r="K407" t="s">
        <v>5788</v>
      </c>
      <c r="L407" t="s">
        <v>5789</v>
      </c>
      <c r="M407" t="s">
        <v>24</v>
      </c>
      <c r="N407" t="s">
        <v>25</v>
      </c>
      <c r="O407" t="s">
        <v>611</v>
      </c>
      <c r="P407" t="s">
        <v>74</v>
      </c>
      <c r="Q407" t="s">
        <v>87</v>
      </c>
      <c r="R407" t="s">
        <v>5790</v>
      </c>
      <c r="S407" t="s">
        <v>30</v>
      </c>
      <c r="T407" t="s">
        <v>31</v>
      </c>
      <c r="U407" t="s">
        <v>5791</v>
      </c>
      <c r="V407" s="3">
        <v>2056.9499999999998</v>
      </c>
      <c r="W407" s="4">
        <v>1</v>
      </c>
      <c r="X407" s="2">
        <v>0.4</v>
      </c>
      <c r="Y407" s="3">
        <v>234.93</v>
      </c>
      <c r="Z407" t="str">
        <f t="shared" si="74"/>
        <v>Normal</v>
      </c>
      <c r="AA407" t="str">
        <f t="shared" si="75"/>
        <v>High</v>
      </c>
      <c r="AB407" t="str">
        <f t="shared" si="79"/>
        <v>Low Profit</v>
      </c>
      <c r="AC407" s="3">
        <f t="shared" si="80"/>
        <v>0.11421279078246921</v>
      </c>
      <c r="AD407" s="3">
        <f t="shared" si="81"/>
        <v>2056.9499999999998</v>
      </c>
      <c r="AE407" s="3">
        <f t="shared" si="82"/>
        <v>234.93</v>
      </c>
      <c r="AF407" t="str">
        <f t="shared" si="83"/>
        <v>Regular</v>
      </c>
    </row>
    <row r="408" spans="1:32" x14ac:dyDescent="0.25">
      <c r="A408" t="s">
        <v>3712</v>
      </c>
      <c r="B408" s="1">
        <v>45122</v>
      </c>
      <c r="C408" s="1">
        <v>45128</v>
      </c>
      <c r="D408" s="4">
        <f t="shared" si="72"/>
        <v>6</v>
      </c>
      <c r="E408" s="4" t="str">
        <f>TEXT(Table1[[#This Row],[Order_Date]],"dddd")</f>
        <v>Saturday</v>
      </c>
      <c r="F408" s="4">
        <f t="shared" si="73"/>
        <v>7</v>
      </c>
      <c r="G408" t="str">
        <f t="shared" si="76"/>
        <v>July</v>
      </c>
      <c r="H408">
        <f t="shared" si="77"/>
        <v>2023</v>
      </c>
      <c r="I408" t="str">
        <f t="shared" si="78"/>
        <v>2023-Q3</v>
      </c>
      <c r="J408" t="s">
        <v>104</v>
      </c>
      <c r="K408" t="s">
        <v>3713</v>
      </c>
      <c r="L408" t="s">
        <v>3714</v>
      </c>
      <c r="M408" t="s">
        <v>36</v>
      </c>
      <c r="N408" t="s">
        <v>25</v>
      </c>
      <c r="O408" t="s">
        <v>156</v>
      </c>
      <c r="P408" t="s">
        <v>143</v>
      </c>
      <c r="Q408" t="s">
        <v>28</v>
      </c>
      <c r="R408" t="s">
        <v>3715</v>
      </c>
      <c r="S408" t="s">
        <v>51</v>
      </c>
      <c r="T408" t="s">
        <v>108</v>
      </c>
      <c r="U408" t="s">
        <v>3716</v>
      </c>
      <c r="V408" s="3">
        <v>4291.82</v>
      </c>
      <c r="W408" s="4">
        <v>2</v>
      </c>
      <c r="X408" s="2">
        <v>0.4</v>
      </c>
      <c r="Y408" s="3">
        <v>1242.67</v>
      </c>
      <c r="Z408" t="str">
        <f t="shared" si="74"/>
        <v>Outlier</v>
      </c>
      <c r="AA408" t="str">
        <f t="shared" si="75"/>
        <v>High</v>
      </c>
      <c r="AB408" t="str">
        <f t="shared" si="79"/>
        <v>High Profit</v>
      </c>
      <c r="AC408" s="3">
        <f t="shared" si="80"/>
        <v>0.2895438298903496</v>
      </c>
      <c r="AD408" s="3">
        <f t="shared" si="81"/>
        <v>2145.91</v>
      </c>
      <c r="AE408" s="3">
        <f t="shared" si="82"/>
        <v>621.33500000000004</v>
      </c>
      <c r="AF408" t="str">
        <f t="shared" si="83"/>
        <v>Regular</v>
      </c>
    </row>
    <row r="409" spans="1:32" x14ac:dyDescent="0.25">
      <c r="A409" t="s">
        <v>1196</v>
      </c>
      <c r="B409" s="1">
        <v>45123</v>
      </c>
      <c r="C409" s="1">
        <v>45126</v>
      </c>
      <c r="D409" s="4">
        <f t="shared" si="72"/>
        <v>3</v>
      </c>
      <c r="E409" s="4" t="str">
        <f>TEXT(Table1[[#This Row],[Order_Date]],"dddd")</f>
        <v>Sunday</v>
      </c>
      <c r="F409" s="4">
        <f t="shared" si="73"/>
        <v>7</v>
      </c>
      <c r="G409" t="str">
        <f t="shared" si="76"/>
        <v>July</v>
      </c>
      <c r="H409">
        <f t="shared" si="77"/>
        <v>2023</v>
      </c>
      <c r="I409" t="str">
        <f t="shared" si="78"/>
        <v>2023-Q3</v>
      </c>
      <c r="J409" t="s">
        <v>55</v>
      </c>
      <c r="K409" t="s">
        <v>1197</v>
      </c>
      <c r="L409" t="s">
        <v>1198</v>
      </c>
      <c r="M409" t="s">
        <v>24</v>
      </c>
      <c r="N409" t="s">
        <v>25</v>
      </c>
      <c r="O409" t="s">
        <v>142</v>
      </c>
      <c r="P409" t="s">
        <v>143</v>
      </c>
      <c r="Q409" t="s">
        <v>28</v>
      </c>
      <c r="R409" t="s">
        <v>1199</v>
      </c>
      <c r="S409" t="s">
        <v>30</v>
      </c>
      <c r="T409" t="s">
        <v>41</v>
      </c>
      <c r="U409" t="s">
        <v>1200</v>
      </c>
      <c r="V409" s="3">
        <v>4681.55</v>
      </c>
      <c r="W409" s="4">
        <v>3</v>
      </c>
      <c r="X409" s="2">
        <v>0</v>
      </c>
      <c r="Y409" s="3">
        <v>-292.68</v>
      </c>
      <c r="Z409" t="str">
        <f t="shared" si="74"/>
        <v>Normal</v>
      </c>
      <c r="AA409" t="str">
        <f t="shared" si="75"/>
        <v>Low</v>
      </c>
      <c r="AB409" t="str">
        <f t="shared" si="79"/>
        <v>Loss</v>
      </c>
      <c r="AC409" s="3">
        <f t="shared" si="80"/>
        <v>-6.2517755871452835E-2</v>
      </c>
      <c r="AD409" s="3">
        <f t="shared" si="81"/>
        <v>1560.5166666666667</v>
      </c>
      <c r="AE409" s="3">
        <f t="shared" si="82"/>
        <v>-97.56</v>
      </c>
      <c r="AF409" t="str">
        <f t="shared" si="83"/>
        <v>Regular</v>
      </c>
    </row>
    <row r="410" spans="1:32" x14ac:dyDescent="0.25">
      <c r="A410" t="s">
        <v>6003</v>
      </c>
      <c r="B410" s="1">
        <v>45123</v>
      </c>
      <c r="C410" s="1">
        <v>45126</v>
      </c>
      <c r="D410" s="4">
        <f t="shared" si="72"/>
        <v>3</v>
      </c>
      <c r="E410" s="4" t="str">
        <f>TEXT(Table1[[#This Row],[Order_Date]],"dddd")</f>
        <v>Sunday</v>
      </c>
      <c r="F410" s="4">
        <f t="shared" si="73"/>
        <v>7</v>
      </c>
      <c r="G410" t="str">
        <f t="shared" si="76"/>
        <v>July</v>
      </c>
      <c r="H410">
        <f t="shared" si="77"/>
        <v>2023</v>
      </c>
      <c r="I410" t="str">
        <f t="shared" si="78"/>
        <v>2023-Q3</v>
      </c>
      <c r="J410" t="s">
        <v>44</v>
      </c>
      <c r="K410" t="s">
        <v>6004</v>
      </c>
      <c r="L410" t="s">
        <v>6005</v>
      </c>
      <c r="M410" t="s">
        <v>24</v>
      </c>
      <c r="N410" t="s">
        <v>25</v>
      </c>
      <c r="O410" t="s">
        <v>162</v>
      </c>
      <c r="P410" t="s">
        <v>163</v>
      </c>
      <c r="Q410" t="s">
        <v>28</v>
      </c>
      <c r="R410" t="s">
        <v>6006</v>
      </c>
      <c r="S410" t="s">
        <v>51</v>
      </c>
      <c r="T410" t="s">
        <v>151</v>
      </c>
      <c r="U410" t="s">
        <v>6007</v>
      </c>
      <c r="V410" s="3">
        <v>3090.95</v>
      </c>
      <c r="W410" s="4">
        <v>6</v>
      </c>
      <c r="X410" s="2">
        <v>0</v>
      </c>
      <c r="Y410" s="3">
        <v>264.98</v>
      </c>
      <c r="Z410" t="str">
        <f t="shared" si="74"/>
        <v>Normal</v>
      </c>
      <c r="AA410" t="str">
        <f t="shared" si="75"/>
        <v>Low</v>
      </c>
      <c r="AB410" t="str">
        <f t="shared" si="79"/>
        <v>Low Profit</v>
      </c>
      <c r="AC410" s="3">
        <f t="shared" si="80"/>
        <v>8.5727688898235177E-2</v>
      </c>
      <c r="AD410" s="3">
        <f t="shared" si="81"/>
        <v>515.1583333333333</v>
      </c>
      <c r="AE410" s="3">
        <f t="shared" si="82"/>
        <v>44.163333333333334</v>
      </c>
      <c r="AF410" t="str">
        <f t="shared" si="83"/>
        <v>Regular</v>
      </c>
    </row>
    <row r="411" spans="1:32" x14ac:dyDescent="0.25">
      <c r="A411" t="s">
        <v>3941</v>
      </c>
      <c r="B411" s="1">
        <v>45124</v>
      </c>
      <c r="C411" s="1">
        <v>45126</v>
      </c>
      <c r="D411" s="4">
        <f t="shared" si="72"/>
        <v>2</v>
      </c>
      <c r="E411" s="4" t="str">
        <f>TEXT(Table1[[#This Row],[Order_Date]],"dddd")</f>
        <v>Monday</v>
      </c>
      <c r="F411" s="4">
        <f t="shared" si="73"/>
        <v>7</v>
      </c>
      <c r="G411" t="str">
        <f t="shared" si="76"/>
        <v>July</v>
      </c>
      <c r="H411">
        <f t="shared" si="77"/>
        <v>2023</v>
      </c>
      <c r="I411" t="str">
        <f t="shared" si="78"/>
        <v>2023-Q3</v>
      </c>
      <c r="J411" t="s">
        <v>21</v>
      </c>
      <c r="K411" t="s">
        <v>3942</v>
      </c>
      <c r="L411" t="s">
        <v>3943</v>
      </c>
      <c r="M411" t="s">
        <v>47</v>
      </c>
      <c r="N411" t="s">
        <v>25</v>
      </c>
      <c r="O411" t="s">
        <v>233</v>
      </c>
      <c r="P411" t="s">
        <v>163</v>
      </c>
      <c r="Q411" t="s">
        <v>28</v>
      </c>
      <c r="R411" t="s">
        <v>3944</v>
      </c>
      <c r="S411" t="s">
        <v>59</v>
      </c>
      <c r="T411" t="s">
        <v>277</v>
      </c>
      <c r="U411" t="s">
        <v>2270</v>
      </c>
      <c r="V411" s="3">
        <v>4575.1400000000003</v>
      </c>
      <c r="W411" s="4">
        <v>3</v>
      </c>
      <c r="X411" s="2">
        <v>0.1</v>
      </c>
      <c r="Y411" s="3">
        <v>195.51</v>
      </c>
      <c r="Z411" t="str">
        <f t="shared" si="74"/>
        <v>Normal</v>
      </c>
      <c r="AA411" t="str">
        <f t="shared" si="75"/>
        <v>Medium</v>
      </c>
      <c r="AB411" t="str">
        <f t="shared" si="79"/>
        <v>Low Profit</v>
      </c>
      <c r="AC411" s="3">
        <f t="shared" si="80"/>
        <v>4.2733118549377717E-2</v>
      </c>
      <c r="AD411" s="3">
        <f t="shared" si="81"/>
        <v>1525.0466666666669</v>
      </c>
      <c r="AE411" s="3">
        <f t="shared" si="82"/>
        <v>65.17</v>
      </c>
      <c r="AF411" t="str">
        <f t="shared" si="83"/>
        <v>Regular</v>
      </c>
    </row>
    <row r="412" spans="1:32" x14ac:dyDescent="0.25">
      <c r="A412" t="s">
        <v>6412</v>
      </c>
      <c r="B412" s="1">
        <v>45124</v>
      </c>
      <c r="C412" s="1">
        <v>45130</v>
      </c>
      <c r="D412" s="4">
        <f t="shared" si="72"/>
        <v>6</v>
      </c>
      <c r="E412" s="4" t="str">
        <f>TEXT(Table1[[#This Row],[Order_Date]],"dddd")</f>
        <v>Monday</v>
      </c>
      <c r="F412" s="4">
        <f t="shared" si="73"/>
        <v>7</v>
      </c>
      <c r="G412" t="str">
        <f t="shared" si="76"/>
        <v>July</v>
      </c>
      <c r="H412">
        <f t="shared" si="77"/>
        <v>2023</v>
      </c>
      <c r="I412" t="str">
        <f t="shared" si="78"/>
        <v>2023-Q3</v>
      </c>
      <c r="J412" t="s">
        <v>104</v>
      </c>
      <c r="K412" t="s">
        <v>6413</v>
      </c>
      <c r="L412" t="s">
        <v>626</v>
      </c>
      <c r="M412" t="s">
        <v>47</v>
      </c>
      <c r="N412" t="s">
        <v>25</v>
      </c>
      <c r="O412" t="s">
        <v>179</v>
      </c>
      <c r="P412" t="s">
        <v>27</v>
      </c>
      <c r="Q412" t="s">
        <v>39</v>
      </c>
      <c r="R412" t="s">
        <v>6414</v>
      </c>
      <c r="S412" t="s">
        <v>51</v>
      </c>
      <c r="T412" t="s">
        <v>94</v>
      </c>
      <c r="U412" t="s">
        <v>6415</v>
      </c>
      <c r="V412" s="3">
        <v>3476.92</v>
      </c>
      <c r="W412" s="4">
        <v>5</v>
      </c>
      <c r="X412" s="2">
        <v>0.2</v>
      </c>
      <c r="Y412" s="3">
        <v>-387.88</v>
      </c>
      <c r="Z412" t="str">
        <f t="shared" si="74"/>
        <v>Normal</v>
      </c>
      <c r="AA412" t="str">
        <f t="shared" si="75"/>
        <v>High</v>
      </c>
      <c r="AB412" t="str">
        <f t="shared" si="79"/>
        <v>Loss</v>
      </c>
      <c r="AC412" s="3">
        <f t="shared" si="80"/>
        <v>-0.11155850580398743</v>
      </c>
      <c r="AD412" s="3">
        <f t="shared" si="81"/>
        <v>695.38400000000001</v>
      </c>
      <c r="AE412" s="3">
        <f t="shared" si="82"/>
        <v>-77.575999999999993</v>
      </c>
      <c r="AF412" t="str">
        <f t="shared" si="83"/>
        <v>Regular</v>
      </c>
    </row>
    <row r="413" spans="1:32" x14ac:dyDescent="0.25">
      <c r="A413" t="s">
        <v>4421</v>
      </c>
      <c r="B413" s="1">
        <v>45125</v>
      </c>
      <c r="C413" s="1">
        <v>45128</v>
      </c>
      <c r="D413" s="4">
        <f t="shared" si="72"/>
        <v>3</v>
      </c>
      <c r="E413" s="4" t="str">
        <f>TEXT(Table1[[#This Row],[Order_Date]],"dddd")</f>
        <v>Tuesday</v>
      </c>
      <c r="F413" s="4">
        <f t="shared" si="73"/>
        <v>7</v>
      </c>
      <c r="G413" t="str">
        <f t="shared" si="76"/>
        <v>July</v>
      </c>
      <c r="H413">
        <f t="shared" si="77"/>
        <v>2023</v>
      </c>
      <c r="I413" t="str">
        <f t="shared" si="78"/>
        <v>2023-Q3</v>
      </c>
      <c r="J413" t="s">
        <v>55</v>
      </c>
      <c r="K413" t="s">
        <v>4422</v>
      </c>
      <c r="L413" t="s">
        <v>4423</v>
      </c>
      <c r="M413" t="s">
        <v>24</v>
      </c>
      <c r="N413" t="s">
        <v>25</v>
      </c>
      <c r="O413" t="s">
        <v>113</v>
      </c>
      <c r="P413" t="s">
        <v>113</v>
      </c>
      <c r="Q413" t="s">
        <v>28</v>
      </c>
      <c r="R413" t="s">
        <v>4424</v>
      </c>
      <c r="S413" t="s">
        <v>59</v>
      </c>
      <c r="T413" t="s">
        <v>60</v>
      </c>
      <c r="U413" t="s">
        <v>4425</v>
      </c>
      <c r="V413" s="3">
        <v>4984.45</v>
      </c>
      <c r="W413" s="4">
        <v>5</v>
      </c>
      <c r="X413" s="2">
        <v>0.1</v>
      </c>
      <c r="Y413" s="3">
        <v>694.35</v>
      </c>
      <c r="Z413" t="str">
        <f t="shared" si="74"/>
        <v>Normal</v>
      </c>
      <c r="AA413" t="str">
        <f t="shared" si="75"/>
        <v>Medium</v>
      </c>
      <c r="AB413" t="str">
        <f t="shared" si="79"/>
        <v>High Profit</v>
      </c>
      <c r="AC413" s="3">
        <f t="shared" si="80"/>
        <v>0.13930323305480044</v>
      </c>
      <c r="AD413" s="3">
        <f t="shared" si="81"/>
        <v>996.89</v>
      </c>
      <c r="AE413" s="3">
        <f t="shared" si="82"/>
        <v>138.87</v>
      </c>
      <c r="AF413" t="str">
        <f t="shared" si="83"/>
        <v>Regular</v>
      </c>
    </row>
    <row r="414" spans="1:32" x14ac:dyDescent="0.25">
      <c r="A414" t="s">
        <v>1146</v>
      </c>
      <c r="B414" s="1">
        <v>45126</v>
      </c>
      <c r="C414" s="1">
        <v>45130</v>
      </c>
      <c r="D414" s="4">
        <f t="shared" si="72"/>
        <v>4</v>
      </c>
      <c r="E414" s="4" t="str">
        <f>TEXT(Table1[[#This Row],[Order_Date]],"dddd")</f>
        <v>Wednesday</v>
      </c>
      <c r="F414" s="4">
        <f t="shared" si="73"/>
        <v>7</v>
      </c>
      <c r="G414" t="str">
        <f t="shared" si="76"/>
        <v>July</v>
      </c>
      <c r="H414">
        <f t="shared" si="77"/>
        <v>2023</v>
      </c>
      <c r="I414" t="str">
        <f t="shared" si="78"/>
        <v>2023-Q3</v>
      </c>
      <c r="J414" t="s">
        <v>104</v>
      </c>
      <c r="K414" t="s">
        <v>1147</v>
      </c>
      <c r="L414" t="s">
        <v>1148</v>
      </c>
      <c r="M414" t="s">
        <v>47</v>
      </c>
      <c r="N414" t="s">
        <v>25</v>
      </c>
      <c r="O414" t="s">
        <v>244</v>
      </c>
      <c r="P414" t="s">
        <v>163</v>
      </c>
      <c r="Q414" t="s">
        <v>87</v>
      </c>
      <c r="R414" t="s">
        <v>1149</v>
      </c>
      <c r="S414" t="s">
        <v>51</v>
      </c>
      <c r="T414" t="s">
        <v>52</v>
      </c>
      <c r="U414" t="s">
        <v>1150</v>
      </c>
      <c r="V414" s="3">
        <v>4175.72</v>
      </c>
      <c r="W414" s="4">
        <v>8</v>
      </c>
      <c r="X414" s="2">
        <v>0.2</v>
      </c>
      <c r="Y414" s="3">
        <v>-236.43</v>
      </c>
      <c r="Z414" t="str">
        <f t="shared" si="74"/>
        <v>Normal</v>
      </c>
      <c r="AA414" t="str">
        <f t="shared" si="75"/>
        <v>High</v>
      </c>
      <c r="AB414" t="str">
        <f t="shared" si="79"/>
        <v>Loss</v>
      </c>
      <c r="AC414" s="3">
        <f t="shared" si="80"/>
        <v>-5.6620175682277549E-2</v>
      </c>
      <c r="AD414" s="3">
        <f t="shared" si="81"/>
        <v>521.96500000000003</v>
      </c>
      <c r="AE414" s="3">
        <f t="shared" si="82"/>
        <v>-29.553750000000001</v>
      </c>
      <c r="AF414" t="str">
        <f t="shared" si="83"/>
        <v>Regular</v>
      </c>
    </row>
    <row r="415" spans="1:32" x14ac:dyDescent="0.25">
      <c r="A415" t="s">
        <v>4017</v>
      </c>
      <c r="B415" s="1">
        <v>45127</v>
      </c>
      <c r="C415" s="1">
        <v>45129</v>
      </c>
      <c r="D415" s="4">
        <f t="shared" si="72"/>
        <v>2</v>
      </c>
      <c r="E415" s="4" t="str">
        <f>TEXT(Table1[[#This Row],[Order_Date]],"dddd")</f>
        <v>Thursday</v>
      </c>
      <c r="F415" s="4">
        <f t="shared" si="73"/>
        <v>7</v>
      </c>
      <c r="G415" t="str">
        <f t="shared" si="76"/>
        <v>July</v>
      </c>
      <c r="H415">
        <f t="shared" si="77"/>
        <v>2023</v>
      </c>
      <c r="I415" t="str">
        <f t="shared" si="78"/>
        <v>2023-Q3</v>
      </c>
      <c r="J415" t="s">
        <v>21</v>
      </c>
      <c r="K415" t="s">
        <v>4018</v>
      </c>
      <c r="L415" t="s">
        <v>4019</v>
      </c>
      <c r="M415" t="s">
        <v>47</v>
      </c>
      <c r="N415" t="s">
        <v>25</v>
      </c>
      <c r="O415" t="s">
        <v>113</v>
      </c>
      <c r="P415" t="s">
        <v>113</v>
      </c>
      <c r="Q415" t="s">
        <v>87</v>
      </c>
      <c r="R415" t="s">
        <v>4020</v>
      </c>
      <c r="S415" t="s">
        <v>59</v>
      </c>
      <c r="T415" t="s">
        <v>60</v>
      </c>
      <c r="U415" t="s">
        <v>4021</v>
      </c>
      <c r="V415" s="3">
        <v>2389.58</v>
      </c>
      <c r="W415" s="4">
        <v>1</v>
      </c>
      <c r="X415" s="2">
        <v>0.3</v>
      </c>
      <c r="Y415" s="3">
        <v>660.32</v>
      </c>
      <c r="Z415" t="str">
        <f t="shared" si="74"/>
        <v>Normal</v>
      </c>
      <c r="AA415" t="str">
        <f t="shared" si="75"/>
        <v>High</v>
      </c>
      <c r="AB415" t="str">
        <f t="shared" si="79"/>
        <v>High Profit</v>
      </c>
      <c r="AC415" s="3">
        <f t="shared" si="80"/>
        <v>0.27633307945329305</v>
      </c>
      <c r="AD415" s="3">
        <f t="shared" si="81"/>
        <v>2389.58</v>
      </c>
      <c r="AE415" s="3">
        <f t="shared" si="82"/>
        <v>660.32</v>
      </c>
      <c r="AF415" t="str">
        <f t="shared" si="83"/>
        <v>Regular</v>
      </c>
    </row>
    <row r="416" spans="1:32" x14ac:dyDescent="0.25">
      <c r="A416" t="s">
        <v>4106</v>
      </c>
      <c r="B416" s="1">
        <v>45127</v>
      </c>
      <c r="C416" s="1">
        <v>45133</v>
      </c>
      <c r="D416" s="4">
        <f t="shared" si="72"/>
        <v>6</v>
      </c>
      <c r="E416" s="4" t="str">
        <f>TEXT(Table1[[#This Row],[Order_Date]],"dddd")</f>
        <v>Thursday</v>
      </c>
      <c r="F416" s="4">
        <f t="shared" si="73"/>
        <v>7</v>
      </c>
      <c r="G416" t="str">
        <f t="shared" si="76"/>
        <v>July</v>
      </c>
      <c r="H416">
        <f t="shared" si="77"/>
        <v>2023</v>
      </c>
      <c r="I416" t="str">
        <f t="shared" si="78"/>
        <v>2023-Q3</v>
      </c>
      <c r="J416" t="s">
        <v>44</v>
      </c>
      <c r="K416" t="s">
        <v>4107</v>
      </c>
      <c r="L416" t="s">
        <v>4108</v>
      </c>
      <c r="M416" t="s">
        <v>36</v>
      </c>
      <c r="N416" t="s">
        <v>25</v>
      </c>
      <c r="O416" t="s">
        <v>451</v>
      </c>
      <c r="P416" t="s">
        <v>38</v>
      </c>
      <c r="Q416" t="s">
        <v>87</v>
      </c>
      <c r="R416" t="s">
        <v>4109</v>
      </c>
      <c r="S416" t="s">
        <v>30</v>
      </c>
      <c r="T416" t="s">
        <v>41</v>
      </c>
      <c r="U416" t="s">
        <v>4110</v>
      </c>
      <c r="V416" s="3">
        <v>2130.0300000000002</v>
      </c>
      <c r="W416" s="4">
        <v>8</v>
      </c>
      <c r="X416" s="2">
        <v>0.1</v>
      </c>
      <c r="Y416" s="3">
        <v>-114.45</v>
      </c>
      <c r="Z416" t="str">
        <f t="shared" si="74"/>
        <v>Normal</v>
      </c>
      <c r="AA416" t="str">
        <f t="shared" si="75"/>
        <v>Medium</v>
      </c>
      <c r="AB416" t="str">
        <f t="shared" si="79"/>
        <v>Loss</v>
      </c>
      <c r="AC416" s="3">
        <f t="shared" si="80"/>
        <v>-5.3731637582569255E-2</v>
      </c>
      <c r="AD416" s="3">
        <f t="shared" si="81"/>
        <v>266.25375000000003</v>
      </c>
      <c r="AE416" s="3">
        <f t="shared" si="82"/>
        <v>-14.30625</v>
      </c>
      <c r="AF416" t="str">
        <f t="shared" si="83"/>
        <v>Regular</v>
      </c>
    </row>
    <row r="417" spans="1:32" x14ac:dyDescent="0.25">
      <c r="A417" t="s">
        <v>6817</v>
      </c>
      <c r="B417" s="1">
        <v>45127</v>
      </c>
      <c r="C417" s="1">
        <v>45131</v>
      </c>
      <c r="D417" s="4">
        <f t="shared" si="72"/>
        <v>4</v>
      </c>
      <c r="E417" s="4" t="str">
        <f>TEXT(Table1[[#This Row],[Order_Date]],"dddd")</f>
        <v>Thursday</v>
      </c>
      <c r="F417" s="4">
        <f t="shared" si="73"/>
        <v>7</v>
      </c>
      <c r="G417" t="str">
        <f t="shared" si="76"/>
        <v>July</v>
      </c>
      <c r="H417">
        <f t="shared" si="77"/>
        <v>2023</v>
      </c>
      <c r="I417" t="str">
        <f t="shared" si="78"/>
        <v>2023-Q3</v>
      </c>
      <c r="J417" t="s">
        <v>44</v>
      </c>
      <c r="K417" t="s">
        <v>6818</v>
      </c>
      <c r="L417" t="s">
        <v>6819</v>
      </c>
      <c r="M417" t="s">
        <v>47</v>
      </c>
      <c r="N417" t="s">
        <v>25</v>
      </c>
      <c r="O417" t="s">
        <v>162</v>
      </c>
      <c r="P417" t="s">
        <v>163</v>
      </c>
      <c r="Q417" t="s">
        <v>87</v>
      </c>
      <c r="R417" t="s">
        <v>6820</v>
      </c>
      <c r="S417" t="s">
        <v>59</v>
      </c>
      <c r="T417" t="s">
        <v>303</v>
      </c>
      <c r="U417" t="s">
        <v>6821</v>
      </c>
      <c r="V417" s="3">
        <v>3557.68</v>
      </c>
      <c r="W417" s="4">
        <v>2</v>
      </c>
      <c r="X417" s="2">
        <v>0.4</v>
      </c>
      <c r="Y417" s="3">
        <v>894.65</v>
      </c>
      <c r="Z417" t="str">
        <f t="shared" si="74"/>
        <v>Normal</v>
      </c>
      <c r="AA417" t="str">
        <f t="shared" si="75"/>
        <v>High</v>
      </c>
      <c r="AB417" t="str">
        <f t="shared" si="79"/>
        <v>High Profit</v>
      </c>
      <c r="AC417" s="3">
        <f t="shared" si="80"/>
        <v>0.25147005913966408</v>
      </c>
      <c r="AD417" s="3">
        <f t="shared" si="81"/>
        <v>1778.84</v>
      </c>
      <c r="AE417" s="3">
        <f t="shared" si="82"/>
        <v>447.32499999999999</v>
      </c>
      <c r="AF417" t="str">
        <f t="shared" si="83"/>
        <v>Regular</v>
      </c>
    </row>
    <row r="418" spans="1:32" x14ac:dyDescent="0.25">
      <c r="A418" t="s">
        <v>2864</v>
      </c>
      <c r="B418" s="1">
        <v>45128</v>
      </c>
      <c r="C418" s="1">
        <v>45132</v>
      </c>
      <c r="D418" s="4">
        <f t="shared" si="72"/>
        <v>4</v>
      </c>
      <c r="E418" s="4" t="str">
        <f>TEXT(Table1[[#This Row],[Order_Date]],"dddd")</f>
        <v>Friday</v>
      </c>
      <c r="F418" s="4">
        <f t="shared" si="73"/>
        <v>7</v>
      </c>
      <c r="G418" t="str">
        <f t="shared" si="76"/>
        <v>July</v>
      </c>
      <c r="H418">
        <f t="shared" si="77"/>
        <v>2023</v>
      </c>
      <c r="I418" t="str">
        <f t="shared" si="78"/>
        <v>2023-Q3</v>
      </c>
      <c r="J418" t="s">
        <v>55</v>
      </c>
      <c r="K418" t="s">
        <v>2865</v>
      </c>
      <c r="L418" t="s">
        <v>2866</v>
      </c>
      <c r="M418" t="s">
        <v>24</v>
      </c>
      <c r="N418" t="s">
        <v>25</v>
      </c>
      <c r="O418" t="s">
        <v>119</v>
      </c>
      <c r="P418" t="s">
        <v>120</v>
      </c>
      <c r="Q418" t="s">
        <v>28</v>
      </c>
      <c r="R418" t="s">
        <v>2867</v>
      </c>
      <c r="S418" t="s">
        <v>51</v>
      </c>
      <c r="T418" t="s">
        <v>127</v>
      </c>
      <c r="U418" t="s">
        <v>2868</v>
      </c>
      <c r="V418" s="3">
        <v>3025.93</v>
      </c>
      <c r="W418" s="4">
        <v>7</v>
      </c>
      <c r="X418" s="2">
        <v>0.3</v>
      </c>
      <c r="Y418" s="3">
        <v>-36.4</v>
      </c>
      <c r="Z418" t="str">
        <f t="shared" si="74"/>
        <v>Normal</v>
      </c>
      <c r="AA418" t="str">
        <f t="shared" si="75"/>
        <v>High</v>
      </c>
      <c r="AB418" t="str">
        <f t="shared" si="79"/>
        <v>Loss</v>
      </c>
      <c r="AC418" s="3">
        <f t="shared" si="80"/>
        <v>-1.2029359568793726E-2</v>
      </c>
      <c r="AD418" s="3">
        <f t="shared" si="81"/>
        <v>432.27571428571429</v>
      </c>
      <c r="AE418" s="3">
        <f t="shared" si="82"/>
        <v>-5.2</v>
      </c>
      <c r="AF418" t="str">
        <f t="shared" si="83"/>
        <v>Regular</v>
      </c>
    </row>
    <row r="419" spans="1:32" x14ac:dyDescent="0.25">
      <c r="A419" t="s">
        <v>7237</v>
      </c>
      <c r="B419" s="1">
        <v>45129</v>
      </c>
      <c r="C419" s="1">
        <v>45130</v>
      </c>
      <c r="D419" s="4">
        <f t="shared" si="72"/>
        <v>1</v>
      </c>
      <c r="E419" s="4" t="str">
        <f>TEXT(Table1[[#This Row],[Order_Date]],"dddd")</f>
        <v>Saturday</v>
      </c>
      <c r="F419" s="4">
        <f t="shared" si="73"/>
        <v>7</v>
      </c>
      <c r="G419" t="str">
        <f t="shared" si="76"/>
        <v>July</v>
      </c>
      <c r="H419">
        <f t="shared" si="77"/>
        <v>2023</v>
      </c>
      <c r="I419" t="str">
        <f t="shared" si="78"/>
        <v>2023-Q3</v>
      </c>
      <c r="J419" t="s">
        <v>21</v>
      </c>
      <c r="K419" t="s">
        <v>7238</v>
      </c>
      <c r="L419" t="s">
        <v>7239</v>
      </c>
      <c r="M419" t="s">
        <v>36</v>
      </c>
      <c r="N419" t="s">
        <v>25</v>
      </c>
      <c r="O419" t="s">
        <v>233</v>
      </c>
      <c r="P419" t="s">
        <v>163</v>
      </c>
      <c r="Q419" t="s">
        <v>87</v>
      </c>
      <c r="R419" t="s">
        <v>7403</v>
      </c>
      <c r="S419" t="s">
        <v>59</v>
      </c>
      <c r="T419" t="s">
        <v>303</v>
      </c>
      <c r="U419" t="s">
        <v>7240</v>
      </c>
      <c r="V419" s="3">
        <v>4326.37</v>
      </c>
      <c r="W419" s="4">
        <v>1</v>
      </c>
      <c r="X419" s="2">
        <v>0.4</v>
      </c>
      <c r="Y419" s="3">
        <v>-300.77</v>
      </c>
      <c r="Z419" t="str">
        <f t="shared" si="74"/>
        <v>Normal</v>
      </c>
      <c r="AA419" t="str">
        <f t="shared" si="75"/>
        <v>High</v>
      </c>
      <c r="AB419" t="str">
        <f t="shared" si="79"/>
        <v>Loss</v>
      </c>
      <c r="AC419" s="3">
        <f t="shared" si="80"/>
        <v>-6.9520175112161006E-2</v>
      </c>
      <c r="AD419" s="3">
        <f t="shared" si="81"/>
        <v>4326.37</v>
      </c>
      <c r="AE419" s="3">
        <f t="shared" si="82"/>
        <v>-300.77</v>
      </c>
      <c r="AF419" t="str">
        <f t="shared" si="83"/>
        <v>Regular</v>
      </c>
    </row>
    <row r="420" spans="1:32" x14ac:dyDescent="0.25">
      <c r="A420" t="s">
        <v>3430</v>
      </c>
      <c r="B420" s="1">
        <v>45129</v>
      </c>
      <c r="C420" s="1">
        <v>45133</v>
      </c>
      <c r="D420" s="4">
        <f t="shared" si="72"/>
        <v>4</v>
      </c>
      <c r="E420" s="4" t="str">
        <f>TEXT(Table1[[#This Row],[Order_Date]],"dddd")</f>
        <v>Saturday</v>
      </c>
      <c r="F420" s="4">
        <f t="shared" si="73"/>
        <v>7</v>
      </c>
      <c r="G420" t="str">
        <f t="shared" si="76"/>
        <v>July</v>
      </c>
      <c r="H420">
        <f t="shared" si="77"/>
        <v>2023</v>
      </c>
      <c r="I420" t="str">
        <f t="shared" si="78"/>
        <v>2023-Q3</v>
      </c>
      <c r="J420" t="s">
        <v>104</v>
      </c>
      <c r="K420" t="s">
        <v>3431</v>
      </c>
      <c r="L420" t="s">
        <v>3432</v>
      </c>
      <c r="M420" t="s">
        <v>47</v>
      </c>
      <c r="N420" t="s">
        <v>25</v>
      </c>
      <c r="O420" t="s">
        <v>382</v>
      </c>
      <c r="P420" t="s">
        <v>38</v>
      </c>
      <c r="Q420" t="s">
        <v>66</v>
      </c>
      <c r="R420" t="s">
        <v>3433</v>
      </c>
      <c r="S420" t="s">
        <v>30</v>
      </c>
      <c r="T420" t="s">
        <v>41</v>
      </c>
      <c r="U420" t="s">
        <v>3434</v>
      </c>
      <c r="V420" s="3">
        <v>834.06</v>
      </c>
      <c r="W420" s="4">
        <v>7</v>
      </c>
      <c r="X420" s="2">
        <v>0.1</v>
      </c>
      <c r="Y420" s="3">
        <v>-155.84</v>
      </c>
      <c r="Z420" t="str">
        <f t="shared" si="74"/>
        <v>Normal</v>
      </c>
      <c r="AA420" t="str">
        <f t="shared" si="75"/>
        <v>Medium</v>
      </c>
      <c r="AB420" t="str">
        <f t="shared" si="79"/>
        <v>Loss</v>
      </c>
      <c r="AC420" s="3">
        <f t="shared" si="80"/>
        <v>-0.18684507109800255</v>
      </c>
      <c r="AD420" s="3">
        <f t="shared" si="81"/>
        <v>119.15142857142857</v>
      </c>
      <c r="AE420" s="3">
        <f t="shared" si="82"/>
        <v>-22.262857142857143</v>
      </c>
      <c r="AF420" t="str">
        <f t="shared" si="83"/>
        <v>Regular</v>
      </c>
    </row>
    <row r="421" spans="1:32" x14ac:dyDescent="0.25">
      <c r="A421" t="s">
        <v>3068</v>
      </c>
      <c r="B421" s="1">
        <v>45130</v>
      </c>
      <c r="C421" s="1">
        <v>45134</v>
      </c>
      <c r="D421" s="4">
        <f t="shared" si="72"/>
        <v>4</v>
      </c>
      <c r="E421" s="4" t="str">
        <f>TEXT(Table1[[#This Row],[Order_Date]],"dddd")</f>
        <v>Sunday</v>
      </c>
      <c r="F421" s="4">
        <f t="shared" si="73"/>
        <v>7</v>
      </c>
      <c r="G421" t="str">
        <f t="shared" si="76"/>
        <v>July</v>
      </c>
      <c r="H421">
        <f t="shared" si="77"/>
        <v>2023</v>
      </c>
      <c r="I421" t="str">
        <f t="shared" si="78"/>
        <v>2023-Q3</v>
      </c>
      <c r="J421" t="s">
        <v>44</v>
      </c>
      <c r="K421" t="s">
        <v>3069</v>
      </c>
      <c r="L421" t="s">
        <v>3070</v>
      </c>
      <c r="M421" t="s">
        <v>24</v>
      </c>
      <c r="N421" t="s">
        <v>25</v>
      </c>
      <c r="O421" t="s">
        <v>255</v>
      </c>
      <c r="P421" t="s">
        <v>143</v>
      </c>
      <c r="Q421" t="s">
        <v>39</v>
      </c>
      <c r="R421" t="s">
        <v>3071</v>
      </c>
      <c r="S421" t="s">
        <v>59</v>
      </c>
      <c r="T421" t="s">
        <v>101</v>
      </c>
      <c r="U421" t="s">
        <v>3072</v>
      </c>
      <c r="V421" s="3">
        <v>2594.59</v>
      </c>
      <c r="W421" s="4">
        <v>9</v>
      </c>
      <c r="X421" s="2">
        <v>0.1</v>
      </c>
      <c r="Y421" s="3">
        <v>517.54999999999995</v>
      </c>
      <c r="Z421" t="str">
        <f t="shared" si="74"/>
        <v>Normal</v>
      </c>
      <c r="AA421" t="str">
        <f t="shared" si="75"/>
        <v>Medium</v>
      </c>
      <c r="AB421" t="str">
        <f t="shared" si="79"/>
        <v>High Profit</v>
      </c>
      <c r="AC421" s="3">
        <f t="shared" si="80"/>
        <v>0.19947274906632645</v>
      </c>
      <c r="AD421" s="3">
        <f t="shared" si="81"/>
        <v>288.28777777777782</v>
      </c>
      <c r="AE421" s="3">
        <f t="shared" si="82"/>
        <v>57.505555555555553</v>
      </c>
      <c r="AF421" t="str">
        <f t="shared" si="83"/>
        <v>Regular</v>
      </c>
    </row>
    <row r="422" spans="1:32" x14ac:dyDescent="0.25">
      <c r="A422" t="s">
        <v>3969</v>
      </c>
      <c r="B422" s="1">
        <v>45130</v>
      </c>
      <c r="C422" s="1">
        <v>45134</v>
      </c>
      <c r="D422" s="4">
        <f t="shared" si="72"/>
        <v>4</v>
      </c>
      <c r="E422" s="4" t="str">
        <f>TEXT(Table1[[#This Row],[Order_Date]],"dddd")</f>
        <v>Sunday</v>
      </c>
      <c r="F422" s="4">
        <f t="shared" si="73"/>
        <v>7</v>
      </c>
      <c r="G422" t="str">
        <f t="shared" si="76"/>
        <v>July</v>
      </c>
      <c r="H422">
        <f t="shared" si="77"/>
        <v>2023</v>
      </c>
      <c r="I422" t="str">
        <f t="shared" si="78"/>
        <v>2023-Q3</v>
      </c>
      <c r="J422" t="s">
        <v>55</v>
      </c>
      <c r="K422" t="s">
        <v>3970</v>
      </c>
      <c r="L422" t="s">
        <v>3971</v>
      </c>
      <c r="M422" t="s">
        <v>24</v>
      </c>
      <c r="N422" t="s">
        <v>25</v>
      </c>
      <c r="O422" t="s">
        <v>113</v>
      </c>
      <c r="P422" t="s">
        <v>113</v>
      </c>
      <c r="Q422" t="s">
        <v>66</v>
      </c>
      <c r="R422" t="s">
        <v>3972</v>
      </c>
      <c r="S422" t="s">
        <v>51</v>
      </c>
      <c r="T422" t="s">
        <v>52</v>
      </c>
      <c r="U422" t="s">
        <v>3973</v>
      </c>
      <c r="V422" s="3">
        <v>1619.68</v>
      </c>
      <c r="W422" s="4">
        <v>7</v>
      </c>
      <c r="X422" s="2">
        <v>0.1</v>
      </c>
      <c r="Y422" s="3">
        <v>-289.89</v>
      </c>
      <c r="Z422" t="str">
        <f t="shared" si="74"/>
        <v>Normal</v>
      </c>
      <c r="AA422" t="str">
        <f t="shared" si="75"/>
        <v>Medium</v>
      </c>
      <c r="AB422" t="str">
        <f t="shared" si="79"/>
        <v>Loss</v>
      </c>
      <c r="AC422" s="3">
        <f t="shared" si="80"/>
        <v>-0.17897979847871182</v>
      </c>
      <c r="AD422" s="3">
        <f t="shared" si="81"/>
        <v>231.38285714285715</v>
      </c>
      <c r="AE422" s="3">
        <f t="shared" si="82"/>
        <v>-41.412857142857142</v>
      </c>
      <c r="AF422" t="str">
        <f t="shared" si="83"/>
        <v>Regular</v>
      </c>
    </row>
    <row r="423" spans="1:32" x14ac:dyDescent="0.25">
      <c r="A423" t="s">
        <v>5912</v>
      </c>
      <c r="B423" s="1">
        <v>45130</v>
      </c>
      <c r="C423" s="1">
        <v>45136</v>
      </c>
      <c r="D423" s="4">
        <f t="shared" si="72"/>
        <v>6</v>
      </c>
      <c r="E423" s="4" t="str">
        <f>TEXT(Table1[[#This Row],[Order_Date]],"dddd")</f>
        <v>Sunday</v>
      </c>
      <c r="F423" s="4">
        <f t="shared" si="73"/>
        <v>7</v>
      </c>
      <c r="G423" t="str">
        <f t="shared" si="76"/>
        <v>July</v>
      </c>
      <c r="H423">
        <f t="shared" si="77"/>
        <v>2023</v>
      </c>
      <c r="I423" t="str">
        <f t="shared" si="78"/>
        <v>2023-Q3</v>
      </c>
      <c r="J423" t="s">
        <v>55</v>
      </c>
      <c r="K423" t="s">
        <v>5913</v>
      </c>
      <c r="L423" t="s">
        <v>5914</v>
      </c>
      <c r="M423" t="s">
        <v>36</v>
      </c>
      <c r="N423" t="s">
        <v>25</v>
      </c>
      <c r="O423" t="s">
        <v>611</v>
      </c>
      <c r="P423" t="s">
        <v>74</v>
      </c>
      <c r="Q423" t="s">
        <v>28</v>
      </c>
      <c r="R423" t="s">
        <v>5915</v>
      </c>
      <c r="S423" t="s">
        <v>30</v>
      </c>
      <c r="T423" t="s">
        <v>82</v>
      </c>
      <c r="U423" t="s">
        <v>5916</v>
      </c>
      <c r="V423" s="3">
        <v>2514.16</v>
      </c>
      <c r="W423" s="4">
        <v>9</v>
      </c>
      <c r="X423" s="2">
        <v>0.2</v>
      </c>
      <c r="Y423" s="3">
        <v>-120.74</v>
      </c>
      <c r="Z423" t="str">
        <f t="shared" si="74"/>
        <v>Normal</v>
      </c>
      <c r="AA423" t="str">
        <f t="shared" si="75"/>
        <v>High</v>
      </c>
      <c r="AB423" t="str">
        <f t="shared" si="79"/>
        <v>Loss</v>
      </c>
      <c r="AC423" s="3">
        <f t="shared" si="80"/>
        <v>-4.8023992108696345E-2</v>
      </c>
      <c r="AD423" s="3">
        <f t="shared" si="81"/>
        <v>279.35111111111109</v>
      </c>
      <c r="AE423" s="3">
        <f t="shared" si="82"/>
        <v>-13.415555555555555</v>
      </c>
      <c r="AF423" t="str">
        <f t="shared" si="83"/>
        <v>Regular</v>
      </c>
    </row>
    <row r="424" spans="1:32" x14ac:dyDescent="0.25">
      <c r="A424" t="s">
        <v>5474</v>
      </c>
      <c r="B424" s="1">
        <v>45131</v>
      </c>
      <c r="C424" s="1">
        <v>45133</v>
      </c>
      <c r="D424" s="4">
        <f t="shared" si="72"/>
        <v>2</v>
      </c>
      <c r="E424" s="4" t="str">
        <f>TEXT(Table1[[#This Row],[Order_Date]],"dddd")</f>
        <v>Monday</v>
      </c>
      <c r="F424" s="4">
        <f t="shared" si="73"/>
        <v>7</v>
      </c>
      <c r="G424" t="str">
        <f t="shared" si="76"/>
        <v>July</v>
      </c>
      <c r="H424">
        <f t="shared" si="77"/>
        <v>2023</v>
      </c>
      <c r="I424" t="str">
        <f t="shared" si="78"/>
        <v>2023-Q3</v>
      </c>
      <c r="J424" t="s">
        <v>104</v>
      </c>
      <c r="K424" t="s">
        <v>5475</v>
      </c>
      <c r="L424" t="s">
        <v>5476</v>
      </c>
      <c r="M424" t="s">
        <v>47</v>
      </c>
      <c r="N424" t="s">
        <v>25</v>
      </c>
      <c r="O424" t="s">
        <v>201</v>
      </c>
      <c r="P424" t="s">
        <v>113</v>
      </c>
      <c r="Q424" t="s">
        <v>87</v>
      </c>
      <c r="R424" t="s">
        <v>7403</v>
      </c>
      <c r="S424" t="s">
        <v>30</v>
      </c>
      <c r="T424" t="s">
        <v>68</v>
      </c>
      <c r="U424" t="s">
        <v>5477</v>
      </c>
      <c r="V424" s="3">
        <v>1411.28</v>
      </c>
      <c r="W424" s="4">
        <v>1</v>
      </c>
      <c r="X424" s="2">
        <v>0</v>
      </c>
      <c r="Y424" s="3">
        <v>102.67</v>
      </c>
      <c r="Z424" t="str">
        <f t="shared" si="74"/>
        <v>Normal</v>
      </c>
      <c r="AA424" t="str">
        <f t="shared" si="75"/>
        <v>Low</v>
      </c>
      <c r="AB424" t="str">
        <f t="shared" si="79"/>
        <v>Low Profit</v>
      </c>
      <c r="AC424" s="3">
        <f t="shared" si="80"/>
        <v>7.2749560682500991E-2</v>
      </c>
      <c r="AD424" s="3">
        <f t="shared" si="81"/>
        <v>1411.28</v>
      </c>
      <c r="AE424" s="3">
        <f t="shared" si="82"/>
        <v>102.67</v>
      </c>
      <c r="AF424" t="str">
        <f t="shared" si="83"/>
        <v>Regular</v>
      </c>
    </row>
    <row r="425" spans="1:32" x14ac:dyDescent="0.25">
      <c r="A425" t="s">
        <v>3897</v>
      </c>
      <c r="B425" s="1">
        <v>45131</v>
      </c>
      <c r="C425" s="1">
        <v>45139</v>
      </c>
      <c r="D425" s="4">
        <f t="shared" si="72"/>
        <v>8</v>
      </c>
      <c r="E425" s="4" t="str">
        <f>TEXT(Table1[[#This Row],[Order_Date]],"dddd")</f>
        <v>Monday</v>
      </c>
      <c r="F425" s="4">
        <f t="shared" si="73"/>
        <v>7</v>
      </c>
      <c r="G425" t="str">
        <f t="shared" si="76"/>
        <v>July</v>
      </c>
      <c r="H425">
        <f t="shared" si="77"/>
        <v>2023</v>
      </c>
      <c r="I425" t="str">
        <f t="shared" si="78"/>
        <v>2023-Q3</v>
      </c>
      <c r="J425" t="s">
        <v>21</v>
      </c>
      <c r="K425" t="s">
        <v>3898</v>
      </c>
      <c r="L425" t="s">
        <v>3899</v>
      </c>
      <c r="M425" t="s">
        <v>24</v>
      </c>
      <c r="N425" t="s">
        <v>25</v>
      </c>
      <c r="O425" t="s">
        <v>190</v>
      </c>
      <c r="P425" t="s">
        <v>120</v>
      </c>
      <c r="Q425" t="s">
        <v>39</v>
      </c>
      <c r="R425" t="s">
        <v>3900</v>
      </c>
      <c r="S425" t="s">
        <v>59</v>
      </c>
      <c r="T425" t="s">
        <v>303</v>
      </c>
      <c r="U425" t="s">
        <v>3901</v>
      </c>
      <c r="V425" s="3">
        <v>1660.53</v>
      </c>
      <c r="W425" s="4">
        <v>6</v>
      </c>
      <c r="X425" s="2">
        <v>0.3</v>
      </c>
      <c r="Y425" s="3">
        <v>468.14</v>
      </c>
      <c r="Z425" t="str">
        <f t="shared" si="74"/>
        <v>Normal</v>
      </c>
      <c r="AA425" t="str">
        <f t="shared" si="75"/>
        <v>High</v>
      </c>
      <c r="AB425" t="str">
        <f t="shared" si="79"/>
        <v>Low Profit</v>
      </c>
      <c r="AC425" s="3">
        <f t="shared" si="80"/>
        <v>0.28192203694001311</v>
      </c>
      <c r="AD425" s="3">
        <f t="shared" si="81"/>
        <v>276.755</v>
      </c>
      <c r="AE425" s="3">
        <f t="shared" si="82"/>
        <v>78.023333333333326</v>
      </c>
      <c r="AF425" t="str">
        <f t="shared" si="83"/>
        <v>Regular</v>
      </c>
    </row>
    <row r="426" spans="1:32" x14ac:dyDescent="0.25">
      <c r="A426" t="s">
        <v>6175</v>
      </c>
      <c r="B426" s="1">
        <v>45131</v>
      </c>
      <c r="C426" s="1">
        <v>45133</v>
      </c>
      <c r="D426" s="4">
        <f t="shared" si="72"/>
        <v>2</v>
      </c>
      <c r="E426" s="4" t="str">
        <f>TEXT(Table1[[#This Row],[Order_Date]],"dddd")</f>
        <v>Monday</v>
      </c>
      <c r="F426" s="4">
        <f t="shared" si="73"/>
        <v>7</v>
      </c>
      <c r="G426" t="str">
        <f t="shared" si="76"/>
        <v>July</v>
      </c>
      <c r="H426">
        <f t="shared" si="77"/>
        <v>2023</v>
      </c>
      <c r="I426" t="str">
        <f t="shared" si="78"/>
        <v>2023-Q3</v>
      </c>
      <c r="J426" t="s">
        <v>21</v>
      </c>
      <c r="K426" t="s">
        <v>6176</v>
      </c>
      <c r="L426" t="s">
        <v>6177</v>
      </c>
      <c r="M426" t="s">
        <v>47</v>
      </c>
      <c r="N426" t="s">
        <v>25</v>
      </c>
      <c r="O426" t="s">
        <v>37</v>
      </c>
      <c r="P426" t="s">
        <v>38</v>
      </c>
      <c r="Q426" t="s">
        <v>28</v>
      </c>
      <c r="R426" t="s">
        <v>6178</v>
      </c>
      <c r="S426" t="s">
        <v>30</v>
      </c>
      <c r="T426" t="s">
        <v>41</v>
      </c>
      <c r="U426" t="s">
        <v>6179</v>
      </c>
      <c r="V426" s="3">
        <v>4184.21</v>
      </c>
      <c r="W426" s="4">
        <v>2</v>
      </c>
      <c r="X426" s="2">
        <v>0</v>
      </c>
      <c r="Y426" s="3">
        <v>1247.8399999999999</v>
      </c>
      <c r="Z426" t="str">
        <f t="shared" si="74"/>
        <v>Outlier</v>
      </c>
      <c r="AA426" t="str">
        <f t="shared" si="75"/>
        <v>Low</v>
      </c>
      <c r="AB426" t="str">
        <f t="shared" si="79"/>
        <v>High Profit</v>
      </c>
      <c r="AC426" s="3">
        <f t="shared" si="80"/>
        <v>0.29822594946238357</v>
      </c>
      <c r="AD426" s="3">
        <f t="shared" si="81"/>
        <v>2092.105</v>
      </c>
      <c r="AE426" s="3">
        <f t="shared" si="82"/>
        <v>623.91999999999996</v>
      </c>
      <c r="AF426" t="str">
        <f t="shared" si="83"/>
        <v>Regular</v>
      </c>
    </row>
    <row r="427" spans="1:32" x14ac:dyDescent="0.25">
      <c r="A427" t="s">
        <v>2167</v>
      </c>
      <c r="B427" s="1">
        <v>45131</v>
      </c>
      <c r="C427" s="1">
        <v>45132</v>
      </c>
      <c r="D427" s="4">
        <f t="shared" si="72"/>
        <v>1</v>
      </c>
      <c r="E427" s="4" t="str">
        <f>TEXT(Table1[[#This Row],[Order_Date]],"dddd")</f>
        <v>Monday</v>
      </c>
      <c r="F427" s="4">
        <f t="shared" si="73"/>
        <v>7</v>
      </c>
      <c r="G427" t="str">
        <f t="shared" si="76"/>
        <v>July</v>
      </c>
      <c r="H427">
        <f t="shared" si="77"/>
        <v>2023</v>
      </c>
      <c r="I427" t="str">
        <f t="shared" si="78"/>
        <v>2023-Q3</v>
      </c>
      <c r="J427" t="s">
        <v>21</v>
      </c>
      <c r="K427" t="s">
        <v>2168</v>
      </c>
      <c r="L427" t="s">
        <v>2169</v>
      </c>
      <c r="M427" t="s">
        <v>47</v>
      </c>
      <c r="N427" t="s">
        <v>25</v>
      </c>
      <c r="O427" t="s">
        <v>162</v>
      </c>
      <c r="P427" t="s">
        <v>163</v>
      </c>
      <c r="Q427" t="s">
        <v>28</v>
      </c>
      <c r="R427" t="s">
        <v>2170</v>
      </c>
      <c r="S427" t="s">
        <v>51</v>
      </c>
      <c r="T427" t="s">
        <v>94</v>
      </c>
      <c r="U427" t="s">
        <v>2171</v>
      </c>
      <c r="V427" s="3">
        <v>2308.33</v>
      </c>
      <c r="W427" s="4">
        <v>3</v>
      </c>
      <c r="X427" s="2">
        <v>0.1</v>
      </c>
      <c r="Y427" s="3">
        <v>557.41</v>
      </c>
      <c r="Z427" t="str">
        <f t="shared" si="74"/>
        <v>Normal</v>
      </c>
      <c r="AA427" t="str">
        <f t="shared" si="75"/>
        <v>Medium</v>
      </c>
      <c r="AB427" t="str">
        <f t="shared" si="79"/>
        <v>High Profit</v>
      </c>
      <c r="AC427" s="3">
        <f t="shared" si="80"/>
        <v>0.24147760502181229</v>
      </c>
      <c r="AD427" s="3">
        <f t="shared" si="81"/>
        <v>769.44333333333327</v>
      </c>
      <c r="AE427" s="3">
        <f t="shared" si="82"/>
        <v>185.80333333333331</v>
      </c>
      <c r="AF427" t="str">
        <f t="shared" si="83"/>
        <v>Regular</v>
      </c>
    </row>
    <row r="428" spans="1:32" x14ac:dyDescent="0.25">
      <c r="A428" t="s">
        <v>7305</v>
      </c>
      <c r="B428" s="1">
        <v>45132</v>
      </c>
      <c r="C428" s="1">
        <v>45137</v>
      </c>
      <c r="D428" s="4">
        <f t="shared" si="72"/>
        <v>5</v>
      </c>
      <c r="E428" s="4" t="str">
        <f>TEXT(Table1[[#This Row],[Order_Date]],"dddd")</f>
        <v>Tuesday</v>
      </c>
      <c r="F428" s="4">
        <f t="shared" si="73"/>
        <v>7</v>
      </c>
      <c r="G428" t="str">
        <f t="shared" si="76"/>
        <v>July</v>
      </c>
      <c r="H428">
        <f t="shared" si="77"/>
        <v>2023</v>
      </c>
      <c r="I428" t="str">
        <f t="shared" si="78"/>
        <v>2023-Q3</v>
      </c>
      <c r="J428" t="s">
        <v>21</v>
      </c>
      <c r="K428" t="s">
        <v>7306</v>
      </c>
      <c r="L428" t="s">
        <v>7307</v>
      </c>
      <c r="M428" t="s">
        <v>47</v>
      </c>
      <c r="N428" t="s">
        <v>25</v>
      </c>
      <c r="O428" t="s">
        <v>119</v>
      </c>
      <c r="P428" t="s">
        <v>120</v>
      </c>
      <c r="Q428" t="s">
        <v>87</v>
      </c>
      <c r="R428" t="s">
        <v>7308</v>
      </c>
      <c r="S428" t="s">
        <v>51</v>
      </c>
      <c r="T428" t="s">
        <v>52</v>
      </c>
      <c r="U428" t="s">
        <v>7309</v>
      </c>
      <c r="V428" s="3">
        <v>471.62</v>
      </c>
      <c r="W428" s="4">
        <v>7</v>
      </c>
      <c r="X428" s="2">
        <v>0.2</v>
      </c>
      <c r="Y428" s="3">
        <v>104.12</v>
      </c>
      <c r="Z428" t="str">
        <f t="shared" si="74"/>
        <v>Normal</v>
      </c>
      <c r="AA428" t="str">
        <f t="shared" si="75"/>
        <v>High</v>
      </c>
      <c r="AB428" t="str">
        <f t="shared" si="79"/>
        <v>Low Profit</v>
      </c>
      <c r="AC428" s="3">
        <f t="shared" si="80"/>
        <v>0.2207709596709215</v>
      </c>
      <c r="AD428" s="3">
        <f t="shared" si="81"/>
        <v>67.374285714285719</v>
      </c>
      <c r="AE428" s="3">
        <f t="shared" si="82"/>
        <v>14.874285714285715</v>
      </c>
      <c r="AF428" t="str">
        <f t="shared" si="83"/>
        <v>Regular</v>
      </c>
    </row>
    <row r="429" spans="1:32" x14ac:dyDescent="0.25">
      <c r="A429" t="s">
        <v>4382</v>
      </c>
      <c r="B429" s="1">
        <v>45132</v>
      </c>
      <c r="C429" s="1">
        <v>45138</v>
      </c>
      <c r="D429" s="4">
        <f t="shared" si="72"/>
        <v>6</v>
      </c>
      <c r="E429" s="4" t="str">
        <f>TEXT(Table1[[#This Row],[Order_Date]],"dddd")</f>
        <v>Tuesday</v>
      </c>
      <c r="F429" s="4">
        <f t="shared" si="73"/>
        <v>7</v>
      </c>
      <c r="G429" t="str">
        <f t="shared" si="76"/>
        <v>July</v>
      </c>
      <c r="H429">
        <f t="shared" si="77"/>
        <v>2023</v>
      </c>
      <c r="I429" t="str">
        <f t="shared" si="78"/>
        <v>2023-Q3</v>
      </c>
      <c r="J429" t="s">
        <v>104</v>
      </c>
      <c r="K429" t="s">
        <v>4383</v>
      </c>
      <c r="L429" t="s">
        <v>4384</v>
      </c>
      <c r="M429" t="s">
        <v>47</v>
      </c>
      <c r="N429" t="s">
        <v>25</v>
      </c>
      <c r="O429" t="s">
        <v>382</v>
      </c>
      <c r="P429" t="s">
        <v>38</v>
      </c>
      <c r="Q429" t="s">
        <v>39</v>
      </c>
      <c r="R429" t="s">
        <v>4385</v>
      </c>
      <c r="S429" t="s">
        <v>51</v>
      </c>
      <c r="T429" t="s">
        <v>94</v>
      </c>
      <c r="U429" t="s">
        <v>2432</v>
      </c>
      <c r="V429" s="3">
        <v>3860.79</v>
      </c>
      <c r="W429" s="4">
        <v>7</v>
      </c>
      <c r="X429" s="2">
        <v>0.3</v>
      </c>
      <c r="Y429" s="3">
        <v>132.36000000000001</v>
      </c>
      <c r="Z429" t="str">
        <f t="shared" si="74"/>
        <v>Normal</v>
      </c>
      <c r="AA429" t="str">
        <f t="shared" si="75"/>
        <v>High</v>
      </c>
      <c r="AB429" t="str">
        <f t="shared" si="79"/>
        <v>Low Profit</v>
      </c>
      <c r="AC429" s="3">
        <f t="shared" si="80"/>
        <v>3.428313894306606E-2</v>
      </c>
      <c r="AD429" s="3">
        <f t="shared" si="81"/>
        <v>551.54142857142858</v>
      </c>
      <c r="AE429" s="3">
        <f t="shared" si="82"/>
        <v>18.908571428571431</v>
      </c>
      <c r="AF429" t="str">
        <f t="shared" si="83"/>
        <v>Regular</v>
      </c>
    </row>
    <row r="430" spans="1:32" x14ac:dyDescent="0.25">
      <c r="A430" t="s">
        <v>4897</v>
      </c>
      <c r="B430" s="1">
        <v>45133</v>
      </c>
      <c r="C430" s="1">
        <v>45138</v>
      </c>
      <c r="D430" s="4">
        <f t="shared" si="72"/>
        <v>5</v>
      </c>
      <c r="E430" s="4" t="str">
        <f>TEXT(Table1[[#This Row],[Order_Date]],"dddd")</f>
        <v>Wednesday</v>
      </c>
      <c r="F430" s="4">
        <f t="shared" si="73"/>
        <v>7</v>
      </c>
      <c r="G430" t="str">
        <f t="shared" si="76"/>
        <v>July</v>
      </c>
      <c r="H430">
        <f t="shared" si="77"/>
        <v>2023</v>
      </c>
      <c r="I430" t="str">
        <f t="shared" si="78"/>
        <v>2023-Q3</v>
      </c>
      <c r="J430" t="s">
        <v>55</v>
      </c>
      <c r="K430" t="s">
        <v>4898</v>
      </c>
      <c r="L430" t="s">
        <v>4899</v>
      </c>
      <c r="M430" t="s">
        <v>24</v>
      </c>
      <c r="N430" t="s">
        <v>25</v>
      </c>
      <c r="O430" t="s">
        <v>255</v>
      </c>
      <c r="P430" t="s">
        <v>143</v>
      </c>
      <c r="Q430" t="s">
        <v>28</v>
      </c>
      <c r="R430" t="s">
        <v>4900</v>
      </c>
      <c r="S430" t="s">
        <v>59</v>
      </c>
      <c r="T430" t="s">
        <v>303</v>
      </c>
      <c r="U430" t="s">
        <v>4901</v>
      </c>
      <c r="V430" s="3">
        <v>3922.85</v>
      </c>
      <c r="W430" s="4">
        <v>5</v>
      </c>
      <c r="X430" s="2">
        <v>0.4</v>
      </c>
      <c r="Y430" s="3">
        <v>719.87</v>
      </c>
      <c r="Z430" t="str">
        <f t="shared" si="74"/>
        <v>Normal</v>
      </c>
      <c r="AA430" t="str">
        <f t="shared" si="75"/>
        <v>High</v>
      </c>
      <c r="AB430" t="str">
        <f t="shared" si="79"/>
        <v>High Profit</v>
      </c>
      <c r="AC430" s="3">
        <f t="shared" si="80"/>
        <v>0.18350688912397875</v>
      </c>
      <c r="AD430" s="3">
        <f t="shared" si="81"/>
        <v>784.56999999999994</v>
      </c>
      <c r="AE430" s="3">
        <f t="shared" si="82"/>
        <v>143.97399999999999</v>
      </c>
      <c r="AF430" t="str">
        <f t="shared" si="83"/>
        <v>Regular</v>
      </c>
    </row>
    <row r="431" spans="1:32" x14ac:dyDescent="0.25">
      <c r="A431" t="s">
        <v>2325</v>
      </c>
      <c r="B431" s="1">
        <v>45133</v>
      </c>
      <c r="C431" s="1">
        <v>45142</v>
      </c>
      <c r="D431" s="4">
        <f t="shared" si="72"/>
        <v>9</v>
      </c>
      <c r="E431" s="4" t="str">
        <f>TEXT(Table1[[#This Row],[Order_Date]],"dddd")</f>
        <v>Wednesday</v>
      </c>
      <c r="F431" s="4">
        <f t="shared" si="73"/>
        <v>7</v>
      </c>
      <c r="G431" t="str">
        <f t="shared" si="76"/>
        <v>July</v>
      </c>
      <c r="H431">
        <f t="shared" si="77"/>
        <v>2023</v>
      </c>
      <c r="I431" t="str">
        <f t="shared" si="78"/>
        <v>2023-Q3</v>
      </c>
      <c r="J431" t="s">
        <v>104</v>
      </c>
      <c r="K431" t="s">
        <v>2326</v>
      </c>
      <c r="L431" t="s">
        <v>2327</v>
      </c>
      <c r="M431" t="s">
        <v>36</v>
      </c>
      <c r="N431" t="s">
        <v>25</v>
      </c>
      <c r="O431" t="s">
        <v>611</v>
      </c>
      <c r="P431" t="s">
        <v>74</v>
      </c>
      <c r="Q431" t="s">
        <v>87</v>
      </c>
      <c r="R431" t="s">
        <v>2328</v>
      </c>
      <c r="S431" t="s">
        <v>51</v>
      </c>
      <c r="T431" t="s">
        <v>108</v>
      </c>
      <c r="U431" t="s">
        <v>2329</v>
      </c>
      <c r="V431" s="3">
        <v>3816.31</v>
      </c>
      <c r="W431" s="4">
        <v>5</v>
      </c>
      <c r="X431" s="2">
        <v>0.4</v>
      </c>
      <c r="Y431" s="3">
        <v>250.02</v>
      </c>
      <c r="Z431" t="str">
        <f t="shared" si="74"/>
        <v>Normal</v>
      </c>
      <c r="AA431" t="str">
        <f t="shared" si="75"/>
        <v>High</v>
      </c>
      <c r="AB431" t="str">
        <f t="shared" si="79"/>
        <v>Low Profit</v>
      </c>
      <c r="AC431" s="3">
        <f t="shared" si="80"/>
        <v>6.5513545807337453E-2</v>
      </c>
      <c r="AD431" s="3">
        <f t="shared" si="81"/>
        <v>763.26199999999994</v>
      </c>
      <c r="AE431" s="3">
        <f t="shared" si="82"/>
        <v>50.004000000000005</v>
      </c>
      <c r="AF431" t="str">
        <f t="shared" si="83"/>
        <v>Regular</v>
      </c>
    </row>
    <row r="432" spans="1:32" x14ac:dyDescent="0.25">
      <c r="A432" t="s">
        <v>3634</v>
      </c>
      <c r="B432" s="1">
        <v>45135</v>
      </c>
      <c r="C432" s="1">
        <v>45140</v>
      </c>
      <c r="D432" s="4">
        <f t="shared" si="72"/>
        <v>5</v>
      </c>
      <c r="E432" s="4" t="str">
        <f>TEXT(Table1[[#This Row],[Order_Date]],"dddd")</f>
        <v>Friday</v>
      </c>
      <c r="F432" s="4">
        <f t="shared" si="73"/>
        <v>7</v>
      </c>
      <c r="G432" t="str">
        <f t="shared" si="76"/>
        <v>July</v>
      </c>
      <c r="H432">
        <f t="shared" si="77"/>
        <v>2023</v>
      </c>
      <c r="I432" t="str">
        <f t="shared" si="78"/>
        <v>2023-Q3</v>
      </c>
      <c r="J432" t="s">
        <v>55</v>
      </c>
      <c r="K432" t="s">
        <v>3635</v>
      </c>
      <c r="L432" t="s">
        <v>2663</v>
      </c>
      <c r="M432" t="s">
        <v>36</v>
      </c>
      <c r="N432" t="s">
        <v>25</v>
      </c>
      <c r="O432" t="s">
        <v>156</v>
      </c>
      <c r="P432" t="s">
        <v>143</v>
      </c>
      <c r="Q432" t="s">
        <v>28</v>
      </c>
      <c r="R432" t="s">
        <v>3636</v>
      </c>
      <c r="S432" t="s">
        <v>51</v>
      </c>
      <c r="T432" t="s">
        <v>108</v>
      </c>
      <c r="U432" t="s">
        <v>3637</v>
      </c>
      <c r="V432" s="3">
        <v>1073.95</v>
      </c>
      <c r="W432" s="4">
        <v>2</v>
      </c>
      <c r="X432" s="2">
        <v>0</v>
      </c>
      <c r="Y432" s="3">
        <v>-76.349999999999994</v>
      </c>
      <c r="Z432" t="str">
        <f t="shared" si="74"/>
        <v>Normal</v>
      </c>
      <c r="AA432" t="str">
        <f t="shared" si="75"/>
        <v>Low</v>
      </c>
      <c r="AB432" t="str">
        <f t="shared" si="79"/>
        <v>Loss</v>
      </c>
      <c r="AC432" s="3">
        <f t="shared" si="80"/>
        <v>-7.1092695190651325E-2</v>
      </c>
      <c r="AD432" s="3">
        <f t="shared" si="81"/>
        <v>536.97500000000002</v>
      </c>
      <c r="AE432" s="3">
        <f t="shared" si="82"/>
        <v>-38.174999999999997</v>
      </c>
      <c r="AF432" t="str">
        <f t="shared" si="83"/>
        <v>Regular</v>
      </c>
    </row>
    <row r="433" spans="1:32" x14ac:dyDescent="0.25">
      <c r="A433" t="s">
        <v>1126</v>
      </c>
      <c r="B433" s="1">
        <v>45136</v>
      </c>
      <c r="C433" s="1">
        <v>45138</v>
      </c>
      <c r="D433" s="4">
        <f t="shared" si="72"/>
        <v>2</v>
      </c>
      <c r="E433" s="4" t="str">
        <f>TEXT(Table1[[#This Row],[Order_Date]],"dddd")</f>
        <v>Saturday</v>
      </c>
      <c r="F433" s="4">
        <f t="shared" si="73"/>
        <v>7</v>
      </c>
      <c r="G433" t="str">
        <f t="shared" si="76"/>
        <v>July</v>
      </c>
      <c r="H433">
        <f t="shared" si="77"/>
        <v>2023</v>
      </c>
      <c r="I433" t="str">
        <f t="shared" si="78"/>
        <v>2023-Q3</v>
      </c>
      <c r="J433" t="s">
        <v>104</v>
      </c>
      <c r="K433" t="s">
        <v>1127</v>
      </c>
      <c r="L433" t="s">
        <v>1128</v>
      </c>
      <c r="M433" t="s">
        <v>47</v>
      </c>
      <c r="N433" t="s">
        <v>25</v>
      </c>
      <c r="O433" t="s">
        <v>244</v>
      </c>
      <c r="P433" t="s">
        <v>163</v>
      </c>
      <c r="Q433" t="s">
        <v>39</v>
      </c>
      <c r="R433" t="s">
        <v>1129</v>
      </c>
      <c r="S433" t="s">
        <v>59</v>
      </c>
      <c r="T433" t="s">
        <v>101</v>
      </c>
      <c r="U433" t="s">
        <v>1130</v>
      </c>
      <c r="V433" s="3">
        <v>1725.8</v>
      </c>
      <c r="W433" s="4">
        <v>4</v>
      </c>
      <c r="X433" s="2">
        <v>0.4</v>
      </c>
      <c r="Y433" s="3">
        <v>-155.58000000000001</v>
      </c>
      <c r="Z433" t="str">
        <f t="shared" si="74"/>
        <v>Normal</v>
      </c>
      <c r="AA433" t="str">
        <f t="shared" si="75"/>
        <v>High</v>
      </c>
      <c r="AB433" t="str">
        <f t="shared" si="79"/>
        <v>Loss</v>
      </c>
      <c r="AC433" s="3">
        <f t="shared" si="80"/>
        <v>-9.0149495885965936E-2</v>
      </c>
      <c r="AD433" s="3">
        <f t="shared" si="81"/>
        <v>431.45</v>
      </c>
      <c r="AE433" s="3">
        <f t="shared" si="82"/>
        <v>-38.895000000000003</v>
      </c>
      <c r="AF433" t="str">
        <f t="shared" si="83"/>
        <v>Regular</v>
      </c>
    </row>
    <row r="434" spans="1:32" x14ac:dyDescent="0.25">
      <c r="A434" t="s">
        <v>374</v>
      </c>
      <c r="B434" s="1">
        <v>45137</v>
      </c>
      <c r="C434" s="1">
        <v>45146</v>
      </c>
      <c r="D434" s="4">
        <f t="shared" si="72"/>
        <v>9</v>
      </c>
      <c r="E434" s="4" t="str">
        <f>TEXT(Table1[[#This Row],[Order_Date]],"dddd")</f>
        <v>Sunday</v>
      </c>
      <c r="F434" s="4">
        <f t="shared" si="73"/>
        <v>7</v>
      </c>
      <c r="G434" t="str">
        <f t="shared" si="76"/>
        <v>July</v>
      </c>
      <c r="H434">
        <f t="shared" si="77"/>
        <v>2023</v>
      </c>
      <c r="I434" t="str">
        <f t="shared" si="78"/>
        <v>2023-Q3</v>
      </c>
      <c r="J434" t="s">
        <v>55</v>
      </c>
      <c r="K434" t="s">
        <v>375</v>
      </c>
      <c r="L434" t="s">
        <v>376</v>
      </c>
      <c r="M434" t="s">
        <v>24</v>
      </c>
      <c r="N434" t="s">
        <v>25</v>
      </c>
      <c r="O434" t="s">
        <v>227</v>
      </c>
      <c r="P434" t="s">
        <v>49</v>
      </c>
      <c r="Q434" t="s">
        <v>39</v>
      </c>
      <c r="R434" t="s">
        <v>377</v>
      </c>
      <c r="S434" t="s">
        <v>51</v>
      </c>
      <c r="T434" t="s">
        <v>108</v>
      </c>
      <c r="U434" t="s">
        <v>378</v>
      </c>
      <c r="V434" s="3">
        <v>2365.8000000000002</v>
      </c>
      <c r="W434" s="4">
        <v>3</v>
      </c>
      <c r="X434" s="2">
        <v>0.2</v>
      </c>
      <c r="Y434" s="3">
        <v>-8.8699999999999992</v>
      </c>
      <c r="Z434" t="str">
        <f t="shared" si="74"/>
        <v>Normal</v>
      </c>
      <c r="AA434" t="str">
        <f t="shared" si="75"/>
        <v>High</v>
      </c>
      <c r="AB434" t="str">
        <f t="shared" si="79"/>
        <v>Loss</v>
      </c>
      <c r="AC434" s="3">
        <f t="shared" si="80"/>
        <v>-3.7492602925014787E-3</v>
      </c>
      <c r="AD434" s="3">
        <f t="shared" si="81"/>
        <v>788.6</v>
      </c>
      <c r="AE434" s="3">
        <f t="shared" si="82"/>
        <v>-2.9566666666666666</v>
      </c>
      <c r="AF434" t="str">
        <f t="shared" si="83"/>
        <v>Regular</v>
      </c>
    </row>
    <row r="435" spans="1:32" x14ac:dyDescent="0.25">
      <c r="A435" t="s">
        <v>1717</v>
      </c>
      <c r="B435" s="1">
        <v>45138</v>
      </c>
      <c r="C435" s="1">
        <v>45143</v>
      </c>
      <c r="D435" s="4">
        <f t="shared" si="72"/>
        <v>5</v>
      </c>
      <c r="E435" s="4" t="str">
        <f>TEXT(Table1[[#This Row],[Order_Date]],"dddd")</f>
        <v>Monday</v>
      </c>
      <c r="F435" s="4">
        <f t="shared" si="73"/>
        <v>7</v>
      </c>
      <c r="G435" t="str">
        <f t="shared" si="76"/>
        <v>July</v>
      </c>
      <c r="H435">
        <f t="shared" si="77"/>
        <v>2023</v>
      </c>
      <c r="I435" t="str">
        <f t="shared" si="78"/>
        <v>2023-Q3</v>
      </c>
      <c r="J435" t="s">
        <v>44</v>
      </c>
      <c r="K435" t="s">
        <v>7402</v>
      </c>
      <c r="L435" t="s">
        <v>1718</v>
      </c>
      <c r="M435" t="s">
        <v>47</v>
      </c>
      <c r="N435" t="s">
        <v>25</v>
      </c>
      <c r="O435" t="s">
        <v>451</v>
      </c>
      <c r="P435" t="s">
        <v>38</v>
      </c>
      <c r="Q435" t="s">
        <v>87</v>
      </c>
      <c r="R435" t="s">
        <v>1719</v>
      </c>
      <c r="S435" t="s">
        <v>30</v>
      </c>
      <c r="T435" t="s">
        <v>68</v>
      </c>
      <c r="U435" t="s">
        <v>1720</v>
      </c>
      <c r="V435" s="3">
        <v>2888.41</v>
      </c>
      <c r="W435" s="4">
        <v>1</v>
      </c>
      <c r="X435" s="2">
        <v>0.2</v>
      </c>
      <c r="Y435" s="3">
        <v>597.58000000000004</v>
      </c>
      <c r="Z435" t="str">
        <f t="shared" si="74"/>
        <v>Normal</v>
      </c>
      <c r="AA435" t="str">
        <f t="shared" si="75"/>
        <v>High</v>
      </c>
      <c r="AB435" t="str">
        <f t="shared" si="79"/>
        <v>High Profit</v>
      </c>
      <c r="AC435" s="3">
        <f t="shared" si="80"/>
        <v>0.20688891120027977</v>
      </c>
      <c r="AD435" s="3">
        <f t="shared" si="81"/>
        <v>2888.41</v>
      </c>
      <c r="AE435" s="3">
        <f t="shared" si="82"/>
        <v>597.58000000000004</v>
      </c>
      <c r="AF435" t="str">
        <f t="shared" si="83"/>
        <v>Regular</v>
      </c>
    </row>
    <row r="436" spans="1:32" x14ac:dyDescent="0.25">
      <c r="A436" t="s">
        <v>5072</v>
      </c>
      <c r="B436" s="1">
        <v>45138</v>
      </c>
      <c r="C436" s="1">
        <v>45141</v>
      </c>
      <c r="D436" s="4">
        <f t="shared" si="72"/>
        <v>3</v>
      </c>
      <c r="E436" s="4" t="str">
        <f>TEXT(Table1[[#This Row],[Order_Date]],"dddd")</f>
        <v>Monday</v>
      </c>
      <c r="F436" s="4">
        <f t="shared" si="73"/>
        <v>7</v>
      </c>
      <c r="G436" t="str">
        <f t="shared" si="76"/>
        <v>July</v>
      </c>
      <c r="H436">
        <f t="shared" si="77"/>
        <v>2023</v>
      </c>
      <c r="I436" t="str">
        <f t="shared" si="78"/>
        <v>2023-Q3</v>
      </c>
      <c r="J436" t="s">
        <v>44</v>
      </c>
      <c r="K436" t="s">
        <v>5073</v>
      </c>
      <c r="L436" t="s">
        <v>5074</v>
      </c>
      <c r="M436" t="s">
        <v>47</v>
      </c>
      <c r="N436" t="s">
        <v>25</v>
      </c>
      <c r="O436" t="s">
        <v>149</v>
      </c>
      <c r="P436" t="s">
        <v>113</v>
      </c>
      <c r="Q436" t="s">
        <v>39</v>
      </c>
      <c r="R436" t="s">
        <v>5075</v>
      </c>
      <c r="S436" t="s">
        <v>59</v>
      </c>
      <c r="T436" t="s">
        <v>60</v>
      </c>
      <c r="U436" t="s">
        <v>5076</v>
      </c>
      <c r="V436" s="3">
        <v>4382.09</v>
      </c>
      <c r="W436" s="4">
        <v>10</v>
      </c>
      <c r="X436" s="2">
        <v>0</v>
      </c>
      <c r="Y436" s="3">
        <v>-336.44</v>
      </c>
      <c r="Z436" t="str">
        <f t="shared" si="74"/>
        <v>Normal</v>
      </c>
      <c r="AA436" t="str">
        <f t="shared" si="75"/>
        <v>Low</v>
      </c>
      <c r="AB436" t="str">
        <f t="shared" si="79"/>
        <v>Loss</v>
      </c>
      <c r="AC436" s="3">
        <f t="shared" si="80"/>
        <v>-7.677615019317266E-2</v>
      </c>
      <c r="AD436" s="3">
        <f t="shared" si="81"/>
        <v>438.209</v>
      </c>
      <c r="AE436" s="3">
        <f t="shared" si="82"/>
        <v>-33.643999999999998</v>
      </c>
      <c r="AF436" t="str">
        <f t="shared" si="83"/>
        <v>Regular</v>
      </c>
    </row>
    <row r="437" spans="1:32" x14ac:dyDescent="0.25">
      <c r="A437" t="s">
        <v>6505</v>
      </c>
      <c r="B437" s="1">
        <v>45138</v>
      </c>
      <c r="C437" s="1">
        <v>45146</v>
      </c>
      <c r="D437" s="4">
        <f t="shared" si="72"/>
        <v>8</v>
      </c>
      <c r="E437" s="4" t="str">
        <f>TEXT(Table1[[#This Row],[Order_Date]],"dddd")</f>
        <v>Monday</v>
      </c>
      <c r="F437" s="4">
        <f t="shared" si="73"/>
        <v>7</v>
      </c>
      <c r="G437" t="str">
        <f t="shared" si="76"/>
        <v>July</v>
      </c>
      <c r="H437">
        <f t="shared" si="77"/>
        <v>2023</v>
      </c>
      <c r="I437" t="str">
        <f t="shared" si="78"/>
        <v>2023-Q3</v>
      </c>
      <c r="J437" t="s">
        <v>104</v>
      </c>
      <c r="K437" t="s">
        <v>6506</v>
      </c>
      <c r="L437" t="s">
        <v>6507</v>
      </c>
      <c r="M437" t="s">
        <v>24</v>
      </c>
      <c r="N437" t="s">
        <v>25</v>
      </c>
      <c r="O437" t="s">
        <v>48</v>
      </c>
      <c r="P437" t="s">
        <v>49</v>
      </c>
      <c r="Q437" t="s">
        <v>39</v>
      </c>
      <c r="R437" t="s">
        <v>6508</v>
      </c>
      <c r="S437" t="s">
        <v>51</v>
      </c>
      <c r="T437" t="s">
        <v>127</v>
      </c>
      <c r="U437" t="s">
        <v>6509</v>
      </c>
      <c r="V437" s="3">
        <v>4310.21</v>
      </c>
      <c r="W437" s="4">
        <v>6</v>
      </c>
      <c r="X437" s="2">
        <v>0.4</v>
      </c>
      <c r="Y437" s="3">
        <v>2.89</v>
      </c>
      <c r="Z437" t="str">
        <f t="shared" si="74"/>
        <v>Normal</v>
      </c>
      <c r="AA437" t="str">
        <f t="shared" si="75"/>
        <v>High</v>
      </c>
      <c r="AB437" t="str">
        <f t="shared" si="79"/>
        <v>Low Profit</v>
      </c>
      <c r="AC437" s="3">
        <f t="shared" si="80"/>
        <v>6.7050097327044393E-4</v>
      </c>
      <c r="AD437" s="3">
        <f t="shared" si="81"/>
        <v>718.36833333333334</v>
      </c>
      <c r="AE437" s="3">
        <f t="shared" si="82"/>
        <v>0.48166666666666669</v>
      </c>
      <c r="AF437" t="str">
        <f t="shared" si="83"/>
        <v>Regular</v>
      </c>
    </row>
    <row r="438" spans="1:32" x14ac:dyDescent="0.25">
      <c r="A438" t="s">
        <v>2504</v>
      </c>
      <c r="B438" s="1">
        <v>45139</v>
      </c>
      <c r="C438" s="1">
        <v>45149</v>
      </c>
      <c r="D438" s="4">
        <f t="shared" si="72"/>
        <v>10</v>
      </c>
      <c r="E438" s="4" t="str">
        <f>TEXT(Table1[[#This Row],[Order_Date]],"dddd")</f>
        <v>Tuesday</v>
      </c>
      <c r="F438" s="4">
        <f t="shared" si="73"/>
        <v>8</v>
      </c>
      <c r="G438" t="str">
        <f t="shared" si="76"/>
        <v>August</v>
      </c>
      <c r="H438">
        <f t="shared" si="77"/>
        <v>2023</v>
      </c>
      <c r="I438" t="str">
        <f t="shared" si="78"/>
        <v>2023-Q3</v>
      </c>
      <c r="J438" t="s">
        <v>55</v>
      </c>
      <c r="K438" t="s">
        <v>2505</v>
      </c>
      <c r="L438" t="s">
        <v>2506</v>
      </c>
      <c r="M438" t="s">
        <v>36</v>
      </c>
      <c r="N438" t="s">
        <v>25</v>
      </c>
      <c r="O438" t="s">
        <v>451</v>
      </c>
      <c r="P438" t="s">
        <v>38</v>
      </c>
      <c r="Q438" t="s">
        <v>66</v>
      </c>
      <c r="R438" t="s">
        <v>2507</v>
      </c>
      <c r="S438" t="s">
        <v>51</v>
      </c>
      <c r="T438" t="s">
        <v>94</v>
      </c>
      <c r="U438" t="s">
        <v>2508</v>
      </c>
      <c r="V438" s="3">
        <v>2181.34</v>
      </c>
      <c r="W438" s="4">
        <v>2</v>
      </c>
      <c r="X438" s="2">
        <v>0.3</v>
      </c>
      <c r="Y438" s="3">
        <v>-410.27</v>
      </c>
      <c r="Z438" t="str">
        <f t="shared" si="74"/>
        <v>Normal</v>
      </c>
      <c r="AA438" t="str">
        <f t="shared" si="75"/>
        <v>High</v>
      </c>
      <c r="AB438" t="str">
        <f t="shared" si="79"/>
        <v>Loss</v>
      </c>
      <c r="AC438" s="3">
        <f t="shared" si="80"/>
        <v>-0.1880816378923047</v>
      </c>
      <c r="AD438" s="3">
        <f t="shared" si="81"/>
        <v>1090.67</v>
      </c>
      <c r="AE438" s="3">
        <f t="shared" si="82"/>
        <v>-205.13499999999999</v>
      </c>
      <c r="AF438" t="str">
        <f t="shared" si="83"/>
        <v>Regular</v>
      </c>
    </row>
    <row r="439" spans="1:32" x14ac:dyDescent="0.25">
      <c r="A439" t="s">
        <v>241</v>
      </c>
      <c r="B439" s="1">
        <v>45139</v>
      </c>
      <c r="C439" s="1">
        <v>45146</v>
      </c>
      <c r="D439" s="4">
        <f t="shared" si="72"/>
        <v>7</v>
      </c>
      <c r="E439" s="4" t="str">
        <f>TEXT(Table1[[#This Row],[Order_Date]],"dddd")</f>
        <v>Tuesday</v>
      </c>
      <c r="F439" s="4">
        <f t="shared" si="73"/>
        <v>8</v>
      </c>
      <c r="G439" t="str">
        <f t="shared" si="76"/>
        <v>August</v>
      </c>
      <c r="H439">
        <f t="shared" si="77"/>
        <v>2023</v>
      </c>
      <c r="I439" t="str">
        <f t="shared" si="78"/>
        <v>2023-Q3</v>
      </c>
      <c r="J439" t="s">
        <v>21</v>
      </c>
      <c r="K439" t="s">
        <v>242</v>
      </c>
      <c r="L439" t="s">
        <v>243</v>
      </c>
      <c r="M439" t="s">
        <v>47</v>
      </c>
      <c r="N439" t="s">
        <v>25</v>
      </c>
      <c r="O439" t="s">
        <v>244</v>
      </c>
      <c r="P439" t="s">
        <v>163</v>
      </c>
      <c r="Q439" t="s">
        <v>87</v>
      </c>
      <c r="R439" t="s">
        <v>245</v>
      </c>
      <c r="S439" t="s">
        <v>30</v>
      </c>
      <c r="T439" t="s">
        <v>68</v>
      </c>
      <c r="U439" t="s">
        <v>246</v>
      </c>
      <c r="V439" s="3">
        <v>105.43</v>
      </c>
      <c r="W439" s="4">
        <v>4</v>
      </c>
      <c r="X439" s="2">
        <v>0.1</v>
      </c>
      <c r="Y439" s="3">
        <v>-9.9499999999999993</v>
      </c>
      <c r="Z439" t="str">
        <f t="shared" si="74"/>
        <v>Normal</v>
      </c>
      <c r="AA439" t="str">
        <f t="shared" si="75"/>
        <v>Medium</v>
      </c>
      <c r="AB439" t="str">
        <f t="shared" si="79"/>
        <v>Loss</v>
      </c>
      <c r="AC439" s="3">
        <f t="shared" si="80"/>
        <v>-9.4375414967276847E-2</v>
      </c>
      <c r="AD439" s="3">
        <f t="shared" si="81"/>
        <v>26.357500000000002</v>
      </c>
      <c r="AE439" s="3">
        <f t="shared" si="82"/>
        <v>-2.4874999999999998</v>
      </c>
      <c r="AF439" t="str">
        <f t="shared" si="83"/>
        <v>Regular</v>
      </c>
    </row>
    <row r="440" spans="1:32" x14ac:dyDescent="0.25">
      <c r="A440" t="s">
        <v>4480</v>
      </c>
      <c r="B440" s="1">
        <v>45139</v>
      </c>
      <c r="C440" s="1">
        <v>45140</v>
      </c>
      <c r="D440" s="4">
        <f t="shared" si="72"/>
        <v>1</v>
      </c>
      <c r="E440" s="4" t="str">
        <f>TEXT(Table1[[#This Row],[Order_Date]],"dddd")</f>
        <v>Tuesday</v>
      </c>
      <c r="F440" s="4">
        <f t="shared" si="73"/>
        <v>8</v>
      </c>
      <c r="G440" t="str">
        <f t="shared" si="76"/>
        <v>August</v>
      </c>
      <c r="H440">
        <f t="shared" si="77"/>
        <v>2023</v>
      </c>
      <c r="I440" t="str">
        <f t="shared" si="78"/>
        <v>2023-Q3</v>
      </c>
      <c r="J440" t="s">
        <v>21</v>
      </c>
      <c r="K440" t="s">
        <v>4481</v>
      </c>
      <c r="L440" t="s">
        <v>4482</v>
      </c>
      <c r="M440" t="s">
        <v>24</v>
      </c>
      <c r="N440" t="s">
        <v>25</v>
      </c>
      <c r="O440" t="s">
        <v>48</v>
      </c>
      <c r="P440" t="s">
        <v>49</v>
      </c>
      <c r="Q440" t="s">
        <v>28</v>
      </c>
      <c r="R440" t="s">
        <v>4483</v>
      </c>
      <c r="S440" t="s">
        <v>30</v>
      </c>
      <c r="T440" t="s">
        <v>41</v>
      </c>
      <c r="U440" t="s">
        <v>4484</v>
      </c>
      <c r="V440" s="3">
        <v>3202.84</v>
      </c>
      <c r="W440" s="4">
        <v>5</v>
      </c>
      <c r="X440" s="2">
        <v>0.1</v>
      </c>
      <c r="Y440" s="3">
        <v>426.28</v>
      </c>
      <c r="Z440" t="str">
        <f t="shared" si="74"/>
        <v>Normal</v>
      </c>
      <c r="AA440" t="str">
        <f t="shared" si="75"/>
        <v>Medium</v>
      </c>
      <c r="AB440" t="str">
        <f t="shared" si="79"/>
        <v>Low Profit</v>
      </c>
      <c r="AC440" s="3">
        <f t="shared" si="80"/>
        <v>0.13309437873886923</v>
      </c>
      <c r="AD440" s="3">
        <f t="shared" si="81"/>
        <v>640.56799999999998</v>
      </c>
      <c r="AE440" s="3">
        <f t="shared" si="82"/>
        <v>85.256</v>
      </c>
      <c r="AF440" t="str">
        <f t="shared" si="83"/>
        <v>Regular</v>
      </c>
    </row>
    <row r="441" spans="1:32" x14ac:dyDescent="0.25">
      <c r="A441" t="s">
        <v>5657</v>
      </c>
      <c r="B441" s="1">
        <v>45140</v>
      </c>
      <c r="C441" s="1">
        <v>45149</v>
      </c>
      <c r="D441" s="4">
        <f t="shared" si="72"/>
        <v>9</v>
      </c>
      <c r="E441" s="4" t="str">
        <f>TEXT(Table1[[#This Row],[Order_Date]],"dddd")</f>
        <v>Wednesday</v>
      </c>
      <c r="F441" s="4">
        <f t="shared" si="73"/>
        <v>8</v>
      </c>
      <c r="G441" t="str">
        <f t="shared" si="76"/>
        <v>August</v>
      </c>
      <c r="H441">
        <f t="shared" si="77"/>
        <v>2023</v>
      </c>
      <c r="I441" t="str">
        <f t="shared" si="78"/>
        <v>2023-Q3</v>
      </c>
      <c r="J441" t="s">
        <v>21</v>
      </c>
      <c r="K441" t="s">
        <v>5658</v>
      </c>
      <c r="L441" t="s">
        <v>5659</v>
      </c>
      <c r="M441" t="s">
        <v>47</v>
      </c>
      <c r="N441" t="s">
        <v>25</v>
      </c>
      <c r="O441" t="s">
        <v>227</v>
      </c>
      <c r="P441" t="s">
        <v>49</v>
      </c>
      <c r="Q441" t="s">
        <v>28</v>
      </c>
      <c r="R441" t="s">
        <v>5660</v>
      </c>
      <c r="S441" t="s">
        <v>51</v>
      </c>
      <c r="T441" t="s">
        <v>94</v>
      </c>
      <c r="U441" t="s">
        <v>5661</v>
      </c>
      <c r="V441" s="3">
        <v>3632.6</v>
      </c>
      <c r="W441" s="4">
        <v>3</v>
      </c>
      <c r="X441" s="2">
        <v>0.1</v>
      </c>
      <c r="Y441" s="3">
        <v>626.38</v>
      </c>
      <c r="Z441" t="str">
        <f t="shared" si="74"/>
        <v>Normal</v>
      </c>
      <c r="AA441" t="str">
        <f t="shared" si="75"/>
        <v>Medium</v>
      </c>
      <c r="AB441" t="str">
        <f t="shared" si="79"/>
        <v>High Profit</v>
      </c>
      <c r="AC441" s="3">
        <f t="shared" si="80"/>
        <v>0.17243296812200629</v>
      </c>
      <c r="AD441" s="3">
        <f t="shared" si="81"/>
        <v>1210.8666666666666</v>
      </c>
      <c r="AE441" s="3">
        <f t="shared" si="82"/>
        <v>208.79333333333332</v>
      </c>
      <c r="AF441" t="str">
        <f t="shared" si="83"/>
        <v>Regular</v>
      </c>
    </row>
    <row r="442" spans="1:32" x14ac:dyDescent="0.25">
      <c r="A442" t="s">
        <v>5927</v>
      </c>
      <c r="B442" s="1">
        <v>45140</v>
      </c>
      <c r="C442" s="1">
        <v>45144</v>
      </c>
      <c r="D442" s="4">
        <f t="shared" si="72"/>
        <v>4</v>
      </c>
      <c r="E442" s="4" t="str">
        <f>TEXT(Table1[[#This Row],[Order_Date]],"dddd")</f>
        <v>Wednesday</v>
      </c>
      <c r="F442" s="4">
        <f t="shared" si="73"/>
        <v>8</v>
      </c>
      <c r="G442" t="str">
        <f t="shared" si="76"/>
        <v>August</v>
      </c>
      <c r="H442">
        <f t="shared" si="77"/>
        <v>2023</v>
      </c>
      <c r="I442" t="str">
        <f t="shared" si="78"/>
        <v>2023-Q3</v>
      </c>
      <c r="J442" t="s">
        <v>21</v>
      </c>
      <c r="K442" t="s">
        <v>5928</v>
      </c>
      <c r="L442" t="s">
        <v>5929</v>
      </c>
      <c r="M442" t="s">
        <v>36</v>
      </c>
      <c r="N442" t="s">
        <v>25</v>
      </c>
      <c r="O442" t="s">
        <v>611</v>
      </c>
      <c r="P442" t="s">
        <v>74</v>
      </c>
      <c r="Q442" t="s">
        <v>87</v>
      </c>
      <c r="R442" t="s">
        <v>5930</v>
      </c>
      <c r="S442" t="s">
        <v>51</v>
      </c>
      <c r="T442" t="s">
        <v>94</v>
      </c>
      <c r="U442" t="s">
        <v>5931</v>
      </c>
      <c r="V442" s="3">
        <v>1301.75</v>
      </c>
      <c r="W442" s="4">
        <v>9</v>
      </c>
      <c r="X442" s="2">
        <v>0</v>
      </c>
      <c r="Y442" s="3">
        <v>236.9</v>
      </c>
      <c r="Z442" t="str">
        <f t="shared" si="74"/>
        <v>Normal</v>
      </c>
      <c r="AA442" t="str">
        <f t="shared" si="75"/>
        <v>Low</v>
      </c>
      <c r="AB442" t="str">
        <f t="shared" si="79"/>
        <v>Low Profit</v>
      </c>
      <c r="AC442" s="3">
        <f t="shared" si="80"/>
        <v>0.18198578836182064</v>
      </c>
      <c r="AD442" s="3">
        <f t="shared" si="81"/>
        <v>144.63888888888889</v>
      </c>
      <c r="AE442" s="3">
        <f t="shared" si="82"/>
        <v>26.322222222222223</v>
      </c>
      <c r="AF442" t="str">
        <f t="shared" si="83"/>
        <v>Regular</v>
      </c>
    </row>
    <row r="443" spans="1:32" x14ac:dyDescent="0.25">
      <c r="A443" t="s">
        <v>1951</v>
      </c>
      <c r="B443" s="1">
        <v>45141</v>
      </c>
      <c r="C443" s="1">
        <v>45145</v>
      </c>
      <c r="D443" s="4">
        <f t="shared" si="72"/>
        <v>4</v>
      </c>
      <c r="E443" s="4" t="str">
        <f>TEXT(Table1[[#This Row],[Order_Date]],"dddd")</f>
        <v>Thursday</v>
      </c>
      <c r="F443" s="4">
        <f t="shared" si="73"/>
        <v>8</v>
      </c>
      <c r="G443" t="str">
        <f t="shared" si="76"/>
        <v>August</v>
      </c>
      <c r="H443">
        <f t="shared" si="77"/>
        <v>2023</v>
      </c>
      <c r="I443" t="str">
        <f t="shared" si="78"/>
        <v>2023-Q3</v>
      </c>
      <c r="J443" t="s">
        <v>44</v>
      </c>
      <c r="K443" t="s">
        <v>1952</v>
      </c>
      <c r="L443" t="s">
        <v>1953</v>
      </c>
      <c r="M443" t="s">
        <v>47</v>
      </c>
      <c r="N443" t="s">
        <v>25</v>
      </c>
      <c r="O443" t="s">
        <v>26</v>
      </c>
      <c r="P443" t="s">
        <v>27</v>
      </c>
      <c r="Q443" t="s">
        <v>28</v>
      </c>
      <c r="R443" t="s">
        <v>1954</v>
      </c>
      <c r="S443" t="s">
        <v>30</v>
      </c>
      <c r="T443" t="s">
        <v>68</v>
      </c>
      <c r="U443" t="s">
        <v>1955</v>
      </c>
      <c r="V443" s="3">
        <v>1902.84</v>
      </c>
      <c r="W443" s="4">
        <v>7</v>
      </c>
      <c r="X443" s="2">
        <v>0.4</v>
      </c>
      <c r="Y443" s="3">
        <v>-330.85</v>
      </c>
      <c r="Z443" t="str">
        <f t="shared" si="74"/>
        <v>Normal</v>
      </c>
      <c r="AA443" t="str">
        <f t="shared" si="75"/>
        <v>High</v>
      </c>
      <c r="AB443" t="str">
        <f t="shared" si="79"/>
        <v>Loss</v>
      </c>
      <c r="AC443" s="3">
        <f t="shared" si="80"/>
        <v>-0.17387168653171051</v>
      </c>
      <c r="AD443" s="3">
        <f t="shared" si="81"/>
        <v>271.83428571428573</v>
      </c>
      <c r="AE443" s="3">
        <f t="shared" si="82"/>
        <v>-47.26428571428572</v>
      </c>
      <c r="AF443" t="str">
        <f t="shared" si="83"/>
        <v>Regular</v>
      </c>
    </row>
    <row r="444" spans="1:32" x14ac:dyDescent="0.25">
      <c r="A444" t="s">
        <v>708</v>
      </c>
      <c r="B444" s="1">
        <v>45141</v>
      </c>
      <c r="C444" s="1">
        <v>45147</v>
      </c>
      <c r="D444" s="4">
        <f t="shared" si="72"/>
        <v>6</v>
      </c>
      <c r="E444" s="4" t="str">
        <f>TEXT(Table1[[#This Row],[Order_Date]],"dddd")</f>
        <v>Thursday</v>
      </c>
      <c r="F444" s="4">
        <f t="shared" si="73"/>
        <v>8</v>
      </c>
      <c r="G444" t="str">
        <f t="shared" si="76"/>
        <v>August</v>
      </c>
      <c r="H444">
        <f t="shared" si="77"/>
        <v>2023</v>
      </c>
      <c r="I444" t="str">
        <f t="shared" si="78"/>
        <v>2023-Q3</v>
      </c>
      <c r="J444" t="s">
        <v>55</v>
      </c>
      <c r="K444" t="s">
        <v>709</v>
      </c>
      <c r="L444" t="s">
        <v>710</v>
      </c>
      <c r="M444" t="s">
        <v>47</v>
      </c>
      <c r="N444" t="s">
        <v>25</v>
      </c>
      <c r="O444" t="s">
        <v>179</v>
      </c>
      <c r="P444" t="s">
        <v>27</v>
      </c>
      <c r="Q444" t="s">
        <v>87</v>
      </c>
      <c r="R444" t="s">
        <v>711</v>
      </c>
      <c r="S444" t="s">
        <v>30</v>
      </c>
      <c r="T444" t="s">
        <v>82</v>
      </c>
      <c r="U444" t="s">
        <v>712</v>
      </c>
      <c r="V444" s="3">
        <v>4071.44</v>
      </c>
      <c r="W444" s="4">
        <v>10</v>
      </c>
      <c r="X444" s="2">
        <v>0.3</v>
      </c>
      <c r="Y444" s="3">
        <v>782.36</v>
      </c>
      <c r="Z444" t="str">
        <f t="shared" si="74"/>
        <v>Normal</v>
      </c>
      <c r="AA444" t="str">
        <f t="shared" si="75"/>
        <v>High</v>
      </c>
      <c r="AB444" t="str">
        <f t="shared" si="79"/>
        <v>High Profit</v>
      </c>
      <c r="AC444" s="3">
        <f t="shared" si="80"/>
        <v>0.1921580571001906</v>
      </c>
      <c r="AD444" s="3">
        <f t="shared" si="81"/>
        <v>407.14400000000001</v>
      </c>
      <c r="AE444" s="3">
        <f t="shared" si="82"/>
        <v>78.236000000000004</v>
      </c>
      <c r="AF444" t="str">
        <f t="shared" si="83"/>
        <v>Regular</v>
      </c>
    </row>
    <row r="445" spans="1:32" x14ac:dyDescent="0.25">
      <c r="A445" t="s">
        <v>4554</v>
      </c>
      <c r="B445" s="1">
        <v>45141</v>
      </c>
      <c r="C445" s="1">
        <v>45144</v>
      </c>
      <c r="D445" s="4">
        <f t="shared" si="72"/>
        <v>3</v>
      </c>
      <c r="E445" s="4" t="str">
        <f>TEXT(Table1[[#This Row],[Order_Date]],"dddd")</f>
        <v>Thursday</v>
      </c>
      <c r="F445" s="4">
        <f t="shared" si="73"/>
        <v>8</v>
      </c>
      <c r="G445" t="str">
        <f t="shared" si="76"/>
        <v>August</v>
      </c>
      <c r="H445">
        <f t="shared" si="77"/>
        <v>2023</v>
      </c>
      <c r="I445" t="str">
        <f t="shared" si="78"/>
        <v>2023-Q3</v>
      </c>
      <c r="J445" t="s">
        <v>55</v>
      </c>
      <c r="K445" t="s">
        <v>4555</v>
      </c>
      <c r="L445" t="s">
        <v>4556</v>
      </c>
      <c r="M445" t="s">
        <v>24</v>
      </c>
      <c r="N445" t="s">
        <v>25</v>
      </c>
      <c r="O445" t="s">
        <v>119</v>
      </c>
      <c r="P445" t="s">
        <v>120</v>
      </c>
      <c r="Q445" t="s">
        <v>39</v>
      </c>
      <c r="R445" t="s">
        <v>4557</v>
      </c>
      <c r="S445" t="s">
        <v>30</v>
      </c>
      <c r="T445" t="s">
        <v>82</v>
      </c>
      <c r="U445" t="s">
        <v>4558</v>
      </c>
      <c r="V445" s="3">
        <v>1491.7</v>
      </c>
      <c r="W445" s="4">
        <v>2</v>
      </c>
      <c r="X445" s="2">
        <v>0.4</v>
      </c>
      <c r="Y445" s="3">
        <v>-20.309999999999999</v>
      </c>
      <c r="Z445" t="str">
        <f t="shared" si="74"/>
        <v>Normal</v>
      </c>
      <c r="AA445" t="str">
        <f t="shared" si="75"/>
        <v>High</v>
      </c>
      <c r="AB445" t="str">
        <f t="shared" si="79"/>
        <v>Loss</v>
      </c>
      <c r="AC445" s="3">
        <f t="shared" si="80"/>
        <v>-1.3615338204732853E-2</v>
      </c>
      <c r="AD445" s="3">
        <f t="shared" si="81"/>
        <v>745.85</v>
      </c>
      <c r="AE445" s="3">
        <f t="shared" si="82"/>
        <v>-10.154999999999999</v>
      </c>
      <c r="AF445" t="str">
        <f t="shared" si="83"/>
        <v>Regular</v>
      </c>
    </row>
    <row r="446" spans="1:32" x14ac:dyDescent="0.25">
      <c r="A446" t="s">
        <v>6630</v>
      </c>
      <c r="B446" s="1">
        <v>45141</v>
      </c>
      <c r="C446" s="1">
        <v>45146</v>
      </c>
      <c r="D446" s="4">
        <f t="shared" si="72"/>
        <v>5</v>
      </c>
      <c r="E446" s="4" t="str">
        <f>TEXT(Table1[[#This Row],[Order_Date]],"dddd")</f>
        <v>Thursday</v>
      </c>
      <c r="F446" s="4">
        <f t="shared" si="73"/>
        <v>8</v>
      </c>
      <c r="G446" t="str">
        <f t="shared" si="76"/>
        <v>August</v>
      </c>
      <c r="H446">
        <f t="shared" si="77"/>
        <v>2023</v>
      </c>
      <c r="I446" t="str">
        <f t="shared" si="78"/>
        <v>2023-Q3</v>
      </c>
      <c r="J446" t="s">
        <v>104</v>
      </c>
      <c r="K446" t="s">
        <v>6631</v>
      </c>
      <c r="L446" t="s">
        <v>6632</v>
      </c>
      <c r="M446" t="s">
        <v>47</v>
      </c>
      <c r="N446" t="s">
        <v>25</v>
      </c>
      <c r="O446" t="s">
        <v>37</v>
      </c>
      <c r="P446" t="s">
        <v>38</v>
      </c>
      <c r="Q446" t="s">
        <v>87</v>
      </c>
      <c r="R446" t="s">
        <v>6633</v>
      </c>
      <c r="S446" t="s">
        <v>59</v>
      </c>
      <c r="T446" t="s">
        <v>101</v>
      </c>
      <c r="U446" t="s">
        <v>6634</v>
      </c>
      <c r="V446" s="3">
        <v>1284.1300000000001</v>
      </c>
      <c r="W446" s="4">
        <v>6</v>
      </c>
      <c r="X446" s="2">
        <v>0.4</v>
      </c>
      <c r="Y446" s="3">
        <v>-57.01</v>
      </c>
      <c r="Z446" t="str">
        <f t="shared" si="74"/>
        <v>Normal</v>
      </c>
      <c r="AA446" t="str">
        <f t="shared" si="75"/>
        <v>High</v>
      </c>
      <c r="AB446" t="str">
        <f t="shared" si="79"/>
        <v>Loss</v>
      </c>
      <c r="AC446" s="3">
        <f t="shared" si="80"/>
        <v>-4.4395816622927582E-2</v>
      </c>
      <c r="AD446" s="3">
        <f t="shared" si="81"/>
        <v>214.02166666666668</v>
      </c>
      <c r="AE446" s="3">
        <f t="shared" si="82"/>
        <v>-9.5016666666666669</v>
      </c>
      <c r="AF446" t="str">
        <f t="shared" si="83"/>
        <v>Regular</v>
      </c>
    </row>
    <row r="447" spans="1:32" x14ac:dyDescent="0.25">
      <c r="A447" t="s">
        <v>1736</v>
      </c>
      <c r="B447" s="1">
        <v>45141</v>
      </c>
      <c r="C447" s="1">
        <v>45145</v>
      </c>
      <c r="D447" s="4">
        <f t="shared" si="72"/>
        <v>4</v>
      </c>
      <c r="E447" s="4" t="str">
        <f>TEXT(Table1[[#This Row],[Order_Date]],"dddd")</f>
        <v>Thursday</v>
      </c>
      <c r="F447" s="4">
        <f t="shared" si="73"/>
        <v>8</v>
      </c>
      <c r="G447" t="str">
        <f t="shared" si="76"/>
        <v>August</v>
      </c>
      <c r="H447">
        <f t="shared" si="77"/>
        <v>2023</v>
      </c>
      <c r="I447" t="str">
        <f t="shared" si="78"/>
        <v>2023-Q3</v>
      </c>
      <c r="J447" t="s">
        <v>44</v>
      </c>
      <c r="K447" t="s">
        <v>1737</v>
      </c>
      <c r="L447" t="s">
        <v>1738</v>
      </c>
      <c r="M447" t="s">
        <v>24</v>
      </c>
      <c r="N447" t="s">
        <v>25</v>
      </c>
      <c r="O447" t="s">
        <v>244</v>
      </c>
      <c r="P447" t="s">
        <v>163</v>
      </c>
      <c r="Q447" t="s">
        <v>87</v>
      </c>
      <c r="R447" t="s">
        <v>1739</v>
      </c>
      <c r="S447" t="s">
        <v>51</v>
      </c>
      <c r="T447" t="s">
        <v>151</v>
      </c>
      <c r="U447" t="s">
        <v>1740</v>
      </c>
      <c r="V447" s="3">
        <v>3225.73</v>
      </c>
      <c r="W447" s="4">
        <v>1</v>
      </c>
      <c r="X447" s="2">
        <v>0.4</v>
      </c>
      <c r="Y447" s="3">
        <v>46.94</v>
      </c>
      <c r="Z447" t="str">
        <f t="shared" si="74"/>
        <v>Normal</v>
      </c>
      <c r="AA447" t="str">
        <f t="shared" si="75"/>
        <v>High</v>
      </c>
      <c r="AB447" t="str">
        <f t="shared" si="79"/>
        <v>Low Profit</v>
      </c>
      <c r="AC447" s="3">
        <f t="shared" si="80"/>
        <v>1.4551744876353568E-2</v>
      </c>
      <c r="AD447" s="3">
        <f t="shared" si="81"/>
        <v>3225.73</v>
      </c>
      <c r="AE447" s="3">
        <f t="shared" si="82"/>
        <v>46.94</v>
      </c>
      <c r="AF447" t="str">
        <f t="shared" si="83"/>
        <v>Regular</v>
      </c>
    </row>
    <row r="448" spans="1:32" x14ac:dyDescent="0.25">
      <c r="A448" t="s">
        <v>848</v>
      </c>
      <c r="B448" s="1">
        <v>45143</v>
      </c>
      <c r="C448" s="1">
        <v>45148</v>
      </c>
      <c r="D448" s="4">
        <f t="shared" si="72"/>
        <v>5</v>
      </c>
      <c r="E448" s="4" t="str">
        <f>TEXT(Table1[[#This Row],[Order_Date]],"dddd")</f>
        <v>Saturday</v>
      </c>
      <c r="F448" s="4">
        <f t="shared" si="73"/>
        <v>8</v>
      </c>
      <c r="G448" t="str">
        <f t="shared" si="76"/>
        <v>August</v>
      </c>
      <c r="H448">
        <f t="shared" si="77"/>
        <v>2023</v>
      </c>
      <c r="I448" t="str">
        <f t="shared" si="78"/>
        <v>2023-Q3</v>
      </c>
      <c r="J448" t="s">
        <v>55</v>
      </c>
      <c r="K448" t="s">
        <v>849</v>
      </c>
      <c r="L448" t="s">
        <v>850</v>
      </c>
      <c r="M448" t="s">
        <v>36</v>
      </c>
      <c r="N448" t="s">
        <v>25</v>
      </c>
      <c r="O448" t="s">
        <v>201</v>
      </c>
      <c r="P448" t="s">
        <v>113</v>
      </c>
      <c r="Q448" t="s">
        <v>66</v>
      </c>
      <c r="R448" t="s">
        <v>851</v>
      </c>
      <c r="S448" t="s">
        <v>30</v>
      </c>
      <c r="T448" t="s">
        <v>31</v>
      </c>
      <c r="U448" t="s">
        <v>852</v>
      </c>
      <c r="V448" s="3">
        <v>1531.13</v>
      </c>
      <c r="W448" s="4">
        <v>8</v>
      </c>
      <c r="X448" s="2">
        <v>0.4</v>
      </c>
      <c r="Y448" s="3">
        <v>265.87</v>
      </c>
      <c r="Z448" t="str">
        <f t="shared" si="74"/>
        <v>Normal</v>
      </c>
      <c r="AA448" t="str">
        <f t="shared" si="75"/>
        <v>High</v>
      </c>
      <c r="AB448" t="str">
        <f t="shared" si="79"/>
        <v>Low Profit</v>
      </c>
      <c r="AC448" s="3">
        <f t="shared" si="80"/>
        <v>0.17364299569598923</v>
      </c>
      <c r="AD448" s="3">
        <f t="shared" si="81"/>
        <v>191.39125000000001</v>
      </c>
      <c r="AE448" s="3">
        <f t="shared" si="82"/>
        <v>33.233750000000001</v>
      </c>
      <c r="AF448" t="str">
        <f t="shared" si="83"/>
        <v>Regular</v>
      </c>
    </row>
    <row r="449" spans="1:32" x14ac:dyDescent="0.25">
      <c r="A449" t="s">
        <v>224</v>
      </c>
      <c r="B449" s="1">
        <v>45143</v>
      </c>
      <c r="C449" s="1">
        <v>45145</v>
      </c>
      <c r="D449" s="4">
        <f t="shared" si="72"/>
        <v>2</v>
      </c>
      <c r="E449" s="4" t="str">
        <f>TEXT(Table1[[#This Row],[Order_Date]],"dddd")</f>
        <v>Saturday</v>
      </c>
      <c r="F449" s="4">
        <f t="shared" si="73"/>
        <v>8</v>
      </c>
      <c r="G449" t="str">
        <f t="shared" si="76"/>
        <v>August</v>
      </c>
      <c r="H449">
        <f t="shared" si="77"/>
        <v>2023</v>
      </c>
      <c r="I449" t="str">
        <f t="shared" si="78"/>
        <v>2023-Q3</v>
      </c>
      <c r="J449" t="s">
        <v>44</v>
      </c>
      <c r="K449" t="s">
        <v>225</v>
      </c>
      <c r="L449" t="s">
        <v>226</v>
      </c>
      <c r="M449" t="s">
        <v>24</v>
      </c>
      <c r="N449" t="s">
        <v>25</v>
      </c>
      <c r="O449" t="s">
        <v>227</v>
      </c>
      <c r="P449" t="s">
        <v>49</v>
      </c>
      <c r="Q449" t="s">
        <v>28</v>
      </c>
      <c r="R449" t="s">
        <v>228</v>
      </c>
      <c r="S449" t="s">
        <v>30</v>
      </c>
      <c r="T449" t="s">
        <v>31</v>
      </c>
      <c r="U449" t="s">
        <v>229</v>
      </c>
      <c r="V449" s="3">
        <v>1498.8</v>
      </c>
      <c r="W449" s="4">
        <v>1</v>
      </c>
      <c r="X449" s="2">
        <v>0.1</v>
      </c>
      <c r="Y449" s="3">
        <v>-196.82</v>
      </c>
      <c r="Z449" t="str">
        <f t="shared" si="74"/>
        <v>Normal</v>
      </c>
      <c r="AA449" t="str">
        <f t="shared" si="75"/>
        <v>Medium</v>
      </c>
      <c r="AB449" t="str">
        <f t="shared" si="79"/>
        <v>Loss</v>
      </c>
      <c r="AC449" s="3">
        <f t="shared" si="80"/>
        <v>-0.13131838804376836</v>
      </c>
      <c r="AD449" s="3">
        <f t="shared" si="81"/>
        <v>1498.8</v>
      </c>
      <c r="AE449" s="3">
        <f t="shared" si="82"/>
        <v>-196.82</v>
      </c>
      <c r="AF449" t="str">
        <f t="shared" si="83"/>
        <v>Regular</v>
      </c>
    </row>
    <row r="450" spans="1:32" x14ac:dyDescent="0.25">
      <c r="A450" t="s">
        <v>4759</v>
      </c>
      <c r="B450" s="1">
        <v>45144</v>
      </c>
      <c r="C450" s="1">
        <v>45151</v>
      </c>
      <c r="D450" s="4">
        <f t="shared" ref="D450:D513" si="84">C450-B450</f>
        <v>7</v>
      </c>
      <c r="E450" s="4" t="str">
        <f>TEXT(Table1[[#This Row],[Order_Date]],"dddd")</f>
        <v>Sunday</v>
      </c>
      <c r="F450" s="4">
        <f t="shared" ref="F450:F513" si="85">MONTH(B450)</f>
        <v>8</v>
      </c>
      <c r="G450" t="str">
        <f t="shared" si="76"/>
        <v>August</v>
      </c>
      <c r="H450">
        <f t="shared" si="77"/>
        <v>2023</v>
      </c>
      <c r="I450" t="str">
        <f t="shared" si="78"/>
        <v>2023-Q3</v>
      </c>
      <c r="J450" t="s">
        <v>44</v>
      </c>
      <c r="K450" t="s">
        <v>4760</v>
      </c>
      <c r="L450" t="s">
        <v>4761</v>
      </c>
      <c r="M450" t="s">
        <v>36</v>
      </c>
      <c r="N450" t="s">
        <v>25</v>
      </c>
      <c r="O450" t="s">
        <v>26</v>
      </c>
      <c r="P450" t="s">
        <v>27</v>
      </c>
      <c r="Q450" t="s">
        <v>66</v>
      </c>
      <c r="R450" t="s">
        <v>4762</v>
      </c>
      <c r="S450" t="s">
        <v>51</v>
      </c>
      <c r="T450" t="s">
        <v>127</v>
      </c>
      <c r="U450" t="s">
        <v>4763</v>
      </c>
      <c r="V450" s="3">
        <v>4427.0200000000004</v>
      </c>
      <c r="W450" s="4">
        <v>9</v>
      </c>
      <c r="X450" s="2">
        <v>0.1</v>
      </c>
      <c r="Y450" s="3">
        <v>-454.19</v>
      </c>
      <c r="Z450" t="str">
        <f t="shared" ref="Z450:Z513" si="86">IF(OR(Y450&lt;-800.884,Y450&gt;1030.126),"Outlier","Normal")</f>
        <v>Normal</v>
      </c>
      <c r="AA450" t="str">
        <f t="shared" ref="AA450:AA513" si="87">IF(X450&lt;10%,"Low",IF(X450&lt;0.2,"Medium","High"))</f>
        <v>Medium</v>
      </c>
      <c r="AB450" t="str">
        <f t="shared" si="79"/>
        <v>Loss</v>
      </c>
      <c r="AC450" s="3">
        <f t="shared" si="80"/>
        <v>-0.10259497359397517</v>
      </c>
      <c r="AD450" s="3">
        <f t="shared" si="81"/>
        <v>491.89111111111117</v>
      </c>
      <c r="AE450" s="3">
        <f t="shared" si="82"/>
        <v>-50.465555555555554</v>
      </c>
      <c r="AF450" t="str">
        <f t="shared" si="83"/>
        <v>Regular</v>
      </c>
    </row>
    <row r="451" spans="1:32" x14ac:dyDescent="0.25">
      <c r="A451" t="s">
        <v>6397</v>
      </c>
      <c r="B451" s="1">
        <v>45144</v>
      </c>
      <c r="C451" s="1">
        <v>45153</v>
      </c>
      <c r="D451" s="4">
        <f t="shared" si="84"/>
        <v>9</v>
      </c>
      <c r="E451" s="4" t="str">
        <f>TEXT(Table1[[#This Row],[Order_Date]],"dddd")</f>
        <v>Sunday</v>
      </c>
      <c r="F451" s="4">
        <f t="shared" si="85"/>
        <v>8</v>
      </c>
      <c r="G451" t="str">
        <f t="shared" ref="G451:G514" si="88">TEXT(B451,"mmmm")</f>
        <v>August</v>
      </c>
      <c r="H451">
        <f t="shared" ref="H451:H514" si="89">YEAR(B451)</f>
        <v>2023</v>
      </c>
      <c r="I451" t="str">
        <f t="shared" ref="I451:I514" si="90">H451 &amp; "-Q" &amp; INT((MONTH(B451)+2)/3)</f>
        <v>2023-Q3</v>
      </c>
      <c r="J451" t="s">
        <v>55</v>
      </c>
      <c r="K451" t="s">
        <v>6398</v>
      </c>
      <c r="L451" t="s">
        <v>6399</v>
      </c>
      <c r="M451" t="s">
        <v>36</v>
      </c>
      <c r="N451" t="s">
        <v>25</v>
      </c>
      <c r="O451" t="s">
        <v>149</v>
      </c>
      <c r="P451" t="s">
        <v>113</v>
      </c>
      <c r="Q451" t="s">
        <v>28</v>
      </c>
      <c r="R451" t="s">
        <v>6400</v>
      </c>
      <c r="S451" t="s">
        <v>59</v>
      </c>
      <c r="T451" t="s">
        <v>101</v>
      </c>
      <c r="U451" t="s">
        <v>6401</v>
      </c>
      <c r="V451" s="3">
        <v>3676.11</v>
      </c>
      <c r="W451" s="4">
        <v>2</v>
      </c>
      <c r="X451" s="2">
        <v>0.4</v>
      </c>
      <c r="Y451" s="3">
        <v>-445.63</v>
      </c>
      <c r="Z451" t="str">
        <f t="shared" si="86"/>
        <v>Normal</v>
      </c>
      <c r="AA451" t="str">
        <f t="shared" si="87"/>
        <v>High</v>
      </c>
      <c r="AB451" t="str">
        <f t="shared" ref="AB451:AB514" si="91">IF(Y451&lt;0, "Loss", IF(Y451&lt;500,"Low Profit", "High Profit"))</f>
        <v>Loss</v>
      </c>
      <c r="AC451" s="3">
        <f t="shared" ref="AC451:AC514" si="92">Y451/V451</f>
        <v>-0.12122324957631844</v>
      </c>
      <c r="AD451" s="3">
        <f t="shared" ref="AD451:AD514" si="93">V451/W451</f>
        <v>1838.0550000000001</v>
      </c>
      <c r="AE451" s="3">
        <f t="shared" ref="AE451:AE514" si="94">Y451/W451</f>
        <v>-222.815</v>
      </c>
      <c r="AF451" t="str">
        <f t="shared" ref="AF451:AF514" si="95">IF(V451&gt;5000,"High value", "Regular")</f>
        <v>Regular</v>
      </c>
    </row>
    <row r="452" spans="1:32" x14ac:dyDescent="0.25">
      <c r="A452" t="s">
        <v>2231</v>
      </c>
      <c r="B452" s="1">
        <v>45145</v>
      </c>
      <c r="C452" s="1">
        <v>45147</v>
      </c>
      <c r="D452" s="4">
        <f t="shared" si="84"/>
        <v>2</v>
      </c>
      <c r="E452" s="4" t="str">
        <f>TEXT(Table1[[#This Row],[Order_Date]],"dddd")</f>
        <v>Monday</v>
      </c>
      <c r="F452" s="4">
        <f t="shared" si="85"/>
        <v>8</v>
      </c>
      <c r="G452" t="str">
        <f t="shared" si="88"/>
        <v>August</v>
      </c>
      <c r="H452">
        <f t="shared" si="89"/>
        <v>2023</v>
      </c>
      <c r="I452" t="str">
        <f t="shared" si="90"/>
        <v>2023-Q3</v>
      </c>
      <c r="J452" t="s">
        <v>104</v>
      </c>
      <c r="K452" t="s">
        <v>2232</v>
      </c>
      <c r="L452" t="s">
        <v>2233</v>
      </c>
      <c r="M452" t="s">
        <v>36</v>
      </c>
      <c r="N452" t="s">
        <v>25</v>
      </c>
      <c r="O452" t="s">
        <v>201</v>
      </c>
      <c r="P452" t="s">
        <v>113</v>
      </c>
      <c r="Q452" t="s">
        <v>28</v>
      </c>
      <c r="R452" t="s">
        <v>2234</v>
      </c>
      <c r="S452" t="s">
        <v>30</v>
      </c>
      <c r="T452" t="s">
        <v>41</v>
      </c>
      <c r="U452" t="s">
        <v>2235</v>
      </c>
      <c r="V452" s="3">
        <v>1453.85</v>
      </c>
      <c r="W452" s="4">
        <v>3</v>
      </c>
      <c r="X452" s="2">
        <v>0.3</v>
      </c>
      <c r="Y452" s="3">
        <v>109.09</v>
      </c>
      <c r="Z452" t="str">
        <f t="shared" si="86"/>
        <v>Normal</v>
      </c>
      <c r="AA452" t="str">
        <f t="shared" si="87"/>
        <v>High</v>
      </c>
      <c r="AB452" t="str">
        <f t="shared" si="91"/>
        <v>Low Profit</v>
      </c>
      <c r="AC452" s="3">
        <f t="shared" si="92"/>
        <v>7.5035251229494115E-2</v>
      </c>
      <c r="AD452" s="3">
        <f t="shared" si="93"/>
        <v>484.61666666666662</v>
      </c>
      <c r="AE452" s="3">
        <f t="shared" si="94"/>
        <v>36.363333333333337</v>
      </c>
      <c r="AF452" t="str">
        <f t="shared" si="95"/>
        <v>Regular</v>
      </c>
    </row>
    <row r="453" spans="1:32" x14ac:dyDescent="0.25">
      <c r="A453" t="s">
        <v>514</v>
      </c>
      <c r="B453" s="1">
        <v>45145</v>
      </c>
      <c r="C453" s="1">
        <v>45154</v>
      </c>
      <c r="D453" s="4">
        <f t="shared" si="84"/>
        <v>9</v>
      </c>
      <c r="E453" s="4" t="str">
        <f>TEXT(Table1[[#This Row],[Order_Date]],"dddd")</f>
        <v>Monday</v>
      </c>
      <c r="F453" s="4">
        <f t="shared" si="85"/>
        <v>8</v>
      </c>
      <c r="G453" t="str">
        <f t="shared" si="88"/>
        <v>August</v>
      </c>
      <c r="H453">
        <f t="shared" si="89"/>
        <v>2023</v>
      </c>
      <c r="I453" t="str">
        <f t="shared" si="90"/>
        <v>2023-Q3</v>
      </c>
      <c r="J453" t="s">
        <v>21</v>
      </c>
      <c r="K453" t="s">
        <v>515</v>
      </c>
      <c r="L453" t="s">
        <v>516</v>
      </c>
      <c r="M453" t="s">
        <v>36</v>
      </c>
      <c r="N453" t="s">
        <v>25</v>
      </c>
      <c r="O453" t="s">
        <v>119</v>
      </c>
      <c r="P453" t="s">
        <v>120</v>
      </c>
      <c r="Q453" t="s">
        <v>87</v>
      </c>
      <c r="R453" t="s">
        <v>517</v>
      </c>
      <c r="S453" t="s">
        <v>30</v>
      </c>
      <c r="T453" t="s">
        <v>68</v>
      </c>
      <c r="U453" t="s">
        <v>518</v>
      </c>
      <c r="V453" s="3">
        <v>3858.41</v>
      </c>
      <c r="W453" s="4">
        <v>8</v>
      </c>
      <c r="X453" s="2">
        <v>0.1</v>
      </c>
      <c r="Y453" s="3">
        <v>651.34</v>
      </c>
      <c r="Z453" t="str">
        <f t="shared" si="86"/>
        <v>Normal</v>
      </c>
      <c r="AA453" t="str">
        <f t="shared" si="87"/>
        <v>Medium</v>
      </c>
      <c r="AB453" t="str">
        <f t="shared" si="91"/>
        <v>High Profit</v>
      </c>
      <c r="AC453" s="3">
        <f t="shared" si="92"/>
        <v>0.16881046856088391</v>
      </c>
      <c r="AD453" s="3">
        <f t="shared" si="93"/>
        <v>482.30124999999998</v>
      </c>
      <c r="AE453" s="3">
        <f t="shared" si="94"/>
        <v>81.417500000000004</v>
      </c>
      <c r="AF453" t="str">
        <f t="shared" si="95"/>
        <v>Regular</v>
      </c>
    </row>
    <row r="454" spans="1:32" x14ac:dyDescent="0.25">
      <c r="A454" t="s">
        <v>4367</v>
      </c>
      <c r="B454" s="1">
        <v>45145</v>
      </c>
      <c r="C454" s="1">
        <v>45153</v>
      </c>
      <c r="D454" s="4">
        <f t="shared" si="84"/>
        <v>8</v>
      </c>
      <c r="E454" s="4" t="str">
        <f>TEXT(Table1[[#This Row],[Order_Date]],"dddd")</f>
        <v>Monday</v>
      </c>
      <c r="F454" s="4">
        <f t="shared" si="85"/>
        <v>8</v>
      </c>
      <c r="G454" t="str">
        <f t="shared" si="88"/>
        <v>August</v>
      </c>
      <c r="H454">
        <f t="shared" si="89"/>
        <v>2023</v>
      </c>
      <c r="I454" t="str">
        <f t="shared" si="90"/>
        <v>2023-Q3</v>
      </c>
      <c r="J454" t="s">
        <v>55</v>
      </c>
      <c r="K454" t="s">
        <v>4368</v>
      </c>
      <c r="L454" t="s">
        <v>4369</v>
      </c>
      <c r="M454" t="s">
        <v>36</v>
      </c>
      <c r="N454" t="s">
        <v>25</v>
      </c>
      <c r="O454" t="s">
        <v>611</v>
      </c>
      <c r="P454" t="s">
        <v>74</v>
      </c>
      <c r="Q454" t="s">
        <v>28</v>
      </c>
      <c r="R454" t="s">
        <v>4370</v>
      </c>
      <c r="S454" t="s">
        <v>51</v>
      </c>
      <c r="T454" t="s">
        <v>52</v>
      </c>
      <c r="U454" t="s">
        <v>4371</v>
      </c>
      <c r="V454" s="3">
        <v>3007.43</v>
      </c>
      <c r="W454" s="4">
        <v>2</v>
      </c>
      <c r="X454" s="2">
        <v>0</v>
      </c>
      <c r="Y454" s="3">
        <v>-125.72</v>
      </c>
      <c r="Z454" t="str">
        <f t="shared" si="86"/>
        <v>Normal</v>
      </c>
      <c r="AA454" t="str">
        <f t="shared" si="87"/>
        <v>Low</v>
      </c>
      <c r="AB454" t="str">
        <f t="shared" si="91"/>
        <v>Loss</v>
      </c>
      <c r="AC454" s="3">
        <f t="shared" si="92"/>
        <v>-4.1803134237538363E-2</v>
      </c>
      <c r="AD454" s="3">
        <f t="shared" si="93"/>
        <v>1503.7149999999999</v>
      </c>
      <c r="AE454" s="3">
        <f t="shared" si="94"/>
        <v>-62.86</v>
      </c>
      <c r="AF454" t="str">
        <f t="shared" si="95"/>
        <v>Regular</v>
      </c>
    </row>
    <row r="455" spans="1:32" x14ac:dyDescent="0.25">
      <c r="A455" t="s">
        <v>4411</v>
      </c>
      <c r="B455" s="1">
        <v>45146</v>
      </c>
      <c r="C455" s="1">
        <v>45147</v>
      </c>
      <c r="D455" s="4">
        <f t="shared" si="84"/>
        <v>1</v>
      </c>
      <c r="E455" s="4" t="str">
        <f>TEXT(Table1[[#This Row],[Order_Date]],"dddd")</f>
        <v>Tuesday</v>
      </c>
      <c r="F455" s="4">
        <f t="shared" si="85"/>
        <v>8</v>
      </c>
      <c r="G455" t="str">
        <f t="shared" si="88"/>
        <v>August</v>
      </c>
      <c r="H455">
        <f t="shared" si="89"/>
        <v>2023</v>
      </c>
      <c r="I455" t="str">
        <f t="shared" si="90"/>
        <v>2023-Q3</v>
      </c>
      <c r="J455" t="s">
        <v>44</v>
      </c>
      <c r="K455" t="s">
        <v>4412</v>
      </c>
      <c r="L455" t="s">
        <v>4413</v>
      </c>
      <c r="M455" t="s">
        <v>47</v>
      </c>
      <c r="N455" t="s">
        <v>25</v>
      </c>
      <c r="O455" t="s">
        <v>73</v>
      </c>
      <c r="P455" t="s">
        <v>74</v>
      </c>
      <c r="Q455" t="s">
        <v>87</v>
      </c>
      <c r="R455" t="s">
        <v>4414</v>
      </c>
      <c r="S455" t="s">
        <v>59</v>
      </c>
      <c r="T455" t="s">
        <v>101</v>
      </c>
      <c r="U455" t="s">
        <v>4415</v>
      </c>
      <c r="V455" s="3">
        <v>3645.93</v>
      </c>
      <c r="W455" s="4">
        <v>3</v>
      </c>
      <c r="X455" s="2">
        <v>0</v>
      </c>
      <c r="Y455" s="3">
        <v>558.13</v>
      </c>
      <c r="Z455" t="str">
        <f t="shared" si="86"/>
        <v>Normal</v>
      </c>
      <c r="AA455" t="str">
        <f t="shared" si="87"/>
        <v>Low</v>
      </c>
      <c r="AB455" t="str">
        <f t="shared" si="91"/>
        <v>High Profit</v>
      </c>
      <c r="AC455" s="3">
        <f t="shared" si="92"/>
        <v>0.15308302682717442</v>
      </c>
      <c r="AD455" s="3">
        <f t="shared" si="93"/>
        <v>1215.31</v>
      </c>
      <c r="AE455" s="3">
        <f t="shared" si="94"/>
        <v>186.04333333333332</v>
      </c>
      <c r="AF455" t="str">
        <f t="shared" si="95"/>
        <v>Regular</v>
      </c>
    </row>
    <row r="456" spans="1:32" x14ac:dyDescent="0.25">
      <c r="A456" t="s">
        <v>4892</v>
      </c>
      <c r="B456" s="1">
        <v>45146</v>
      </c>
      <c r="C456" s="1">
        <v>45152</v>
      </c>
      <c r="D456" s="4">
        <f t="shared" si="84"/>
        <v>6</v>
      </c>
      <c r="E456" s="4" t="str">
        <f>TEXT(Table1[[#This Row],[Order_Date]],"dddd")</f>
        <v>Tuesday</v>
      </c>
      <c r="F456" s="4">
        <f t="shared" si="85"/>
        <v>8</v>
      </c>
      <c r="G456" t="str">
        <f t="shared" si="88"/>
        <v>August</v>
      </c>
      <c r="H456">
        <f t="shared" si="89"/>
        <v>2023</v>
      </c>
      <c r="I456" t="str">
        <f t="shared" si="90"/>
        <v>2023-Q3</v>
      </c>
      <c r="J456" t="s">
        <v>44</v>
      </c>
      <c r="K456" t="s">
        <v>4893</v>
      </c>
      <c r="L456" t="s">
        <v>4894</v>
      </c>
      <c r="M456" t="s">
        <v>36</v>
      </c>
      <c r="N456" t="s">
        <v>25</v>
      </c>
      <c r="O456" t="s">
        <v>382</v>
      </c>
      <c r="P456" t="s">
        <v>38</v>
      </c>
      <c r="Q456" t="s">
        <v>66</v>
      </c>
      <c r="R456" t="s">
        <v>4895</v>
      </c>
      <c r="S456" t="s">
        <v>59</v>
      </c>
      <c r="T456" t="s">
        <v>60</v>
      </c>
      <c r="U456" t="s">
        <v>4896</v>
      </c>
      <c r="V456" s="3">
        <v>4797.83</v>
      </c>
      <c r="W456" s="4">
        <v>8</v>
      </c>
      <c r="X456" s="2">
        <v>0.3</v>
      </c>
      <c r="Y456" s="3">
        <v>-769.4</v>
      </c>
      <c r="Z456" t="str">
        <f t="shared" si="86"/>
        <v>Normal</v>
      </c>
      <c r="AA456" t="str">
        <f t="shared" si="87"/>
        <v>High</v>
      </c>
      <c r="AB456" t="str">
        <f t="shared" si="91"/>
        <v>Loss</v>
      </c>
      <c r="AC456" s="3">
        <f t="shared" si="92"/>
        <v>-0.16036416463276107</v>
      </c>
      <c r="AD456" s="3">
        <f t="shared" si="93"/>
        <v>599.72874999999999</v>
      </c>
      <c r="AE456" s="3">
        <f t="shared" si="94"/>
        <v>-96.174999999999997</v>
      </c>
      <c r="AF456" t="str">
        <f t="shared" si="95"/>
        <v>Regular</v>
      </c>
    </row>
    <row r="457" spans="1:32" x14ac:dyDescent="0.25">
      <c r="A457" t="s">
        <v>4174</v>
      </c>
      <c r="B457" s="1">
        <v>45147</v>
      </c>
      <c r="C457" s="1">
        <v>45148</v>
      </c>
      <c r="D457" s="4">
        <f t="shared" si="84"/>
        <v>1</v>
      </c>
      <c r="E457" s="4" t="str">
        <f>TEXT(Table1[[#This Row],[Order_Date]],"dddd")</f>
        <v>Wednesday</v>
      </c>
      <c r="F457" s="4">
        <f t="shared" si="85"/>
        <v>8</v>
      </c>
      <c r="G457" t="str">
        <f t="shared" si="88"/>
        <v>August</v>
      </c>
      <c r="H457">
        <f t="shared" si="89"/>
        <v>2023</v>
      </c>
      <c r="I457" t="str">
        <f t="shared" si="90"/>
        <v>2023-Q3</v>
      </c>
      <c r="J457" t="s">
        <v>55</v>
      </c>
      <c r="K457" t="s">
        <v>4175</v>
      </c>
      <c r="L457" t="s">
        <v>4176</v>
      </c>
      <c r="M457" t="s">
        <v>24</v>
      </c>
      <c r="N457" t="s">
        <v>25</v>
      </c>
      <c r="O457" t="s">
        <v>26</v>
      </c>
      <c r="P457" t="s">
        <v>27</v>
      </c>
      <c r="Q457" t="s">
        <v>28</v>
      </c>
      <c r="R457" t="s">
        <v>4177</v>
      </c>
      <c r="S457" t="s">
        <v>59</v>
      </c>
      <c r="T457" t="s">
        <v>277</v>
      </c>
      <c r="U457" t="s">
        <v>4178</v>
      </c>
      <c r="V457" s="3">
        <v>2550.65</v>
      </c>
      <c r="W457" s="4">
        <v>5</v>
      </c>
      <c r="X457" s="2">
        <v>0.2</v>
      </c>
      <c r="Y457" s="3">
        <v>451.97</v>
      </c>
      <c r="Z457" t="str">
        <f t="shared" si="86"/>
        <v>Normal</v>
      </c>
      <c r="AA457" t="str">
        <f t="shared" si="87"/>
        <v>High</v>
      </c>
      <c r="AB457" t="str">
        <f t="shared" si="91"/>
        <v>Low Profit</v>
      </c>
      <c r="AC457" s="3">
        <f t="shared" si="92"/>
        <v>0.17719796914511987</v>
      </c>
      <c r="AD457" s="3">
        <f t="shared" si="93"/>
        <v>510.13</v>
      </c>
      <c r="AE457" s="3">
        <f t="shared" si="94"/>
        <v>90.394000000000005</v>
      </c>
      <c r="AF457" t="str">
        <f t="shared" si="95"/>
        <v>Regular</v>
      </c>
    </row>
    <row r="458" spans="1:32" x14ac:dyDescent="0.25">
      <c r="A458" t="s">
        <v>3312</v>
      </c>
      <c r="B458" s="1">
        <v>45147</v>
      </c>
      <c r="C458" s="1">
        <v>45151</v>
      </c>
      <c r="D458" s="4">
        <f t="shared" si="84"/>
        <v>4</v>
      </c>
      <c r="E458" s="4" t="str">
        <f>TEXT(Table1[[#This Row],[Order_Date]],"dddd")</f>
        <v>Wednesday</v>
      </c>
      <c r="F458" s="4">
        <f t="shared" si="85"/>
        <v>8</v>
      </c>
      <c r="G458" t="str">
        <f t="shared" si="88"/>
        <v>August</v>
      </c>
      <c r="H458">
        <f t="shared" si="89"/>
        <v>2023</v>
      </c>
      <c r="I458" t="str">
        <f t="shared" si="90"/>
        <v>2023-Q3</v>
      </c>
      <c r="J458" t="s">
        <v>55</v>
      </c>
      <c r="K458" t="s">
        <v>3313</v>
      </c>
      <c r="L458" t="s">
        <v>3314</v>
      </c>
      <c r="M458" t="s">
        <v>36</v>
      </c>
      <c r="N458" t="s">
        <v>25</v>
      </c>
      <c r="O458" t="s">
        <v>149</v>
      </c>
      <c r="P458" t="s">
        <v>113</v>
      </c>
      <c r="Q458" t="s">
        <v>28</v>
      </c>
      <c r="R458" t="s">
        <v>3315</v>
      </c>
      <c r="S458" t="s">
        <v>30</v>
      </c>
      <c r="T458" t="s">
        <v>68</v>
      </c>
      <c r="U458" t="s">
        <v>3316</v>
      </c>
      <c r="V458" s="3">
        <v>724.63</v>
      </c>
      <c r="W458" s="4">
        <v>1</v>
      </c>
      <c r="X458" s="2">
        <v>0.2</v>
      </c>
      <c r="Y458" s="3">
        <v>81.180000000000007</v>
      </c>
      <c r="Z458" t="str">
        <f t="shared" si="86"/>
        <v>Normal</v>
      </c>
      <c r="AA458" t="str">
        <f t="shared" si="87"/>
        <v>High</v>
      </c>
      <c r="AB458" t="str">
        <f t="shared" si="91"/>
        <v>Low Profit</v>
      </c>
      <c r="AC458" s="3">
        <f t="shared" si="92"/>
        <v>0.11202958751362765</v>
      </c>
      <c r="AD458" s="3">
        <f t="shared" si="93"/>
        <v>724.63</v>
      </c>
      <c r="AE458" s="3">
        <f t="shared" si="94"/>
        <v>81.180000000000007</v>
      </c>
      <c r="AF458" t="str">
        <f t="shared" si="95"/>
        <v>Regular</v>
      </c>
    </row>
    <row r="459" spans="1:32" x14ac:dyDescent="0.25">
      <c r="A459" t="s">
        <v>7328</v>
      </c>
      <c r="B459" s="1">
        <v>45148</v>
      </c>
      <c r="C459" s="1">
        <v>45150</v>
      </c>
      <c r="D459" s="4">
        <f t="shared" si="84"/>
        <v>2</v>
      </c>
      <c r="E459" s="4" t="str">
        <f>TEXT(Table1[[#This Row],[Order_Date]],"dddd")</f>
        <v>Thursday</v>
      </c>
      <c r="F459" s="4">
        <f t="shared" si="85"/>
        <v>8</v>
      </c>
      <c r="G459" t="str">
        <f t="shared" si="88"/>
        <v>August</v>
      </c>
      <c r="H459">
        <f t="shared" si="89"/>
        <v>2023</v>
      </c>
      <c r="I459" t="str">
        <f t="shared" si="90"/>
        <v>2023-Q3</v>
      </c>
      <c r="J459" t="s">
        <v>21</v>
      </c>
      <c r="K459" t="s">
        <v>7329</v>
      </c>
      <c r="L459" t="s">
        <v>7330</v>
      </c>
      <c r="M459" t="s">
        <v>24</v>
      </c>
      <c r="N459" t="s">
        <v>25</v>
      </c>
      <c r="O459" t="s">
        <v>255</v>
      </c>
      <c r="P459" t="s">
        <v>143</v>
      </c>
      <c r="Q459" t="s">
        <v>28</v>
      </c>
      <c r="R459" t="s">
        <v>7331</v>
      </c>
      <c r="S459" t="s">
        <v>59</v>
      </c>
      <c r="T459" t="s">
        <v>277</v>
      </c>
      <c r="U459" t="s">
        <v>7332</v>
      </c>
      <c r="V459" s="3">
        <v>573.39</v>
      </c>
      <c r="W459" s="4">
        <v>2</v>
      </c>
      <c r="X459" s="2">
        <v>0.2</v>
      </c>
      <c r="Y459" s="3">
        <v>-112.72</v>
      </c>
      <c r="Z459" t="str">
        <f t="shared" si="86"/>
        <v>Normal</v>
      </c>
      <c r="AA459" t="str">
        <f t="shared" si="87"/>
        <v>High</v>
      </c>
      <c r="AB459" t="str">
        <f t="shared" si="91"/>
        <v>Loss</v>
      </c>
      <c r="AC459" s="3">
        <f t="shared" si="92"/>
        <v>-0.19658522122813443</v>
      </c>
      <c r="AD459" s="3">
        <f t="shared" si="93"/>
        <v>286.69499999999999</v>
      </c>
      <c r="AE459" s="3">
        <f t="shared" si="94"/>
        <v>-56.36</v>
      </c>
      <c r="AF459" t="str">
        <f t="shared" si="95"/>
        <v>Regular</v>
      </c>
    </row>
    <row r="460" spans="1:32" x14ac:dyDescent="0.25">
      <c r="A460" t="s">
        <v>6215</v>
      </c>
      <c r="B460" s="1">
        <v>45148</v>
      </c>
      <c r="C460" s="1">
        <v>45153</v>
      </c>
      <c r="D460" s="4">
        <f t="shared" si="84"/>
        <v>5</v>
      </c>
      <c r="E460" s="4" t="str">
        <f>TEXT(Table1[[#This Row],[Order_Date]],"dddd")</f>
        <v>Thursday</v>
      </c>
      <c r="F460" s="4">
        <f t="shared" si="85"/>
        <v>8</v>
      </c>
      <c r="G460" t="str">
        <f t="shared" si="88"/>
        <v>August</v>
      </c>
      <c r="H460">
        <f t="shared" si="89"/>
        <v>2023</v>
      </c>
      <c r="I460" t="str">
        <f t="shared" si="90"/>
        <v>2023-Q3</v>
      </c>
      <c r="J460" t="s">
        <v>44</v>
      </c>
      <c r="K460" t="s">
        <v>7402</v>
      </c>
      <c r="L460" t="s">
        <v>6216</v>
      </c>
      <c r="M460" t="s">
        <v>24</v>
      </c>
      <c r="N460" t="s">
        <v>25</v>
      </c>
      <c r="O460" t="s">
        <v>99</v>
      </c>
      <c r="P460" t="s">
        <v>74</v>
      </c>
      <c r="Q460" t="s">
        <v>66</v>
      </c>
      <c r="R460" t="s">
        <v>6217</v>
      </c>
      <c r="S460" t="s">
        <v>59</v>
      </c>
      <c r="T460" t="s">
        <v>303</v>
      </c>
      <c r="U460" t="s">
        <v>6218</v>
      </c>
      <c r="V460" s="3">
        <v>517.11</v>
      </c>
      <c r="W460" s="4">
        <v>5</v>
      </c>
      <c r="X460" s="2">
        <v>0.2</v>
      </c>
      <c r="Y460" s="3">
        <v>-10.18</v>
      </c>
      <c r="Z460" t="str">
        <f t="shared" si="86"/>
        <v>Normal</v>
      </c>
      <c r="AA460" t="str">
        <f t="shared" si="87"/>
        <v>High</v>
      </c>
      <c r="AB460" t="str">
        <f t="shared" si="91"/>
        <v>Loss</v>
      </c>
      <c r="AC460" s="3">
        <f t="shared" si="92"/>
        <v>-1.9686333662083503E-2</v>
      </c>
      <c r="AD460" s="3">
        <f t="shared" si="93"/>
        <v>103.422</v>
      </c>
      <c r="AE460" s="3">
        <f t="shared" si="94"/>
        <v>-2.036</v>
      </c>
      <c r="AF460" t="str">
        <f t="shared" si="95"/>
        <v>Regular</v>
      </c>
    </row>
    <row r="461" spans="1:32" x14ac:dyDescent="0.25">
      <c r="A461" t="s">
        <v>1583</v>
      </c>
      <c r="B461" s="1">
        <v>45149</v>
      </c>
      <c r="C461" s="1">
        <v>45153</v>
      </c>
      <c r="D461" s="4">
        <f t="shared" si="84"/>
        <v>4</v>
      </c>
      <c r="E461" s="4" t="str">
        <f>TEXT(Table1[[#This Row],[Order_Date]],"dddd")</f>
        <v>Friday</v>
      </c>
      <c r="F461" s="4">
        <f t="shared" si="85"/>
        <v>8</v>
      </c>
      <c r="G461" t="str">
        <f t="shared" si="88"/>
        <v>August</v>
      </c>
      <c r="H461">
        <f t="shared" si="89"/>
        <v>2023</v>
      </c>
      <c r="I461" t="str">
        <f t="shared" si="90"/>
        <v>2023-Q3</v>
      </c>
      <c r="J461" t="s">
        <v>104</v>
      </c>
      <c r="K461" t="s">
        <v>1584</v>
      </c>
      <c r="L461" t="s">
        <v>1585</v>
      </c>
      <c r="M461" t="s">
        <v>36</v>
      </c>
      <c r="N461" t="s">
        <v>25</v>
      </c>
      <c r="O461" t="s">
        <v>119</v>
      </c>
      <c r="P461" t="s">
        <v>120</v>
      </c>
      <c r="Q461" t="s">
        <v>87</v>
      </c>
      <c r="R461" t="s">
        <v>1586</v>
      </c>
      <c r="S461" t="s">
        <v>51</v>
      </c>
      <c r="T461" t="s">
        <v>108</v>
      </c>
      <c r="U461" t="s">
        <v>1587</v>
      </c>
      <c r="V461" s="3">
        <v>4459.0200000000004</v>
      </c>
      <c r="W461" s="4">
        <v>9</v>
      </c>
      <c r="X461" s="2">
        <v>0.2</v>
      </c>
      <c r="Y461" s="3">
        <v>1103.4100000000001</v>
      </c>
      <c r="Z461" t="str">
        <f t="shared" si="86"/>
        <v>Outlier</v>
      </c>
      <c r="AA461" t="str">
        <f t="shared" si="87"/>
        <v>High</v>
      </c>
      <c r="AB461" t="str">
        <f t="shared" si="91"/>
        <v>High Profit</v>
      </c>
      <c r="AC461" s="3">
        <f t="shared" si="92"/>
        <v>0.24745571896963905</v>
      </c>
      <c r="AD461" s="3">
        <f t="shared" si="93"/>
        <v>495.44666666666672</v>
      </c>
      <c r="AE461" s="3">
        <f t="shared" si="94"/>
        <v>122.60111111111112</v>
      </c>
      <c r="AF461" t="str">
        <f t="shared" si="95"/>
        <v>Regular</v>
      </c>
    </row>
    <row r="462" spans="1:32" x14ac:dyDescent="0.25">
      <c r="A462" t="s">
        <v>2725</v>
      </c>
      <c r="B462" s="1">
        <v>45149</v>
      </c>
      <c r="C462" s="1">
        <v>45154</v>
      </c>
      <c r="D462" s="4">
        <f t="shared" si="84"/>
        <v>5</v>
      </c>
      <c r="E462" s="4" t="str">
        <f>TEXT(Table1[[#This Row],[Order_Date]],"dddd")</f>
        <v>Friday</v>
      </c>
      <c r="F462" s="4">
        <f t="shared" si="85"/>
        <v>8</v>
      </c>
      <c r="G462" t="str">
        <f t="shared" si="88"/>
        <v>August</v>
      </c>
      <c r="H462">
        <f t="shared" si="89"/>
        <v>2023</v>
      </c>
      <c r="I462" t="str">
        <f t="shared" si="90"/>
        <v>2023-Q3</v>
      </c>
      <c r="J462" t="s">
        <v>104</v>
      </c>
      <c r="K462" t="s">
        <v>2726</v>
      </c>
      <c r="L462" t="s">
        <v>2727</v>
      </c>
      <c r="M462" t="s">
        <v>24</v>
      </c>
      <c r="N462" t="s">
        <v>25</v>
      </c>
      <c r="O462" t="s">
        <v>190</v>
      </c>
      <c r="P462" t="s">
        <v>120</v>
      </c>
      <c r="Q462" t="s">
        <v>87</v>
      </c>
      <c r="R462" t="s">
        <v>2728</v>
      </c>
      <c r="S462" t="s">
        <v>59</v>
      </c>
      <c r="T462" t="s">
        <v>101</v>
      </c>
      <c r="U462" t="s">
        <v>2729</v>
      </c>
      <c r="V462" s="3">
        <v>1714.83</v>
      </c>
      <c r="W462" s="4">
        <v>3</v>
      </c>
      <c r="X462" s="2">
        <v>0.4</v>
      </c>
      <c r="Y462" s="3">
        <v>-223.34</v>
      </c>
      <c r="Z462" t="str">
        <f t="shared" si="86"/>
        <v>Normal</v>
      </c>
      <c r="AA462" t="str">
        <f t="shared" si="87"/>
        <v>High</v>
      </c>
      <c r="AB462" t="str">
        <f t="shared" si="91"/>
        <v>Loss</v>
      </c>
      <c r="AC462" s="3">
        <f t="shared" si="92"/>
        <v>-0.1302403153665378</v>
      </c>
      <c r="AD462" s="3">
        <f t="shared" si="93"/>
        <v>571.61</v>
      </c>
      <c r="AE462" s="3">
        <f t="shared" si="94"/>
        <v>-74.446666666666673</v>
      </c>
      <c r="AF462" t="str">
        <f t="shared" si="95"/>
        <v>Regular</v>
      </c>
    </row>
    <row r="463" spans="1:32" x14ac:dyDescent="0.25">
      <c r="A463" t="s">
        <v>4686</v>
      </c>
      <c r="B463" s="1">
        <v>45149</v>
      </c>
      <c r="C463" s="1">
        <v>45156</v>
      </c>
      <c r="D463" s="4">
        <f t="shared" si="84"/>
        <v>7</v>
      </c>
      <c r="E463" s="4" t="str">
        <f>TEXT(Table1[[#This Row],[Order_Date]],"dddd")</f>
        <v>Friday</v>
      </c>
      <c r="F463" s="4">
        <f t="shared" si="85"/>
        <v>8</v>
      </c>
      <c r="G463" t="str">
        <f t="shared" si="88"/>
        <v>August</v>
      </c>
      <c r="H463">
        <f t="shared" si="89"/>
        <v>2023</v>
      </c>
      <c r="I463" t="str">
        <f t="shared" si="90"/>
        <v>2023-Q3</v>
      </c>
      <c r="J463" t="s">
        <v>104</v>
      </c>
      <c r="K463" t="s">
        <v>4687</v>
      </c>
      <c r="L463" t="s">
        <v>4688</v>
      </c>
      <c r="M463" t="s">
        <v>47</v>
      </c>
      <c r="N463" t="s">
        <v>25</v>
      </c>
      <c r="O463" t="s">
        <v>48</v>
      </c>
      <c r="P463" t="s">
        <v>49</v>
      </c>
      <c r="Q463" t="s">
        <v>66</v>
      </c>
      <c r="R463" t="s">
        <v>4689</v>
      </c>
      <c r="S463" t="s">
        <v>51</v>
      </c>
      <c r="T463" t="s">
        <v>127</v>
      </c>
      <c r="U463" t="s">
        <v>4690</v>
      </c>
      <c r="V463" s="3">
        <v>3594.38</v>
      </c>
      <c r="W463" s="4">
        <v>10</v>
      </c>
      <c r="X463" s="2">
        <v>0.3</v>
      </c>
      <c r="Y463" s="3">
        <v>483.58</v>
      </c>
      <c r="Z463" t="str">
        <f t="shared" si="86"/>
        <v>Normal</v>
      </c>
      <c r="AA463" t="str">
        <f t="shared" si="87"/>
        <v>High</v>
      </c>
      <c r="AB463" t="str">
        <f t="shared" si="91"/>
        <v>Low Profit</v>
      </c>
      <c r="AC463" s="3">
        <f t="shared" si="92"/>
        <v>0.13453780624196662</v>
      </c>
      <c r="AD463" s="3">
        <f t="shared" si="93"/>
        <v>359.43799999999999</v>
      </c>
      <c r="AE463" s="3">
        <f t="shared" si="94"/>
        <v>48.357999999999997</v>
      </c>
      <c r="AF463" t="str">
        <f t="shared" si="95"/>
        <v>Regular</v>
      </c>
    </row>
    <row r="464" spans="1:32" x14ac:dyDescent="0.25">
      <c r="A464" t="s">
        <v>3811</v>
      </c>
      <c r="B464" s="1">
        <v>45150</v>
      </c>
      <c r="C464" s="1">
        <v>45156</v>
      </c>
      <c r="D464" s="4">
        <f t="shared" si="84"/>
        <v>6</v>
      </c>
      <c r="E464" s="4" t="str">
        <f>TEXT(Table1[[#This Row],[Order_Date]],"dddd")</f>
        <v>Saturday</v>
      </c>
      <c r="F464" s="4">
        <f t="shared" si="85"/>
        <v>8</v>
      </c>
      <c r="G464" t="str">
        <f t="shared" si="88"/>
        <v>August</v>
      </c>
      <c r="H464">
        <f t="shared" si="89"/>
        <v>2023</v>
      </c>
      <c r="I464" t="str">
        <f t="shared" si="90"/>
        <v>2023-Q3</v>
      </c>
      <c r="J464" t="s">
        <v>21</v>
      </c>
      <c r="K464" t="s">
        <v>3812</v>
      </c>
      <c r="L464" t="s">
        <v>3813</v>
      </c>
      <c r="M464" t="s">
        <v>36</v>
      </c>
      <c r="N464" t="s">
        <v>25</v>
      </c>
      <c r="O464" t="s">
        <v>244</v>
      </c>
      <c r="P464" t="s">
        <v>163</v>
      </c>
      <c r="Q464" t="s">
        <v>87</v>
      </c>
      <c r="R464" t="s">
        <v>3814</v>
      </c>
      <c r="S464" t="s">
        <v>30</v>
      </c>
      <c r="T464" t="s">
        <v>31</v>
      </c>
      <c r="U464" t="s">
        <v>3815</v>
      </c>
      <c r="V464" s="3">
        <v>444.67</v>
      </c>
      <c r="W464" s="4">
        <v>6</v>
      </c>
      <c r="X464" s="2">
        <v>0</v>
      </c>
      <c r="Y464" s="3">
        <v>15.46</v>
      </c>
      <c r="Z464" t="str">
        <f t="shared" si="86"/>
        <v>Normal</v>
      </c>
      <c r="AA464" t="str">
        <f t="shared" si="87"/>
        <v>Low</v>
      </c>
      <c r="AB464" t="str">
        <f t="shared" si="91"/>
        <v>Low Profit</v>
      </c>
      <c r="AC464" s="3">
        <f t="shared" si="92"/>
        <v>3.4767355567049726E-2</v>
      </c>
      <c r="AD464" s="3">
        <f t="shared" si="93"/>
        <v>74.111666666666665</v>
      </c>
      <c r="AE464" s="3">
        <f t="shared" si="94"/>
        <v>2.5766666666666667</v>
      </c>
      <c r="AF464" t="str">
        <f t="shared" si="95"/>
        <v>Regular</v>
      </c>
    </row>
    <row r="465" spans="1:32" x14ac:dyDescent="0.25">
      <c r="A465" t="s">
        <v>5989</v>
      </c>
      <c r="B465" s="1">
        <v>45151</v>
      </c>
      <c r="C465" s="1">
        <v>45152</v>
      </c>
      <c r="D465" s="4">
        <f t="shared" si="84"/>
        <v>1</v>
      </c>
      <c r="E465" s="4" t="str">
        <f>TEXT(Table1[[#This Row],[Order_Date]],"dddd")</f>
        <v>Sunday</v>
      </c>
      <c r="F465" s="4">
        <f t="shared" si="85"/>
        <v>8</v>
      </c>
      <c r="G465" t="str">
        <f t="shared" si="88"/>
        <v>August</v>
      </c>
      <c r="H465">
        <f t="shared" si="89"/>
        <v>2023</v>
      </c>
      <c r="I465" t="str">
        <f t="shared" si="90"/>
        <v>2023-Q3</v>
      </c>
      <c r="J465" t="s">
        <v>21</v>
      </c>
      <c r="K465" t="s">
        <v>5990</v>
      </c>
      <c r="L465" t="s">
        <v>5991</v>
      </c>
      <c r="M465" t="s">
        <v>36</v>
      </c>
      <c r="N465" t="s">
        <v>25</v>
      </c>
      <c r="O465" t="s">
        <v>190</v>
      </c>
      <c r="P465" t="s">
        <v>120</v>
      </c>
      <c r="Q465" t="s">
        <v>66</v>
      </c>
      <c r="R465" t="s">
        <v>5992</v>
      </c>
      <c r="S465" t="s">
        <v>51</v>
      </c>
      <c r="T465" t="s">
        <v>127</v>
      </c>
      <c r="U465" t="s">
        <v>5993</v>
      </c>
      <c r="V465" s="3">
        <v>2496.46</v>
      </c>
      <c r="W465" s="4">
        <v>3</v>
      </c>
      <c r="X465" s="2">
        <v>0</v>
      </c>
      <c r="Y465" s="3">
        <v>-429.95</v>
      </c>
      <c r="Z465" t="str">
        <f t="shared" si="86"/>
        <v>Normal</v>
      </c>
      <c r="AA465" t="str">
        <f t="shared" si="87"/>
        <v>Low</v>
      </c>
      <c r="AB465" t="str">
        <f t="shared" si="91"/>
        <v>Loss</v>
      </c>
      <c r="AC465" s="3">
        <f t="shared" si="92"/>
        <v>-0.17222386899850187</v>
      </c>
      <c r="AD465" s="3">
        <f t="shared" si="93"/>
        <v>832.15333333333331</v>
      </c>
      <c r="AE465" s="3">
        <f t="shared" si="94"/>
        <v>-143.31666666666666</v>
      </c>
      <c r="AF465" t="str">
        <f t="shared" si="95"/>
        <v>Regular</v>
      </c>
    </row>
    <row r="466" spans="1:32" x14ac:dyDescent="0.25">
      <c r="A466" t="s">
        <v>5860</v>
      </c>
      <c r="B466" s="1">
        <v>45151</v>
      </c>
      <c r="C466" s="1">
        <f>B466+5</f>
        <v>45156</v>
      </c>
      <c r="D466" s="4">
        <f t="shared" si="84"/>
        <v>5</v>
      </c>
      <c r="E466" s="4" t="str">
        <f>TEXT(Table1[[#This Row],[Order_Date]],"dddd")</f>
        <v>Sunday</v>
      </c>
      <c r="F466" s="4">
        <f t="shared" si="85"/>
        <v>8</v>
      </c>
      <c r="G466" t="str">
        <f t="shared" si="88"/>
        <v>August</v>
      </c>
      <c r="H466">
        <f t="shared" si="89"/>
        <v>2023</v>
      </c>
      <c r="I466" t="str">
        <f t="shared" si="90"/>
        <v>2023-Q3</v>
      </c>
      <c r="J466" t="s">
        <v>104</v>
      </c>
      <c r="K466" t="s">
        <v>5861</v>
      </c>
      <c r="L466" t="s">
        <v>5862</v>
      </c>
      <c r="M466" t="s">
        <v>47</v>
      </c>
      <c r="N466" t="s">
        <v>25</v>
      </c>
      <c r="O466" t="s">
        <v>162</v>
      </c>
      <c r="P466" t="s">
        <v>163</v>
      </c>
      <c r="Q466" t="s">
        <v>87</v>
      </c>
      <c r="R466" t="s">
        <v>5863</v>
      </c>
      <c r="S466" t="s">
        <v>30</v>
      </c>
      <c r="T466" t="s">
        <v>41</v>
      </c>
      <c r="U466" t="s">
        <v>5864</v>
      </c>
      <c r="V466" s="3">
        <v>2345.8000000000002</v>
      </c>
      <c r="W466" s="4">
        <v>5</v>
      </c>
      <c r="X466" s="2">
        <v>0.1</v>
      </c>
      <c r="Y466" s="3">
        <v>108.49</v>
      </c>
      <c r="Z466" t="str">
        <f t="shared" si="86"/>
        <v>Normal</v>
      </c>
      <c r="AA466" t="str">
        <f t="shared" si="87"/>
        <v>Medium</v>
      </c>
      <c r="AB466" t="str">
        <f t="shared" si="91"/>
        <v>Low Profit</v>
      </c>
      <c r="AC466" s="3">
        <f t="shared" si="92"/>
        <v>4.6248614545144506E-2</v>
      </c>
      <c r="AD466" s="3">
        <f t="shared" si="93"/>
        <v>469.16</v>
      </c>
      <c r="AE466" s="3">
        <f t="shared" si="94"/>
        <v>21.698</v>
      </c>
      <c r="AF466" t="str">
        <f t="shared" si="95"/>
        <v>Regular</v>
      </c>
    </row>
    <row r="467" spans="1:32" x14ac:dyDescent="0.25">
      <c r="A467" t="s">
        <v>1633</v>
      </c>
      <c r="B467" s="1">
        <v>45152</v>
      </c>
      <c r="C467" s="1">
        <v>45160</v>
      </c>
      <c r="D467" s="4">
        <f t="shared" si="84"/>
        <v>8</v>
      </c>
      <c r="E467" s="4" t="str">
        <f>TEXT(Table1[[#This Row],[Order_Date]],"dddd")</f>
        <v>Monday</v>
      </c>
      <c r="F467" s="4">
        <f t="shared" si="85"/>
        <v>8</v>
      </c>
      <c r="G467" t="str">
        <f t="shared" si="88"/>
        <v>August</v>
      </c>
      <c r="H467">
        <f t="shared" si="89"/>
        <v>2023</v>
      </c>
      <c r="I467" t="str">
        <f t="shared" si="90"/>
        <v>2023-Q3</v>
      </c>
      <c r="J467" t="s">
        <v>104</v>
      </c>
      <c r="K467" t="s">
        <v>1634</v>
      </c>
      <c r="L467" t="s">
        <v>1635</v>
      </c>
      <c r="M467" t="s">
        <v>24</v>
      </c>
      <c r="N467" t="s">
        <v>25</v>
      </c>
      <c r="O467" t="s">
        <v>244</v>
      </c>
      <c r="P467" t="s">
        <v>163</v>
      </c>
      <c r="Q467" t="s">
        <v>28</v>
      </c>
      <c r="R467" t="s">
        <v>1636</v>
      </c>
      <c r="S467" t="s">
        <v>30</v>
      </c>
      <c r="T467" t="s">
        <v>82</v>
      </c>
      <c r="U467" t="s">
        <v>1637</v>
      </c>
      <c r="V467" s="3">
        <v>1959.09</v>
      </c>
      <c r="W467" s="4">
        <v>8</v>
      </c>
      <c r="X467" s="2">
        <v>0</v>
      </c>
      <c r="Y467" s="3">
        <v>-280.97000000000003</v>
      </c>
      <c r="Z467" t="str">
        <f t="shared" si="86"/>
        <v>Normal</v>
      </c>
      <c r="AA467" t="str">
        <f t="shared" si="87"/>
        <v>Low</v>
      </c>
      <c r="AB467" t="str">
        <f t="shared" si="91"/>
        <v>Loss</v>
      </c>
      <c r="AC467" s="3">
        <f t="shared" si="92"/>
        <v>-0.14341862803648633</v>
      </c>
      <c r="AD467" s="3">
        <f t="shared" si="93"/>
        <v>244.88624999999999</v>
      </c>
      <c r="AE467" s="3">
        <f t="shared" si="94"/>
        <v>-35.121250000000003</v>
      </c>
      <c r="AF467" t="str">
        <f t="shared" si="95"/>
        <v>Regular</v>
      </c>
    </row>
    <row r="468" spans="1:32" x14ac:dyDescent="0.25">
      <c r="A468" t="s">
        <v>3543</v>
      </c>
      <c r="B468" s="1">
        <v>45152</v>
      </c>
      <c r="C468" s="1">
        <v>45162</v>
      </c>
      <c r="D468" s="4">
        <f t="shared" si="84"/>
        <v>10</v>
      </c>
      <c r="E468" s="4" t="str">
        <f>TEXT(Table1[[#This Row],[Order_Date]],"dddd")</f>
        <v>Monday</v>
      </c>
      <c r="F468" s="4">
        <f t="shared" si="85"/>
        <v>8</v>
      </c>
      <c r="G468" t="str">
        <f t="shared" si="88"/>
        <v>August</v>
      </c>
      <c r="H468">
        <f t="shared" si="89"/>
        <v>2023</v>
      </c>
      <c r="I468" t="str">
        <f t="shared" si="90"/>
        <v>2023-Q3</v>
      </c>
      <c r="J468" t="s">
        <v>55</v>
      </c>
      <c r="K468" t="s">
        <v>3544</v>
      </c>
      <c r="L468" t="s">
        <v>3545</v>
      </c>
      <c r="M468" t="s">
        <v>47</v>
      </c>
      <c r="N468" t="s">
        <v>25</v>
      </c>
      <c r="O468" t="s">
        <v>48</v>
      </c>
      <c r="P468" t="s">
        <v>49</v>
      </c>
      <c r="Q468" t="s">
        <v>66</v>
      </c>
      <c r="R468" t="s">
        <v>3546</v>
      </c>
      <c r="S468" t="s">
        <v>59</v>
      </c>
      <c r="T468" t="s">
        <v>101</v>
      </c>
      <c r="U468" t="s">
        <v>3547</v>
      </c>
      <c r="V468" s="3">
        <v>3598.74</v>
      </c>
      <c r="W468" s="4">
        <v>9</v>
      </c>
      <c r="X468" s="2">
        <v>0.1</v>
      </c>
      <c r="Y468" s="3">
        <v>-239.74</v>
      </c>
      <c r="Z468" t="str">
        <f t="shared" si="86"/>
        <v>Normal</v>
      </c>
      <c r="AA468" t="str">
        <f t="shared" si="87"/>
        <v>Medium</v>
      </c>
      <c r="AB468" t="str">
        <f t="shared" si="91"/>
        <v>Loss</v>
      </c>
      <c r="AC468" s="3">
        <f t="shared" si="92"/>
        <v>-6.6617760660675693E-2</v>
      </c>
      <c r="AD468" s="3">
        <f t="shared" si="93"/>
        <v>399.85999999999996</v>
      </c>
      <c r="AE468" s="3">
        <f t="shared" si="94"/>
        <v>-26.637777777777778</v>
      </c>
      <c r="AF468" t="str">
        <f t="shared" si="95"/>
        <v>Regular</v>
      </c>
    </row>
    <row r="469" spans="1:32" x14ac:dyDescent="0.25">
      <c r="A469" t="s">
        <v>5545</v>
      </c>
      <c r="B469" s="1">
        <v>45155</v>
      </c>
      <c r="C469" s="1">
        <v>45160</v>
      </c>
      <c r="D469" s="4">
        <f t="shared" si="84"/>
        <v>5</v>
      </c>
      <c r="E469" s="4" t="str">
        <f>TEXT(Table1[[#This Row],[Order_Date]],"dddd")</f>
        <v>Thursday</v>
      </c>
      <c r="F469" s="4">
        <f t="shared" si="85"/>
        <v>8</v>
      </c>
      <c r="G469" t="str">
        <f t="shared" si="88"/>
        <v>August</v>
      </c>
      <c r="H469">
        <f t="shared" si="89"/>
        <v>2023</v>
      </c>
      <c r="I469" t="str">
        <f t="shared" si="90"/>
        <v>2023-Q3</v>
      </c>
      <c r="J469" t="s">
        <v>21</v>
      </c>
      <c r="K469" t="s">
        <v>5546</v>
      </c>
      <c r="L469" t="s">
        <v>5547</v>
      </c>
      <c r="M469" t="s">
        <v>24</v>
      </c>
      <c r="N469" t="s">
        <v>25</v>
      </c>
      <c r="O469" t="s">
        <v>142</v>
      </c>
      <c r="P469" t="s">
        <v>143</v>
      </c>
      <c r="Q469" t="s">
        <v>39</v>
      </c>
      <c r="R469" t="s">
        <v>5548</v>
      </c>
      <c r="S469" t="s">
        <v>59</v>
      </c>
      <c r="T469" t="s">
        <v>101</v>
      </c>
      <c r="U469" t="s">
        <v>2147</v>
      </c>
      <c r="V469" s="3">
        <v>4554.7700000000004</v>
      </c>
      <c r="W469" s="4">
        <v>6</v>
      </c>
      <c r="X469" s="2">
        <v>0</v>
      </c>
      <c r="Y469" s="3">
        <v>86.42</v>
      </c>
      <c r="Z469" t="str">
        <f t="shared" si="86"/>
        <v>Normal</v>
      </c>
      <c r="AA469" t="str">
        <f t="shared" si="87"/>
        <v>Low</v>
      </c>
      <c r="AB469" t="str">
        <f t="shared" si="91"/>
        <v>Low Profit</v>
      </c>
      <c r="AC469" s="3">
        <f t="shared" si="92"/>
        <v>1.8973515676971614E-2</v>
      </c>
      <c r="AD469" s="3">
        <f t="shared" si="93"/>
        <v>759.12833333333344</v>
      </c>
      <c r="AE469" s="3">
        <f t="shared" si="94"/>
        <v>14.403333333333334</v>
      </c>
      <c r="AF469" t="str">
        <f t="shared" si="95"/>
        <v>Regular</v>
      </c>
    </row>
    <row r="470" spans="1:32" x14ac:dyDescent="0.25">
      <c r="A470" t="s">
        <v>583</v>
      </c>
      <c r="B470" s="1">
        <v>45156</v>
      </c>
      <c r="C470" s="1">
        <v>45158</v>
      </c>
      <c r="D470" s="4">
        <f t="shared" si="84"/>
        <v>2</v>
      </c>
      <c r="E470" s="4" t="str">
        <f>TEXT(Table1[[#This Row],[Order_Date]],"dddd")</f>
        <v>Friday</v>
      </c>
      <c r="F470" s="4">
        <f t="shared" si="85"/>
        <v>8</v>
      </c>
      <c r="G470" t="str">
        <f t="shared" si="88"/>
        <v>August</v>
      </c>
      <c r="H470">
        <f t="shared" si="89"/>
        <v>2023</v>
      </c>
      <c r="I470" t="str">
        <f t="shared" si="90"/>
        <v>2023-Q3</v>
      </c>
      <c r="J470" t="s">
        <v>44</v>
      </c>
      <c r="K470" t="s">
        <v>584</v>
      </c>
      <c r="L470" t="s">
        <v>585</v>
      </c>
      <c r="M470" t="s">
        <v>36</v>
      </c>
      <c r="N470" t="s">
        <v>25</v>
      </c>
      <c r="O470" t="s">
        <v>511</v>
      </c>
      <c r="P470" t="s">
        <v>120</v>
      </c>
      <c r="Q470" t="s">
        <v>87</v>
      </c>
      <c r="R470" t="s">
        <v>586</v>
      </c>
      <c r="S470" t="s">
        <v>30</v>
      </c>
      <c r="T470" t="s">
        <v>82</v>
      </c>
      <c r="U470" t="s">
        <v>587</v>
      </c>
      <c r="V470" s="3">
        <v>3791.09</v>
      </c>
      <c r="W470" s="4">
        <v>2</v>
      </c>
      <c r="X470" s="2">
        <v>0</v>
      </c>
      <c r="Y470" s="3">
        <v>643.69000000000005</v>
      </c>
      <c r="Z470" t="str">
        <f t="shared" si="86"/>
        <v>Normal</v>
      </c>
      <c r="AA470" t="str">
        <f t="shared" si="87"/>
        <v>Low</v>
      </c>
      <c r="AB470" t="str">
        <f t="shared" si="91"/>
        <v>High Profit</v>
      </c>
      <c r="AC470" s="3">
        <f t="shared" si="92"/>
        <v>0.16979021864424215</v>
      </c>
      <c r="AD470" s="3">
        <f t="shared" si="93"/>
        <v>1895.5450000000001</v>
      </c>
      <c r="AE470" s="3">
        <f t="shared" si="94"/>
        <v>321.84500000000003</v>
      </c>
      <c r="AF470" t="str">
        <f t="shared" si="95"/>
        <v>Regular</v>
      </c>
    </row>
    <row r="471" spans="1:32" x14ac:dyDescent="0.25">
      <c r="A471" t="s">
        <v>1921</v>
      </c>
      <c r="B471" s="1">
        <v>45156</v>
      </c>
      <c r="C471" s="1">
        <v>45165</v>
      </c>
      <c r="D471" s="4">
        <f t="shared" si="84"/>
        <v>9</v>
      </c>
      <c r="E471" s="4" t="str">
        <f>TEXT(Table1[[#This Row],[Order_Date]],"dddd")</f>
        <v>Friday</v>
      </c>
      <c r="F471" s="4">
        <f t="shared" si="85"/>
        <v>8</v>
      </c>
      <c r="G471" t="str">
        <f t="shared" si="88"/>
        <v>August</v>
      </c>
      <c r="H471">
        <f t="shared" si="89"/>
        <v>2023</v>
      </c>
      <c r="I471" t="str">
        <f t="shared" si="90"/>
        <v>2023-Q3</v>
      </c>
      <c r="J471" t="s">
        <v>55</v>
      </c>
      <c r="K471" t="s">
        <v>1922</v>
      </c>
      <c r="L471" t="s">
        <v>1923</v>
      </c>
      <c r="M471" t="s">
        <v>36</v>
      </c>
      <c r="N471" t="s">
        <v>25</v>
      </c>
      <c r="O471" t="s">
        <v>244</v>
      </c>
      <c r="P471" t="s">
        <v>163</v>
      </c>
      <c r="Q471" t="s">
        <v>66</v>
      </c>
      <c r="R471" t="s">
        <v>1924</v>
      </c>
      <c r="S471" t="s">
        <v>30</v>
      </c>
      <c r="T471" t="s">
        <v>68</v>
      </c>
      <c r="U471" t="s">
        <v>1925</v>
      </c>
      <c r="V471" s="3">
        <v>4085.64</v>
      </c>
      <c r="W471" s="4">
        <v>6</v>
      </c>
      <c r="X471" s="2">
        <v>0</v>
      </c>
      <c r="Y471" s="3">
        <v>-335.8</v>
      </c>
      <c r="Z471" t="str">
        <f t="shared" si="86"/>
        <v>Normal</v>
      </c>
      <c r="AA471" t="str">
        <f t="shared" si="87"/>
        <v>Low</v>
      </c>
      <c r="AB471" t="str">
        <f t="shared" si="91"/>
        <v>Loss</v>
      </c>
      <c r="AC471" s="3">
        <f t="shared" si="92"/>
        <v>-8.2190305558003163E-2</v>
      </c>
      <c r="AD471" s="3">
        <f t="shared" si="93"/>
        <v>680.93999999999994</v>
      </c>
      <c r="AE471" s="3">
        <f t="shared" si="94"/>
        <v>-55.966666666666669</v>
      </c>
      <c r="AF471" t="str">
        <f t="shared" si="95"/>
        <v>Regular</v>
      </c>
    </row>
    <row r="472" spans="1:32" x14ac:dyDescent="0.25">
      <c r="A472" t="s">
        <v>5053</v>
      </c>
      <c r="B472" s="1">
        <v>45157</v>
      </c>
      <c r="C472" s="1">
        <v>45158</v>
      </c>
      <c r="D472" s="4">
        <f t="shared" si="84"/>
        <v>1</v>
      </c>
      <c r="E472" s="4" t="str">
        <f>TEXT(Table1[[#This Row],[Order_Date]],"dddd")</f>
        <v>Saturday</v>
      </c>
      <c r="F472" s="4">
        <f t="shared" si="85"/>
        <v>8</v>
      </c>
      <c r="G472" t="str">
        <f t="shared" si="88"/>
        <v>August</v>
      </c>
      <c r="H472">
        <f t="shared" si="89"/>
        <v>2023</v>
      </c>
      <c r="I472" t="str">
        <f t="shared" si="90"/>
        <v>2023-Q3</v>
      </c>
      <c r="J472" t="s">
        <v>104</v>
      </c>
      <c r="K472" t="s">
        <v>5054</v>
      </c>
      <c r="L472" t="s">
        <v>5055</v>
      </c>
      <c r="M472" t="s">
        <v>36</v>
      </c>
      <c r="N472" t="s">
        <v>25</v>
      </c>
      <c r="O472" t="s">
        <v>179</v>
      </c>
      <c r="P472" t="s">
        <v>27</v>
      </c>
      <c r="Q472" t="s">
        <v>87</v>
      </c>
      <c r="R472" t="s">
        <v>5056</v>
      </c>
      <c r="S472" t="s">
        <v>59</v>
      </c>
      <c r="T472" t="s">
        <v>277</v>
      </c>
      <c r="U472" t="s">
        <v>5057</v>
      </c>
      <c r="V472" s="3">
        <v>1084.01</v>
      </c>
      <c r="W472" s="4">
        <v>10</v>
      </c>
      <c r="X472" s="2">
        <v>0.2</v>
      </c>
      <c r="Y472" s="3">
        <v>57.25</v>
      </c>
      <c r="Z472" t="str">
        <f t="shared" si="86"/>
        <v>Normal</v>
      </c>
      <c r="AA472" t="str">
        <f t="shared" si="87"/>
        <v>High</v>
      </c>
      <c r="AB472" t="str">
        <f t="shared" si="91"/>
        <v>Low Profit</v>
      </c>
      <c r="AC472" s="3">
        <f t="shared" si="92"/>
        <v>5.2813165930203597E-2</v>
      </c>
      <c r="AD472" s="3">
        <f t="shared" si="93"/>
        <v>108.401</v>
      </c>
      <c r="AE472" s="3">
        <f t="shared" si="94"/>
        <v>5.7249999999999996</v>
      </c>
      <c r="AF472" t="str">
        <f t="shared" si="95"/>
        <v>Regular</v>
      </c>
    </row>
    <row r="473" spans="1:32" x14ac:dyDescent="0.25">
      <c r="A473" t="s">
        <v>3892</v>
      </c>
      <c r="B473" s="1">
        <v>45157</v>
      </c>
      <c r="C473" s="1">
        <v>45160</v>
      </c>
      <c r="D473" s="4">
        <f t="shared" si="84"/>
        <v>3</v>
      </c>
      <c r="E473" s="4" t="str">
        <f>TEXT(Table1[[#This Row],[Order_Date]],"dddd")</f>
        <v>Saturday</v>
      </c>
      <c r="F473" s="4">
        <f t="shared" si="85"/>
        <v>8</v>
      </c>
      <c r="G473" t="str">
        <f t="shared" si="88"/>
        <v>August</v>
      </c>
      <c r="H473">
        <f t="shared" si="89"/>
        <v>2023</v>
      </c>
      <c r="I473" t="str">
        <f t="shared" si="90"/>
        <v>2023-Q3</v>
      </c>
      <c r="J473" t="s">
        <v>104</v>
      </c>
      <c r="K473" t="s">
        <v>3893</v>
      </c>
      <c r="L473" t="s">
        <v>3894</v>
      </c>
      <c r="M473" t="s">
        <v>47</v>
      </c>
      <c r="N473" t="s">
        <v>25</v>
      </c>
      <c r="O473" t="s">
        <v>113</v>
      </c>
      <c r="P473" t="s">
        <v>113</v>
      </c>
      <c r="Q473" t="s">
        <v>87</v>
      </c>
      <c r="R473" t="s">
        <v>3895</v>
      </c>
      <c r="S473" t="s">
        <v>51</v>
      </c>
      <c r="T473" t="s">
        <v>108</v>
      </c>
      <c r="U473" t="s">
        <v>3896</v>
      </c>
      <c r="V473" s="3">
        <v>4242.8</v>
      </c>
      <c r="W473" s="4">
        <v>7</v>
      </c>
      <c r="X473" s="2">
        <v>0</v>
      </c>
      <c r="Y473" s="3">
        <v>-533.78</v>
      </c>
      <c r="Z473" t="str">
        <f t="shared" si="86"/>
        <v>Normal</v>
      </c>
      <c r="AA473" t="str">
        <f t="shared" si="87"/>
        <v>Low</v>
      </c>
      <c r="AB473" t="str">
        <f t="shared" si="91"/>
        <v>Loss</v>
      </c>
      <c r="AC473" s="3">
        <f t="shared" si="92"/>
        <v>-0.12580842839634201</v>
      </c>
      <c r="AD473" s="3">
        <f t="shared" si="93"/>
        <v>606.11428571428576</v>
      </c>
      <c r="AE473" s="3">
        <f t="shared" si="94"/>
        <v>-76.254285714285714</v>
      </c>
      <c r="AF473" t="str">
        <f t="shared" si="95"/>
        <v>Regular</v>
      </c>
    </row>
    <row r="474" spans="1:32" x14ac:dyDescent="0.25">
      <c r="A474" t="s">
        <v>419</v>
      </c>
      <c r="B474" s="1">
        <v>45158</v>
      </c>
      <c r="C474" s="1">
        <v>45161</v>
      </c>
      <c r="D474" s="4">
        <f t="shared" si="84"/>
        <v>3</v>
      </c>
      <c r="E474" s="4" t="str">
        <f>TEXT(Table1[[#This Row],[Order_Date]],"dddd")</f>
        <v>Sunday</v>
      </c>
      <c r="F474" s="4">
        <f t="shared" si="85"/>
        <v>8</v>
      </c>
      <c r="G474" t="str">
        <f t="shared" si="88"/>
        <v>August</v>
      </c>
      <c r="H474">
        <f t="shared" si="89"/>
        <v>2023</v>
      </c>
      <c r="I474" t="str">
        <f t="shared" si="90"/>
        <v>2023-Q3</v>
      </c>
      <c r="J474" t="s">
        <v>44</v>
      </c>
      <c r="K474" t="s">
        <v>420</v>
      </c>
      <c r="L474" t="s">
        <v>421</v>
      </c>
      <c r="M474" t="s">
        <v>47</v>
      </c>
      <c r="N474" t="s">
        <v>25</v>
      </c>
      <c r="O474" t="s">
        <v>119</v>
      </c>
      <c r="P474" t="s">
        <v>120</v>
      </c>
      <c r="Q474" t="s">
        <v>66</v>
      </c>
      <c r="R474" t="s">
        <v>422</v>
      </c>
      <c r="S474" t="s">
        <v>59</v>
      </c>
      <c r="T474" t="s">
        <v>277</v>
      </c>
      <c r="U474" t="s">
        <v>423</v>
      </c>
      <c r="V474" s="3">
        <v>3681.55</v>
      </c>
      <c r="W474" s="4">
        <v>2</v>
      </c>
      <c r="X474" s="2">
        <v>0.1</v>
      </c>
      <c r="Y474" s="3">
        <v>85.77</v>
      </c>
      <c r="Z474" t="str">
        <f t="shared" si="86"/>
        <v>Normal</v>
      </c>
      <c r="AA474" t="str">
        <f t="shared" si="87"/>
        <v>Medium</v>
      </c>
      <c r="AB474" t="str">
        <f t="shared" si="91"/>
        <v>Low Profit</v>
      </c>
      <c r="AC474" s="3">
        <f t="shared" si="92"/>
        <v>2.3297252515923999E-2</v>
      </c>
      <c r="AD474" s="3">
        <f t="shared" si="93"/>
        <v>1840.7750000000001</v>
      </c>
      <c r="AE474" s="3">
        <f t="shared" si="94"/>
        <v>42.884999999999998</v>
      </c>
      <c r="AF474" t="str">
        <f t="shared" si="95"/>
        <v>Regular</v>
      </c>
    </row>
    <row r="475" spans="1:32" x14ac:dyDescent="0.25">
      <c r="A475" t="s">
        <v>5652</v>
      </c>
      <c r="B475" s="1">
        <v>45158</v>
      </c>
      <c r="C475" s="1">
        <v>45168</v>
      </c>
      <c r="D475" s="4">
        <f t="shared" si="84"/>
        <v>10</v>
      </c>
      <c r="E475" s="4" t="str">
        <f>TEXT(Table1[[#This Row],[Order_Date]],"dddd")</f>
        <v>Sunday</v>
      </c>
      <c r="F475" s="4">
        <f t="shared" si="85"/>
        <v>8</v>
      </c>
      <c r="G475" t="str">
        <f t="shared" si="88"/>
        <v>August</v>
      </c>
      <c r="H475">
        <f t="shared" si="89"/>
        <v>2023</v>
      </c>
      <c r="I475" t="str">
        <f t="shared" si="90"/>
        <v>2023-Q3</v>
      </c>
      <c r="J475" t="s">
        <v>21</v>
      </c>
      <c r="K475" t="s">
        <v>5653</v>
      </c>
      <c r="L475" t="s">
        <v>5654</v>
      </c>
      <c r="M475" t="s">
        <v>36</v>
      </c>
      <c r="N475" t="s">
        <v>25</v>
      </c>
      <c r="O475" t="s">
        <v>190</v>
      </c>
      <c r="P475" t="s">
        <v>120</v>
      </c>
      <c r="Q475" t="s">
        <v>28</v>
      </c>
      <c r="R475" t="s">
        <v>5655</v>
      </c>
      <c r="S475" t="s">
        <v>51</v>
      </c>
      <c r="T475" t="s">
        <v>94</v>
      </c>
      <c r="U475" t="s">
        <v>5656</v>
      </c>
      <c r="V475" s="3">
        <v>1779.91</v>
      </c>
      <c r="W475" s="4">
        <v>5</v>
      </c>
      <c r="X475" s="2">
        <v>0.4</v>
      </c>
      <c r="Y475" s="3">
        <v>40.18</v>
      </c>
      <c r="Z475" t="str">
        <f t="shared" si="86"/>
        <v>Normal</v>
      </c>
      <c r="AA475" t="str">
        <f t="shared" si="87"/>
        <v>High</v>
      </c>
      <c r="AB475" t="str">
        <f t="shared" si="91"/>
        <v>Low Profit</v>
      </c>
      <c r="AC475" s="3">
        <f t="shared" si="92"/>
        <v>2.2574175098740948E-2</v>
      </c>
      <c r="AD475" s="3">
        <f t="shared" si="93"/>
        <v>355.98200000000003</v>
      </c>
      <c r="AE475" s="3">
        <f t="shared" si="94"/>
        <v>8.0359999999999996</v>
      </c>
      <c r="AF475" t="str">
        <f t="shared" si="95"/>
        <v>Regular</v>
      </c>
    </row>
    <row r="476" spans="1:32" x14ac:dyDescent="0.25">
      <c r="A476" t="s">
        <v>1201</v>
      </c>
      <c r="B476" s="1">
        <v>45158</v>
      </c>
      <c r="C476" s="1">
        <v>45163</v>
      </c>
      <c r="D476" s="4">
        <f t="shared" si="84"/>
        <v>5</v>
      </c>
      <c r="E476" s="4" t="str">
        <f>TEXT(Table1[[#This Row],[Order_Date]],"dddd")</f>
        <v>Sunday</v>
      </c>
      <c r="F476" s="4">
        <f t="shared" si="85"/>
        <v>8</v>
      </c>
      <c r="G476" t="str">
        <f t="shared" si="88"/>
        <v>August</v>
      </c>
      <c r="H476">
        <f t="shared" si="89"/>
        <v>2023</v>
      </c>
      <c r="I476" t="str">
        <f t="shared" si="90"/>
        <v>2023-Q3</v>
      </c>
      <c r="J476" t="s">
        <v>21</v>
      </c>
      <c r="K476" t="s">
        <v>1202</v>
      </c>
      <c r="L476" t="s">
        <v>1203</v>
      </c>
      <c r="M476" t="s">
        <v>36</v>
      </c>
      <c r="N476" t="s">
        <v>25</v>
      </c>
      <c r="O476" t="s">
        <v>48</v>
      </c>
      <c r="P476" t="s">
        <v>49</v>
      </c>
      <c r="Q476" t="s">
        <v>28</v>
      </c>
      <c r="R476" t="s">
        <v>1204</v>
      </c>
      <c r="S476" t="s">
        <v>51</v>
      </c>
      <c r="T476" t="s">
        <v>52</v>
      </c>
      <c r="U476" t="s">
        <v>1205</v>
      </c>
      <c r="V476" s="3">
        <v>1593.74</v>
      </c>
      <c r="W476" s="4">
        <v>5</v>
      </c>
      <c r="X476" s="2">
        <v>0</v>
      </c>
      <c r="Y476" s="3">
        <v>-227.39</v>
      </c>
      <c r="Z476" t="str">
        <f t="shared" si="86"/>
        <v>Normal</v>
      </c>
      <c r="AA476" t="str">
        <f t="shared" si="87"/>
        <v>Low</v>
      </c>
      <c r="AB476" t="str">
        <f t="shared" si="91"/>
        <v>Loss</v>
      </c>
      <c r="AC476" s="3">
        <f t="shared" si="92"/>
        <v>-0.14267697365944257</v>
      </c>
      <c r="AD476" s="3">
        <f t="shared" si="93"/>
        <v>318.74799999999999</v>
      </c>
      <c r="AE476" s="3">
        <f t="shared" si="94"/>
        <v>-45.477999999999994</v>
      </c>
      <c r="AF476" t="str">
        <f t="shared" si="95"/>
        <v>Regular</v>
      </c>
    </row>
    <row r="477" spans="1:32" x14ac:dyDescent="0.25">
      <c r="A477" t="s">
        <v>4980</v>
      </c>
      <c r="B477" s="1">
        <v>45160</v>
      </c>
      <c r="C477" s="1">
        <v>45169</v>
      </c>
      <c r="D477" s="4">
        <f t="shared" si="84"/>
        <v>9</v>
      </c>
      <c r="E477" s="4" t="str">
        <f>TEXT(Table1[[#This Row],[Order_Date]],"dddd")</f>
        <v>Tuesday</v>
      </c>
      <c r="F477" s="4">
        <f t="shared" si="85"/>
        <v>8</v>
      </c>
      <c r="G477" t="str">
        <f t="shared" si="88"/>
        <v>August</v>
      </c>
      <c r="H477">
        <f t="shared" si="89"/>
        <v>2023</v>
      </c>
      <c r="I477" t="str">
        <f t="shared" si="90"/>
        <v>2023-Q3</v>
      </c>
      <c r="J477" t="s">
        <v>21</v>
      </c>
      <c r="K477" t="s">
        <v>4981</v>
      </c>
      <c r="L477" t="s">
        <v>4982</v>
      </c>
      <c r="M477" t="s">
        <v>36</v>
      </c>
      <c r="N477" t="s">
        <v>25</v>
      </c>
      <c r="O477" t="s">
        <v>511</v>
      </c>
      <c r="P477" t="s">
        <v>120</v>
      </c>
      <c r="Q477" t="s">
        <v>39</v>
      </c>
      <c r="R477" t="s">
        <v>4983</v>
      </c>
      <c r="S477" t="s">
        <v>30</v>
      </c>
      <c r="T477" t="s">
        <v>41</v>
      </c>
      <c r="U477" t="s">
        <v>4984</v>
      </c>
      <c r="V477" s="3">
        <v>79.680000000000007</v>
      </c>
      <c r="W477" s="4">
        <v>6</v>
      </c>
      <c r="X477" s="2">
        <v>0.2</v>
      </c>
      <c r="Y477" s="3">
        <v>-6.22</v>
      </c>
      <c r="Z477" t="str">
        <f t="shared" si="86"/>
        <v>Normal</v>
      </c>
      <c r="AA477" t="str">
        <f t="shared" si="87"/>
        <v>High</v>
      </c>
      <c r="AB477" t="str">
        <f t="shared" si="91"/>
        <v>Loss</v>
      </c>
      <c r="AC477" s="3">
        <f t="shared" si="92"/>
        <v>-7.8062248995983921E-2</v>
      </c>
      <c r="AD477" s="3">
        <f t="shared" si="93"/>
        <v>13.280000000000001</v>
      </c>
      <c r="AE477" s="3">
        <f t="shared" si="94"/>
        <v>-1.0366666666666666</v>
      </c>
      <c r="AF477" t="str">
        <f t="shared" si="95"/>
        <v>Regular</v>
      </c>
    </row>
    <row r="478" spans="1:32" x14ac:dyDescent="0.25">
      <c r="A478" t="s">
        <v>578</v>
      </c>
      <c r="B478" s="1">
        <v>45161</v>
      </c>
      <c r="C478" s="1">
        <v>45168</v>
      </c>
      <c r="D478" s="4">
        <f t="shared" si="84"/>
        <v>7</v>
      </c>
      <c r="E478" s="4" t="str">
        <f>TEXT(Table1[[#This Row],[Order_Date]],"dddd")</f>
        <v>Wednesday</v>
      </c>
      <c r="F478" s="4">
        <f t="shared" si="85"/>
        <v>8</v>
      </c>
      <c r="G478" t="str">
        <f t="shared" si="88"/>
        <v>August</v>
      </c>
      <c r="H478">
        <f t="shared" si="89"/>
        <v>2023</v>
      </c>
      <c r="I478" t="str">
        <f t="shared" si="90"/>
        <v>2023-Q3</v>
      </c>
      <c r="J478" t="s">
        <v>55</v>
      </c>
      <c r="K478" t="s">
        <v>579</v>
      </c>
      <c r="L478" t="s">
        <v>580</v>
      </c>
      <c r="M478" t="s">
        <v>36</v>
      </c>
      <c r="N478" t="s">
        <v>25</v>
      </c>
      <c r="O478" t="s">
        <v>65</v>
      </c>
      <c r="P478" t="s">
        <v>27</v>
      </c>
      <c r="Q478" t="s">
        <v>87</v>
      </c>
      <c r="R478" t="s">
        <v>581</v>
      </c>
      <c r="S478" t="s">
        <v>51</v>
      </c>
      <c r="T478" t="s">
        <v>94</v>
      </c>
      <c r="U478" t="s">
        <v>582</v>
      </c>
      <c r="V478" s="3">
        <v>3426.84</v>
      </c>
      <c r="W478" s="4">
        <v>10</v>
      </c>
      <c r="X478" s="2">
        <v>0</v>
      </c>
      <c r="Y478" s="3">
        <v>-492.56</v>
      </c>
      <c r="Z478" t="str">
        <f t="shared" si="86"/>
        <v>Normal</v>
      </c>
      <c r="AA478" t="str">
        <f t="shared" si="87"/>
        <v>Low</v>
      </c>
      <c r="AB478" t="str">
        <f t="shared" si="91"/>
        <v>Loss</v>
      </c>
      <c r="AC478" s="3">
        <f t="shared" si="92"/>
        <v>-0.14373591997291965</v>
      </c>
      <c r="AD478" s="3">
        <f t="shared" si="93"/>
        <v>342.68400000000003</v>
      </c>
      <c r="AE478" s="3">
        <f t="shared" si="94"/>
        <v>-49.256</v>
      </c>
      <c r="AF478" t="str">
        <f t="shared" si="95"/>
        <v>Regular</v>
      </c>
    </row>
    <row r="479" spans="1:32" x14ac:dyDescent="0.25">
      <c r="A479" t="s">
        <v>7181</v>
      </c>
      <c r="B479" s="1">
        <v>45162</v>
      </c>
      <c r="C479" s="1">
        <v>45165</v>
      </c>
      <c r="D479" s="4">
        <f t="shared" si="84"/>
        <v>3</v>
      </c>
      <c r="E479" s="4" t="str">
        <f>TEXT(Table1[[#This Row],[Order_Date]],"dddd")</f>
        <v>Thursday</v>
      </c>
      <c r="F479" s="4">
        <f t="shared" si="85"/>
        <v>8</v>
      </c>
      <c r="G479" t="str">
        <f t="shared" si="88"/>
        <v>August</v>
      </c>
      <c r="H479">
        <f t="shared" si="89"/>
        <v>2023</v>
      </c>
      <c r="I479" t="str">
        <f t="shared" si="90"/>
        <v>2023-Q3</v>
      </c>
      <c r="J479" t="s">
        <v>104</v>
      </c>
      <c r="K479" t="s">
        <v>7182</v>
      </c>
      <c r="L479" t="s">
        <v>7183</v>
      </c>
      <c r="M479" t="s">
        <v>47</v>
      </c>
      <c r="N479" t="s">
        <v>25</v>
      </c>
      <c r="O479" t="s">
        <v>255</v>
      </c>
      <c r="P479" t="s">
        <v>143</v>
      </c>
      <c r="Q479" t="s">
        <v>39</v>
      </c>
      <c r="R479" t="s">
        <v>7184</v>
      </c>
      <c r="S479" t="s">
        <v>30</v>
      </c>
      <c r="T479" t="s">
        <v>68</v>
      </c>
      <c r="U479" t="s">
        <v>7185</v>
      </c>
      <c r="V479" s="3">
        <v>416.79</v>
      </c>
      <c r="W479" s="4">
        <v>5</v>
      </c>
      <c r="X479" s="2">
        <v>0.2</v>
      </c>
      <c r="Y479" s="3">
        <v>12.32</v>
      </c>
      <c r="Z479" t="str">
        <f t="shared" si="86"/>
        <v>Normal</v>
      </c>
      <c r="AA479" t="str">
        <f t="shared" si="87"/>
        <v>High</v>
      </c>
      <c r="AB479" t="str">
        <f t="shared" si="91"/>
        <v>Low Profit</v>
      </c>
      <c r="AC479" s="3">
        <f t="shared" si="92"/>
        <v>2.9559250461863289E-2</v>
      </c>
      <c r="AD479" s="3">
        <f t="shared" si="93"/>
        <v>83.358000000000004</v>
      </c>
      <c r="AE479" s="3">
        <f t="shared" si="94"/>
        <v>2.464</v>
      </c>
      <c r="AF479" t="str">
        <f t="shared" si="95"/>
        <v>Regular</v>
      </c>
    </row>
    <row r="480" spans="1:32" x14ac:dyDescent="0.25">
      <c r="A480" t="s">
        <v>2720</v>
      </c>
      <c r="B480" s="1">
        <v>45162</v>
      </c>
      <c r="C480" s="1">
        <v>45170</v>
      </c>
      <c r="D480" s="4">
        <f t="shared" si="84"/>
        <v>8</v>
      </c>
      <c r="E480" s="4" t="str">
        <f>TEXT(Table1[[#This Row],[Order_Date]],"dddd")</f>
        <v>Thursday</v>
      </c>
      <c r="F480" s="4">
        <f t="shared" si="85"/>
        <v>8</v>
      </c>
      <c r="G480" t="str">
        <f t="shared" si="88"/>
        <v>August</v>
      </c>
      <c r="H480">
        <f t="shared" si="89"/>
        <v>2023</v>
      </c>
      <c r="I480" t="str">
        <f t="shared" si="90"/>
        <v>2023-Q3</v>
      </c>
      <c r="J480" t="s">
        <v>44</v>
      </c>
      <c r="K480" t="s">
        <v>2721</v>
      </c>
      <c r="L480" t="s">
        <v>2722</v>
      </c>
      <c r="M480" t="s">
        <v>24</v>
      </c>
      <c r="N480" t="s">
        <v>25</v>
      </c>
      <c r="O480" t="s">
        <v>201</v>
      </c>
      <c r="P480" t="s">
        <v>113</v>
      </c>
      <c r="Q480" t="s">
        <v>66</v>
      </c>
      <c r="R480" t="s">
        <v>2723</v>
      </c>
      <c r="S480" t="s">
        <v>51</v>
      </c>
      <c r="T480" t="s">
        <v>127</v>
      </c>
      <c r="U480" t="s">
        <v>2724</v>
      </c>
      <c r="V480" s="3">
        <v>4917.7299999999996</v>
      </c>
      <c r="W480" s="4">
        <v>5</v>
      </c>
      <c r="X480" s="2">
        <v>0.1</v>
      </c>
      <c r="Y480" s="3">
        <v>1018.53</v>
      </c>
      <c r="Z480" t="str">
        <f t="shared" si="86"/>
        <v>Normal</v>
      </c>
      <c r="AA480" t="str">
        <f t="shared" si="87"/>
        <v>Medium</v>
      </c>
      <c r="AB480" t="str">
        <f t="shared" si="91"/>
        <v>High Profit</v>
      </c>
      <c r="AC480" s="3">
        <f t="shared" si="92"/>
        <v>0.20711385130944562</v>
      </c>
      <c r="AD480" s="3">
        <f t="shared" si="93"/>
        <v>983.54599999999994</v>
      </c>
      <c r="AE480" s="3">
        <f t="shared" si="94"/>
        <v>203.70599999999999</v>
      </c>
      <c r="AF480" t="str">
        <f t="shared" si="95"/>
        <v>Regular</v>
      </c>
    </row>
    <row r="481" spans="1:32" x14ac:dyDescent="0.25">
      <c r="A481" t="s">
        <v>6037</v>
      </c>
      <c r="B481" s="1">
        <v>45162</v>
      </c>
      <c r="C481" s="1">
        <v>45169</v>
      </c>
      <c r="D481" s="4">
        <f t="shared" si="84"/>
        <v>7</v>
      </c>
      <c r="E481" s="4" t="str">
        <f>TEXT(Table1[[#This Row],[Order_Date]],"dddd")</f>
        <v>Thursday</v>
      </c>
      <c r="F481" s="4">
        <f t="shared" si="85"/>
        <v>8</v>
      </c>
      <c r="G481" t="str">
        <f t="shared" si="88"/>
        <v>August</v>
      </c>
      <c r="H481">
        <f t="shared" si="89"/>
        <v>2023</v>
      </c>
      <c r="I481" t="str">
        <f t="shared" si="90"/>
        <v>2023-Q3</v>
      </c>
      <c r="J481" t="s">
        <v>104</v>
      </c>
      <c r="K481" t="s">
        <v>6038</v>
      </c>
      <c r="L481" t="s">
        <v>6039</v>
      </c>
      <c r="M481" t="s">
        <v>36</v>
      </c>
      <c r="N481" t="s">
        <v>25</v>
      </c>
      <c r="O481" t="s">
        <v>244</v>
      </c>
      <c r="P481" t="s">
        <v>163</v>
      </c>
      <c r="Q481" t="s">
        <v>28</v>
      </c>
      <c r="R481" t="s">
        <v>6040</v>
      </c>
      <c r="S481" t="s">
        <v>59</v>
      </c>
      <c r="T481" t="s">
        <v>277</v>
      </c>
      <c r="U481" t="s">
        <v>6041</v>
      </c>
      <c r="V481" s="3">
        <v>4592.8500000000004</v>
      </c>
      <c r="W481" s="4">
        <v>4</v>
      </c>
      <c r="X481" s="2">
        <v>0.1</v>
      </c>
      <c r="Y481" s="3">
        <v>1329.38</v>
      </c>
      <c r="Z481" t="str">
        <f t="shared" si="86"/>
        <v>Outlier</v>
      </c>
      <c r="AA481" t="str">
        <f t="shared" si="87"/>
        <v>Medium</v>
      </c>
      <c r="AB481" t="str">
        <f t="shared" si="91"/>
        <v>High Profit</v>
      </c>
      <c r="AC481" s="3">
        <f t="shared" si="92"/>
        <v>0.28944555123724919</v>
      </c>
      <c r="AD481" s="3">
        <f t="shared" si="93"/>
        <v>1148.2125000000001</v>
      </c>
      <c r="AE481" s="3">
        <f t="shared" si="94"/>
        <v>332.34500000000003</v>
      </c>
      <c r="AF481" t="str">
        <f t="shared" si="95"/>
        <v>Regular</v>
      </c>
    </row>
    <row r="482" spans="1:32" x14ac:dyDescent="0.25">
      <c r="A482" t="s">
        <v>5478</v>
      </c>
      <c r="B482" s="1">
        <v>45162</v>
      </c>
      <c r="C482" s="1">
        <v>45169</v>
      </c>
      <c r="D482" s="4">
        <f t="shared" si="84"/>
        <v>7</v>
      </c>
      <c r="E482" s="4" t="str">
        <f>TEXT(Table1[[#This Row],[Order_Date]],"dddd")</f>
        <v>Thursday</v>
      </c>
      <c r="F482" s="4">
        <f t="shared" si="85"/>
        <v>8</v>
      </c>
      <c r="G482" t="str">
        <f t="shared" si="88"/>
        <v>August</v>
      </c>
      <c r="H482">
        <f t="shared" si="89"/>
        <v>2023</v>
      </c>
      <c r="I482" t="str">
        <f t="shared" si="90"/>
        <v>2023-Q3</v>
      </c>
      <c r="J482" t="s">
        <v>44</v>
      </c>
      <c r="K482" t="s">
        <v>5479</v>
      </c>
      <c r="L482" t="s">
        <v>5480</v>
      </c>
      <c r="M482" t="s">
        <v>36</v>
      </c>
      <c r="N482" t="s">
        <v>25</v>
      </c>
      <c r="O482" t="s">
        <v>382</v>
      </c>
      <c r="P482" t="s">
        <v>38</v>
      </c>
      <c r="Q482" t="s">
        <v>28</v>
      </c>
      <c r="R482" t="s">
        <v>5481</v>
      </c>
      <c r="S482" t="s">
        <v>59</v>
      </c>
      <c r="T482" t="s">
        <v>303</v>
      </c>
      <c r="U482" t="s">
        <v>5482</v>
      </c>
      <c r="V482" s="3">
        <v>2082.5300000000002</v>
      </c>
      <c r="W482" s="4">
        <v>1</v>
      </c>
      <c r="X482" s="2">
        <v>0.1</v>
      </c>
      <c r="Y482" s="3">
        <v>143.13999999999999</v>
      </c>
      <c r="Z482" t="str">
        <f t="shared" si="86"/>
        <v>Normal</v>
      </c>
      <c r="AA482" t="str">
        <f t="shared" si="87"/>
        <v>Medium</v>
      </c>
      <c r="AB482" t="str">
        <f t="shared" si="91"/>
        <v>Low Profit</v>
      </c>
      <c r="AC482" s="3">
        <f t="shared" si="92"/>
        <v>6.8733703716152936E-2</v>
      </c>
      <c r="AD482" s="3">
        <f t="shared" si="93"/>
        <v>2082.5300000000002</v>
      </c>
      <c r="AE482" s="3">
        <f t="shared" si="94"/>
        <v>143.13999999999999</v>
      </c>
      <c r="AF482" t="str">
        <f t="shared" si="95"/>
        <v>Regular</v>
      </c>
    </row>
    <row r="483" spans="1:32" x14ac:dyDescent="0.25">
      <c r="A483" t="s">
        <v>1941</v>
      </c>
      <c r="B483" s="1">
        <v>45163</v>
      </c>
      <c r="C483" s="1">
        <v>45164</v>
      </c>
      <c r="D483" s="4">
        <f t="shared" si="84"/>
        <v>1</v>
      </c>
      <c r="E483" s="4" t="str">
        <f>TEXT(Table1[[#This Row],[Order_Date]],"dddd")</f>
        <v>Friday</v>
      </c>
      <c r="F483" s="4">
        <f t="shared" si="85"/>
        <v>8</v>
      </c>
      <c r="G483" t="str">
        <f t="shared" si="88"/>
        <v>August</v>
      </c>
      <c r="H483">
        <f t="shared" si="89"/>
        <v>2023</v>
      </c>
      <c r="I483" t="str">
        <f t="shared" si="90"/>
        <v>2023-Q3</v>
      </c>
      <c r="J483" t="s">
        <v>44</v>
      </c>
      <c r="K483" t="s">
        <v>1942</v>
      </c>
      <c r="L483" t="s">
        <v>1943</v>
      </c>
      <c r="M483" t="s">
        <v>36</v>
      </c>
      <c r="N483" t="s">
        <v>25</v>
      </c>
      <c r="O483" t="s">
        <v>611</v>
      </c>
      <c r="P483" t="s">
        <v>74</v>
      </c>
      <c r="Q483" t="s">
        <v>87</v>
      </c>
      <c r="R483" t="s">
        <v>1944</v>
      </c>
      <c r="S483" t="s">
        <v>51</v>
      </c>
      <c r="T483" t="s">
        <v>127</v>
      </c>
      <c r="U483" t="s">
        <v>1945</v>
      </c>
      <c r="V483" s="3">
        <v>3903.24</v>
      </c>
      <c r="W483" s="4">
        <v>5</v>
      </c>
      <c r="X483" s="2">
        <v>0.1</v>
      </c>
      <c r="Y483" s="3">
        <v>247.55</v>
      </c>
      <c r="Z483" t="str">
        <f t="shared" si="86"/>
        <v>Normal</v>
      </c>
      <c r="AA483" t="str">
        <f t="shared" si="87"/>
        <v>Medium</v>
      </c>
      <c r="AB483" t="str">
        <f t="shared" si="91"/>
        <v>Low Profit</v>
      </c>
      <c r="AC483" s="3">
        <f t="shared" si="92"/>
        <v>6.3421670202191013E-2</v>
      </c>
      <c r="AD483" s="3">
        <f t="shared" si="93"/>
        <v>780.64799999999991</v>
      </c>
      <c r="AE483" s="3">
        <f t="shared" si="94"/>
        <v>49.510000000000005</v>
      </c>
      <c r="AF483" t="str">
        <f t="shared" si="95"/>
        <v>Regular</v>
      </c>
    </row>
    <row r="484" spans="1:32" x14ac:dyDescent="0.25">
      <c r="A484" t="s">
        <v>7324</v>
      </c>
      <c r="B484" s="1">
        <v>45164</v>
      </c>
      <c r="C484" s="1">
        <v>45171</v>
      </c>
      <c r="D484" s="4">
        <f t="shared" si="84"/>
        <v>7</v>
      </c>
      <c r="E484" s="4" t="str">
        <f>TEXT(Table1[[#This Row],[Order_Date]],"dddd")</f>
        <v>Saturday</v>
      </c>
      <c r="F484" s="4">
        <f t="shared" si="85"/>
        <v>8</v>
      </c>
      <c r="G484" t="str">
        <f t="shared" si="88"/>
        <v>August</v>
      </c>
      <c r="H484">
        <f t="shared" si="89"/>
        <v>2023</v>
      </c>
      <c r="I484" t="str">
        <f t="shared" si="90"/>
        <v>2023-Q3</v>
      </c>
      <c r="J484" t="s">
        <v>21</v>
      </c>
      <c r="K484" t="s">
        <v>7325</v>
      </c>
      <c r="L484" t="s">
        <v>7326</v>
      </c>
      <c r="M484" t="s">
        <v>24</v>
      </c>
      <c r="N484" t="s">
        <v>25</v>
      </c>
      <c r="O484" t="s">
        <v>233</v>
      </c>
      <c r="P484" t="s">
        <v>163</v>
      </c>
      <c r="Q484" t="s">
        <v>28</v>
      </c>
      <c r="R484" t="s">
        <v>7327</v>
      </c>
      <c r="S484" t="s">
        <v>51</v>
      </c>
      <c r="T484" t="s">
        <v>108</v>
      </c>
      <c r="U484" t="s">
        <v>2626</v>
      </c>
      <c r="V484" s="3">
        <v>2201.83</v>
      </c>
      <c r="W484" s="4">
        <v>10</v>
      </c>
      <c r="X484" s="2">
        <v>0</v>
      </c>
      <c r="Y484" s="3">
        <v>293.93</v>
      </c>
      <c r="Z484" t="str">
        <f t="shared" si="86"/>
        <v>Normal</v>
      </c>
      <c r="AA484" t="str">
        <f t="shared" si="87"/>
        <v>Low</v>
      </c>
      <c r="AB484" t="str">
        <f t="shared" si="91"/>
        <v>Low Profit</v>
      </c>
      <c r="AC484" s="3">
        <f t="shared" si="92"/>
        <v>0.13349350313148609</v>
      </c>
      <c r="AD484" s="3">
        <f t="shared" si="93"/>
        <v>220.18299999999999</v>
      </c>
      <c r="AE484" s="3">
        <f t="shared" si="94"/>
        <v>29.393000000000001</v>
      </c>
      <c r="AF484" t="str">
        <f t="shared" si="95"/>
        <v>Regular</v>
      </c>
    </row>
    <row r="485" spans="1:32" x14ac:dyDescent="0.25">
      <c r="A485" t="s">
        <v>4916</v>
      </c>
      <c r="B485" s="1">
        <v>45164</v>
      </c>
      <c r="C485" s="1">
        <v>45169</v>
      </c>
      <c r="D485" s="4">
        <f t="shared" si="84"/>
        <v>5</v>
      </c>
      <c r="E485" s="4" t="str">
        <f>TEXT(Table1[[#This Row],[Order_Date]],"dddd")</f>
        <v>Saturday</v>
      </c>
      <c r="F485" s="4">
        <f t="shared" si="85"/>
        <v>8</v>
      </c>
      <c r="G485" t="str">
        <f t="shared" si="88"/>
        <v>August</v>
      </c>
      <c r="H485">
        <f t="shared" si="89"/>
        <v>2023</v>
      </c>
      <c r="I485" t="str">
        <f t="shared" si="90"/>
        <v>2023-Q3</v>
      </c>
      <c r="J485" t="s">
        <v>21</v>
      </c>
      <c r="K485" t="s">
        <v>4917</v>
      </c>
      <c r="L485" t="s">
        <v>3403</v>
      </c>
      <c r="M485" t="s">
        <v>36</v>
      </c>
      <c r="N485" t="s">
        <v>25</v>
      </c>
      <c r="O485" t="s">
        <v>156</v>
      </c>
      <c r="P485" t="s">
        <v>143</v>
      </c>
      <c r="Q485" t="s">
        <v>28</v>
      </c>
      <c r="R485" t="s">
        <v>4918</v>
      </c>
      <c r="S485" t="s">
        <v>59</v>
      </c>
      <c r="T485" t="s">
        <v>60</v>
      </c>
      <c r="U485" t="s">
        <v>4919</v>
      </c>
      <c r="V485" s="3">
        <v>4681.68</v>
      </c>
      <c r="W485" s="4">
        <v>6</v>
      </c>
      <c r="X485" s="2">
        <v>0</v>
      </c>
      <c r="Y485" s="3">
        <v>-471.79</v>
      </c>
      <c r="Z485" t="str">
        <f t="shared" si="86"/>
        <v>Normal</v>
      </c>
      <c r="AA485" t="str">
        <f t="shared" si="87"/>
        <v>Low</v>
      </c>
      <c r="AB485" t="str">
        <f t="shared" si="91"/>
        <v>Loss</v>
      </c>
      <c r="AC485" s="3">
        <f t="shared" si="92"/>
        <v>-0.10077365390201808</v>
      </c>
      <c r="AD485" s="3">
        <f t="shared" si="93"/>
        <v>780.28000000000009</v>
      </c>
      <c r="AE485" s="3">
        <f t="shared" si="94"/>
        <v>-78.631666666666675</v>
      </c>
      <c r="AF485" t="str">
        <f t="shared" si="95"/>
        <v>Regular</v>
      </c>
    </row>
    <row r="486" spans="1:32" x14ac:dyDescent="0.25">
      <c r="A486" t="s">
        <v>2187</v>
      </c>
      <c r="B486" s="1">
        <v>45164</v>
      </c>
      <c r="C486" s="1">
        <v>45172</v>
      </c>
      <c r="D486" s="4">
        <f t="shared" si="84"/>
        <v>8</v>
      </c>
      <c r="E486" s="4" t="str">
        <f>TEXT(Table1[[#This Row],[Order_Date]],"dddd")</f>
        <v>Saturday</v>
      </c>
      <c r="F486" s="4">
        <f t="shared" si="85"/>
        <v>8</v>
      </c>
      <c r="G486" t="str">
        <f t="shared" si="88"/>
        <v>August</v>
      </c>
      <c r="H486">
        <f t="shared" si="89"/>
        <v>2023</v>
      </c>
      <c r="I486" t="str">
        <f t="shared" si="90"/>
        <v>2023-Q3</v>
      </c>
      <c r="J486" t="s">
        <v>55</v>
      </c>
      <c r="K486" t="s">
        <v>2188</v>
      </c>
      <c r="L486" t="s">
        <v>2189</v>
      </c>
      <c r="M486" t="s">
        <v>24</v>
      </c>
      <c r="N486" t="s">
        <v>25</v>
      </c>
      <c r="O486" t="s">
        <v>80</v>
      </c>
      <c r="P486" t="s">
        <v>49</v>
      </c>
      <c r="Q486" t="s">
        <v>66</v>
      </c>
      <c r="R486" t="s">
        <v>2190</v>
      </c>
      <c r="S486" t="s">
        <v>51</v>
      </c>
      <c r="T486" t="s">
        <v>94</v>
      </c>
      <c r="U486" t="s">
        <v>2191</v>
      </c>
      <c r="V486" s="3">
        <v>2435.84</v>
      </c>
      <c r="W486" s="4">
        <v>7</v>
      </c>
      <c r="X486" s="2">
        <v>0.3</v>
      </c>
      <c r="Y486" s="3">
        <v>452.29</v>
      </c>
      <c r="Z486" t="str">
        <f t="shared" si="86"/>
        <v>Normal</v>
      </c>
      <c r="AA486" t="str">
        <f t="shared" si="87"/>
        <v>High</v>
      </c>
      <c r="AB486" t="str">
        <f t="shared" si="91"/>
        <v>Low Profit</v>
      </c>
      <c r="AC486" s="3">
        <f t="shared" si="92"/>
        <v>0.18568132553862324</v>
      </c>
      <c r="AD486" s="3">
        <f t="shared" si="93"/>
        <v>347.97714285714289</v>
      </c>
      <c r="AE486" s="3">
        <f t="shared" si="94"/>
        <v>64.612857142857152</v>
      </c>
      <c r="AF486" t="str">
        <f t="shared" si="95"/>
        <v>Regular</v>
      </c>
    </row>
    <row r="487" spans="1:32" x14ac:dyDescent="0.25">
      <c r="A487" t="s">
        <v>310</v>
      </c>
      <c r="B487" s="1">
        <v>45165</v>
      </c>
      <c r="C487" s="1">
        <v>45175</v>
      </c>
      <c r="D487" s="4">
        <f t="shared" si="84"/>
        <v>10</v>
      </c>
      <c r="E487" s="4" t="str">
        <f>TEXT(Table1[[#This Row],[Order_Date]],"dddd")</f>
        <v>Sunday</v>
      </c>
      <c r="F487" s="4">
        <f t="shared" si="85"/>
        <v>8</v>
      </c>
      <c r="G487" t="str">
        <f t="shared" si="88"/>
        <v>August</v>
      </c>
      <c r="H487">
        <f t="shared" si="89"/>
        <v>2023</v>
      </c>
      <c r="I487" t="str">
        <f t="shared" si="90"/>
        <v>2023-Q3</v>
      </c>
      <c r="J487" t="s">
        <v>21</v>
      </c>
      <c r="K487" t="s">
        <v>311</v>
      </c>
      <c r="L487" t="s">
        <v>312</v>
      </c>
      <c r="M487" t="s">
        <v>47</v>
      </c>
      <c r="N487" t="s">
        <v>25</v>
      </c>
      <c r="O487" t="s">
        <v>233</v>
      </c>
      <c r="P487" t="s">
        <v>163</v>
      </c>
      <c r="Q487" t="s">
        <v>28</v>
      </c>
      <c r="R487" t="s">
        <v>7403</v>
      </c>
      <c r="S487" t="s">
        <v>59</v>
      </c>
      <c r="T487" t="s">
        <v>303</v>
      </c>
      <c r="U487" t="s">
        <v>313</v>
      </c>
      <c r="V487" s="3">
        <v>3741.86</v>
      </c>
      <c r="W487" s="4">
        <v>9</v>
      </c>
      <c r="X487" s="2">
        <v>0.2</v>
      </c>
      <c r="Y487" s="3">
        <v>893.33</v>
      </c>
      <c r="Z487" t="str">
        <f t="shared" si="86"/>
        <v>Normal</v>
      </c>
      <c r="AA487" t="str">
        <f t="shared" si="87"/>
        <v>High</v>
      </c>
      <c r="AB487" t="str">
        <f t="shared" si="91"/>
        <v>High Profit</v>
      </c>
      <c r="AC487" s="3">
        <f t="shared" si="92"/>
        <v>0.23873955733244964</v>
      </c>
      <c r="AD487" s="3">
        <f t="shared" si="93"/>
        <v>415.76222222222225</v>
      </c>
      <c r="AE487" s="3">
        <f t="shared" si="94"/>
        <v>99.25888888888889</v>
      </c>
      <c r="AF487" t="str">
        <f t="shared" si="95"/>
        <v>Regular</v>
      </c>
    </row>
    <row r="488" spans="1:32" x14ac:dyDescent="0.25">
      <c r="A488" t="s">
        <v>4347</v>
      </c>
      <c r="B488" s="1">
        <v>45165</v>
      </c>
      <c r="C488" s="1">
        <v>45175</v>
      </c>
      <c r="D488" s="4">
        <f t="shared" si="84"/>
        <v>10</v>
      </c>
      <c r="E488" s="4" t="str">
        <f>TEXT(Table1[[#This Row],[Order_Date]],"dddd")</f>
        <v>Sunday</v>
      </c>
      <c r="F488" s="4">
        <f t="shared" si="85"/>
        <v>8</v>
      </c>
      <c r="G488" t="str">
        <f t="shared" si="88"/>
        <v>August</v>
      </c>
      <c r="H488">
        <f t="shared" si="89"/>
        <v>2023</v>
      </c>
      <c r="I488" t="str">
        <f t="shared" si="90"/>
        <v>2023-Q3</v>
      </c>
      <c r="J488" t="s">
        <v>44</v>
      </c>
      <c r="K488" t="s">
        <v>4348</v>
      </c>
      <c r="L488" t="s">
        <v>4349</v>
      </c>
      <c r="M488" t="s">
        <v>24</v>
      </c>
      <c r="N488" t="s">
        <v>25</v>
      </c>
      <c r="O488" t="s">
        <v>26</v>
      </c>
      <c r="P488" t="s">
        <v>27</v>
      </c>
      <c r="Q488" t="s">
        <v>39</v>
      </c>
      <c r="R488" t="s">
        <v>4350</v>
      </c>
      <c r="S488" t="s">
        <v>30</v>
      </c>
      <c r="T488" t="s">
        <v>31</v>
      </c>
      <c r="U488" t="s">
        <v>4351</v>
      </c>
      <c r="V488" s="3">
        <v>4189.13</v>
      </c>
      <c r="W488" s="4">
        <v>1</v>
      </c>
      <c r="X488" s="2">
        <v>0.3</v>
      </c>
      <c r="Y488" s="3">
        <v>1001.84</v>
      </c>
      <c r="Z488" t="str">
        <f t="shared" si="86"/>
        <v>Normal</v>
      </c>
      <c r="AA488" t="str">
        <f t="shared" si="87"/>
        <v>High</v>
      </c>
      <c r="AB488" t="str">
        <f t="shared" si="91"/>
        <v>High Profit</v>
      </c>
      <c r="AC488" s="3">
        <f t="shared" si="92"/>
        <v>0.23915228221611648</v>
      </c>
      <c r="AD488" s="3">
        <f t="shared" si="93"/>
        <v>4189.13</v>
      </c>
      <c r="AE488" s="3">
        <f t="shared" si="94"/>
        <v>1001.84</v>
      </c>
      <c r="AF488" t="str">
        <f t="shared" si="95"/>
        <v>Regular</v>
      </c>
    </row>
    <row r="489" spans="1:32" x14ac:dyDescent="0.25">
      <c r="A489" t="s">
        <v>1648</v>
      </c>
      <c r="B489" s="1">
        <v>45165</v>
      </c>
      <c r="C489" s="1">
        <v>45170</v>
      </c>
      <c r="D489" s="4">
        <f t="shared" si="84"/>
        <v>5</v>
      </c>
      <c r="E489" s="4" t="str">
        <f>TEXT(Table1[[#This Row],[Order_Date]],"dddd")</f>
        <v>Sunday</v>
      </c>
      <c r="F489" s="4">
        <f t="shared" si="85"/>
        <v>8</v>
      </c>
      <c r="G489" t="str">
        <f t="shared" si="88"/>
        <v>August</v>
      </c>
      <c r="H489">
        <f t="shared" si="89"/>
        <v>2023</v>
      </c>
      <c r="I489" t="str">
        <f t="shared" si="90"/>
        <v>2023-Q3</v>
      </c>
      <c r="J489" t="s">
        <v>104</v>
      </c>
      <c r="K489" t="s">
        <v>1649</v>
      </c>
      <c r="L489" t="s">
        <v>1650</v>
      </c>
      <c r="M489" t="s">
        <v>47</v>
      </c>
      <c r="N489" t="s">
        <v>25</v>
      </c>
      <c r="O489" t="s">
        <v>37</v>
      </c>
      <c r="P489" t="s">
        <v>38</v>
      </c>
      <c r="Q489" t="s">
        <v>87</v>
      </c>
      <c r="R489" t="s">
        <v>1651</v>
      </c>
      <c r="S489" t="s">
        <v>59</v>
      </c>
      <c r="T489" t="s">
        <v>60</v>
      </c>
      <c r="U489" t="s">
        <v>1652</v>
      </c>
      <c r="V489" s="3">
        <v>1864.7</v>
      </c>
      <c r="W489" s="4">
        <v>2</v>
      </c>
      <c r="X489" s="2">
        <v>0.4</v>
      </c>
      <c r="Y489" s="3">
        <v>-304.16000000000003</v>
      </c>
      <c r="Z489" t="str">
        <f t="shared" si="86"/>
        <v>Normal</v>
      </c>
      <c r="AA489" t="str">
        <f t="shared" si="87"/>
        <v>High</v>
      </c>
      <c r="AB489" t="str">
        <f t="shared" si="91"/>
        <v>Loss</v>
      </c>
      <c r="AC489" s="3">
        <f t="shared" si="92"/>
        <v>-0.16311471014104145</v>
      </c>
      <c r="AD489" s="3">
        <f t="shared" si="93"/>
        <v>932.35</v>
      </c>
      <c r="AE489" s="3">
        <f t="shared" si="94"/>
        <v>-152.08000000000001</v>
      </c>
      <c r="AF489" t="str">
        <f t="shared" si="95"/>
        <v>Regular</v>
      </c>
    </row>
    <row r="490" spans="1:32" x14ac:dyDescent="0.25">
      <c r="A490" t="s">
        <v>6017</v>
      </c>
      <c r="B490" s="1">
        <v>45165</v>
      </c>
      <c r="C490" s="1">
        <v>45168</v>
      </c>
      <c r="D490" s="4">
        <f t="shared" si="84"/>
        <v>3</v>
      </c>
      <c r="E490" s="4" t="str">
        <f>TEXT(Table1[[#This Row],[Order_Date]],"dddd")</f>
        <v>Sunday</v>
      </c>
      <c r="F490" s="4">
        <f t="shared" si="85"/>
        <v>8</v>
      </c>
      <c r="G490" t="str">
        <f t="shared" si="88"/>
        <v>August</v>
      </c>
      <c r="H490">
        <f t="shared" si="89"/>
        <v>2023</v>
      </c>
      <c r="I490" t="str">
        <f t="shared" si="90"/>
        <v>2023-Q3</v>
      </c>
      <c r="J490" t="s">
        <v>44</v>
      </c>
      <c r="K490" t="s">
        <v>6018</v>
      </c>
      <c r="L490" t="s">
        <v>6019</v>
      </c>
      <c r="M490" t="s">
        <v>24</v>
      </c>
      <c r="N490" t="s">
        <v>25</v>
      </c>
      <c r="O490" t="s">
        <v>611</v>
      </c>
      <c r="P490" t="s">
        <v>74</v>
      </c>
      <c r="Q490" t="s">
        <v>39</v>
      </c>
      <c r="R490" t="s">
        <v>6020</v>
      </c>
      <c r="S490" t="s">
        <v>51</v>
      </c>
      <c r="T490" t="s">
        <v>94</v>
      </c>
      <c r="U490" t="s">
        <v>6021</v>
      </c>
      <c r="V490" s="3">
        <v>867.54</v>
      </c>
      <c r="W490" s="4">
        <v>5</v>
      </c>
      <c r="X490" s="2">
        <v>0.2</v>
      </c>
      <c r="Y490" s="3">
        <v>-90.54</v>
      </c>
      <c r="Z490" t="str">
        <f t="shared" si="86"/>
        <v>Normal</v>
      </c>
      <c r="AA490" t="str">
        <f t="shared" si="87"/>
        <v>High</v>
      </c>
      <c r="AB490" t="str">
        <f t="shared" si="91"/>
        <v>Loss</v>
      </c>
      <c r="AC490" s="3">
        <f t="shared" si="92"/>
        <v>-0.10436406390483437</v>
      </c>
      <c r="AD490" s="3">
        <f t="shared" si="93"/>
        <v>173.50799999999998</v>
      </c>
      <c r="AE490" s="3">
        <f t="shared" si="94"/>
        <v>-18.108000000000001</v>
      </c>
      <c r="AF490" t="str">
        <f t="shared" si="95"/>
        <v>Regular</v>
      </c>
    </row>
    <row r="491" spans="1:32" x14ac:dyDescent="0.25">
      <c r="A491" t="s">
        <v>5449</v>
      </c>
      <c r="B491" s="1">
        <v>45166</v>
      </c>
      <c r="C491" s="1">
        <v>45174</v>
      </c>
      <c r="D491" s="4">
        <f t="shared" si="84"/>
        <v>8</v>
      </c>
      <c r="E491" s="4" t="str">
        <f>TEXT(Table1[[#This Row],[Order_Date]],"dddd")</f>
        <v>Monday</v>
      </c>
      <c r="F491" s="4">
        <f t="shared" si="85"/>
        <v>8</v>
      </c>
      <c r="G491" t="str">
        <f t="shared" si="88"/>
        <v>August</v>
      </c>
      <c r="H491">
        <f t="shared" si="89"/>
        <v>2023</v>
      </c>
      <c r="I491" t="str">
        <f t="shared" si="90"/>
        <v>2023-Q3</v>
      </c>
      <c r="J491" t="s">
        <v>21</v>
      </c>
      <c r="K491" t="s">
        <v>5450</v>
      </c>
      <c r="L491" t="s">
        <v>5451</v>
      </c>
      <c r="M491" t="s">
        <v>36</v>
      </c>
      <c r="N491" t="s">
        <v>25</v>
      </c>
      <c r="O491" t="s">
        <v>73</v>
      </c>
      <c r="P491" t="s">
        <v>74</v>
      </c>
      <c r="Q491" t="s">
        <v>39</v>
      </c>
      <c r="R491" t="s">
        <v>5452</v>
      </c>
      <c r="S491" t="s">
        <v>30</v>
      </c>
      <c r="T491" t="s">
        <v>68</v>
      </c>
      <c r="U491" t="s">
        <v>5453</v>
      </c>
      <c r="V491" s="3">
        <v>4906.8</v>
      </c>
      <c r="W491" s="4">
        <v>8</v>
      </c>
      <c r="X491" s="2">
        <v>0.3</v>
      </c>
      <c r="Y491" s="3">
        <v>-690.14</v>
      </c>
      <c r="Z491" t="str">
        <f t="shared" si="86"/>
        <v>Normal</v>
      </c>
      <c r="AA491" t="str">
        <f t="shared" si="87"/>
        <v>High</v>
      </c>
      <c r="AB491" t="str">
        <f t="shared" si="91"/>
        <v>Loss</v>
      </c>
      <c r="AC491" s="3">
        <f t="shared" si="92"/>
        <v>-0.14064971060569006</v>
      </c>
      <c r="AD491" s="3">
        <f t="shared" si="93"/>
        <v>613.35</v>
      </c>
      <c r="AE491" s="3">
        <f t="shared" si="94"/>
        <v>-86.267499999999998</v>
      </c>
      <c r="AF491" t="str">
        <f t="shared" si="95"/>
        <v>Regular</v>
      </c>
    </row>
    <row r="492" spans="1:32" x14ac:dyDescent="0.25">
      <c r="A492" t="s">
        <v>4868</v>
      </c>
      <c r="B492" s="1">
        <v>45166</v>
      </c>
      <c r="C492" s="1">
        <v>45175</v>
      </c>
      <c r="D492" s="4">
        <f t="shared" si="84"/>
        <v>9</v>
      </c>
      <c r="E492" s="4" t="str">
        <f>TEXT(Table1[[#This Row],[Order_Date]],"dddd")</f>
        <v>Monday</v>
      </c>
      <c r="F492" s="4">
        <f t="shared" si="85"/>
        <v>8</v>
      </c>
      <c r="G492" t="str">
        <f t="shared" si="88"/>
        <v>August</v>
      </c>
      <c r="H492">
        <f t="shared" si="89"/>
        <v>2023</v>
      </c>
      <c r="I492" t="str">
        <f t="shared" si="90"/>
        <v>2023-Q3</v>
      </c>
      <c r="J492" t="s">
        <v>104</v>
      </c>
      <c r="K492" t="s">
        <v>4869</v>
      </c>
      <c r="L492" t="s">
        <v>4870</v>
      </c>
      <c r="M492" t="s">
        <v>47</v>
      </c>
      <c r="N492" t="s">
        <v>25</v>
      </c>
      <c r="O492" t="s">
        <v>65</v>
      </c>
      <c r="P492" t="s">
        <v>27</v>
      </c>
      <c r="Q492" t="s">
        <v>66</v>
      </c>
      <c r="R492" t="s">
        <v>4871</v>
      </c>
      <c r="S492" t="s">
        <v>30</v>
      </c>
      <c r="T492" t="s">
        <v>68</v>
      </c>
      <c r="U492" t="s">
        <v>4872</v>
      </c>
      <c r="V492" s="3">
        <v>3834.6</v>
      </c>
      <c r="W492" s="4">
        <v>3</v>
      </c>
      <c r="X492" s="2">
        <v>0.3</v>
      </c>
      <c r="Y492" s="3">
        <v>-707.24</v>
      </c>
      <c r="Z492" t="str">
        <f t="shared" si="86"/>
        <v>Normal</v>
      </c>
      <c r="AA492" t="str">
        <f t="shared" si="87"/>
        <v>High</v>
      </c>
      <c r="AB492" t="str">
        <f t="shared" si="91"/>
        <v>Loss</v>
      </c>
      <c r="AC492" s="3">
        <f t="shared" si="92"/>
        <v>-0.18443644708704951</v>
      </c>
      <c r="AD492" s="3">
        <f t="shared" si="93"/>
        <v>1278.2</v>
      </c>
      <c r="AE492" s="3">
        <f t="shared" si="94"/>
        <v>-235.74666666666667</v>
      </c>
      <c r="AF492" t="str">
        <f t="shared" si="95"/>
        <v>Regular</v>
      </c>
    </row>
    <row r="493" spans="1:32" x14ac:dyDescent="0.25">
      <c r="A493" t="s">
        <v>4515</v>
      </c>
      <c r="B493" s="1">
        <v>45166</v>
      </c>
      <c r="C493" s="1">
        <v>45173</v>
      </c>
      <c r="D493" s="4">
        <f t="shared" si="84"/>
        <v>7</v>
      </c>
      <c r="E493" s="4" t="str">
        <f>TEXT(Table1[[#This Row],[Order_Date]],"dddd")</f>
        <v>Monday</v>
      </c>
      <c r="F493" s="4">
        <f t="shared" si="85"/>
        <v>8</v>
      </c>
      <c r="G493" t="str">
        <f t="shared" si="88"/>
        <v>August</v>
      </c>
      <c r="H493">
        <f t="shared" si="89"/>
        <v>2023</v>
      </c>
      <c r="I493" t="str">
        <f t="shared" si="90"/>
        <v>2023-Q3</v>
      </c>
      <c r="J493" t="s">
        <v>55</v>
      </c>
      <c r="K493" t="s">
        <v>4516</v>
      </c>
      <c r="L493" t="s">
        <v>4517</v>
      </c>
      <c r="M493" t="s">
        <v>36</v>
      </c>
      <c r="N493" t="s">
        <v>25</v>
      </c>
      <c r="O493" t="s">
        <v>119</v>
      </c>
      <c r="P493" t="s">
        <v>120</v>
      </c>
      <c r="Q493" t="s">
        <v>28</v>
      </c>
      <c r="R493" t="s">
        <v>4518</v>
      </c>
      <c r="S493" t="s">
        <v>59</v>
      </c>
      <c r="T493" t="s">
        <v>60</v>
      </c>
      <c r="U493" t="s">
        <v>4519</v>
      </c>
      <c r="V493" s="3">
        <v>4825.8</v>
      </c>
      <c r="W493" s="4">
        <v>9</v>
      </c>
      <c r="X493" s="2">
        <v>0.1</v>
      </c>
      <c r="Y493" s="3">
        <v>148.16</v>
      </c>
      <c r="Z493" t="str">
        <f t="shared" si="86"/>
        <v>Normal</v>
      </c>
      <c r="AA493" t="str">
        <f t="shared" si="87"/>
        <v>Medium</v>
      </c>
      <c r="AB493" t="str">
        <f t="shared" si="91"/>
        <v>Low Profit</v>
      </c>
      <c r="AC493" s="3">
        <f t="shared" si="92"/>
        <v>3.0701645323055242E-2</v>
      </c>
      <c r="AD493" s="3">
        <f t="shared" si="93"/>
        <v>536.20000000000005</v>
      </c>
      <c r="AE493" s="3">
        <f t="shared" si="94"/>
        <v>16.462222222222223</v>
      </c>
      <c r="AF493" t="str">
        <f t="shared" si="95"/>
        <v>Regular</v>
      </c>
    </row>
    <row r="494" spans="1:32" x14ac:dyDescent="0.25">
      <c r="A494" t="s">
        <v>6475</v>
      </c>
      <c r="B494" s="1">
        <v>45166</v>
      </c>
      <c r="C494" s="1">
        <v>45168</v>
      </c>
      <c r="D494" s="4">
        <f t="shared" si="84"/>
        <v>2</v>
      </c>
      <c r="E494" s="4" t="str">
        <f>TEXT(Table1[[#This Row],[Order_Date]],"dddd")</f>
        <v>Monday</v>
      </c>
      <c r="F494" s="4">
        <f t="shared" si="85"/>
        <v>8</v>
      </c>
      <c r="G494" t="str">
        <f t="shared" si="88"/>
        <v>August</v>
      </c>
      <c r="H494">
        <f t="shared" si="89"/>
        <v>2023</v>
      </c>
      <c r="I494" t="str">
        <f t="shared" si="90"/>
        <v>2023-Q3</v>
      </c>
      <c r="J494" t="s">
        <v>44</v>
      </c>
      <c r="K494" t="s">
        <v>6476</v>
      </c>
      <c r="L494" t="s">
        <v>6477</v>
      </c>
      <c r="M494" t="s">
        <v>47</v>
      </c>
      <c r="N494" t="s">
        <v>25</v>
      </c>
      <c r="O494" t="s">
        <v>99</v>
      </c>
      <c r="P494" t="s">
        <v>74</v>
      </c>
      <c r="Q494" t="s">
        <v>66</v>
      </c>
      <c r="R494" t="s">
        <v>6478</v>
      </c>
      <c r="S494" t="s">
        <v>30</v>
      </c>
      <c r="T494" t="s">
        <v>68</v>
      </c>
      <c r="U494" t="s">
        <v>6479</v>
      </c>
      <c r="V494" s="3">
        <v>4792.47</v>
      </c>
      <c r="W494" s="4">
        <v>8</v>
      </c>
      <c r="X494" s="2">
        <v>0.4</v>
      </c>
      <c r="Y494" s="3">
        <v>1243.29</v>
      </c>
      <c r="Z494" t="str">
        <f t="shared" si="86"/>
        <v>Outlier</v>
      </c>
      <c r="AA494" t="str">
        <f t="shared" si="87"/>
        <v>High</v>
      </c>
      <c r="AB494" t="str">
        <f t="shared" si="91"/>
        <v>High Profit</v>
      </c>
      <c r="AC494" s="3">
        <f t="shared" si="92"/>
        <v>0.25942572410468923</v>
      </c>
      <c r="AD494" s="3">
        <f t="shared" si="93"/>
        <v>599.05875000000003</v>
      </c>
      <c r="AE494" s="3">
        <f t="shared" si="94"/>
        <v>155.41125</v>
      </c>
      <c r="AF494" t="str">
        <f t="shared" si="95"/>
        <v>Regular</v>
      </c>
    </row>
    <row r="495" spans="1:32" x14ac:dyDescent="0.25">
      <c r="A495" t="s">
        <v>3786</v>
      </c>
      <c r="B495" s="1">
        <v>45168</v>
      </c>
      <c r="C495" s="1">
        <v>45175</v>
      </c>
      <c r="D495" s="4">
        <f t="shared" si="84"/>
        <v>7</v>
      </c>
      <c r="E495" s="4" t="str">
        <f>TEXT(Table1[[#This Row],[Order_Date]],"dddd")</f>
        <v>Wednesday</v>
      </c>
      <c r="F495" s="4">
        <f t="shared" si="85"/>
        <v>8</v>
      </c>
      <c r="G495" t="str">
        <f t="shared" si="88"/>
        <v>August</v>
      </c>
      <c r="H495">
        <f t="shared" si="89"/>
        <v>2023</v>
      </c>
      <c r="I495" t="str">
        <f t="shared" si="90"/>
        <v>2023-Q3</v>
      </c>
      <c r="J495" t="s">
        <v>44</v>
      </c>
      <c r="K495" t="s">
        <v>3787</v>
      </c>
      <c r="L495" t="s">
        <v>3788</v>
      </c>
      <c r="M495" t="s">
        <v>24</v>
      </c>
      <c r="N495" t="s">
        <v>25</v>
      </c>
      <c r="O495" t="s">
        <v>142</v>
      </c>
      <c r="P495" t="s">
        <v>143</v>
      </c>
      <c r="Q495" t="s">
        <v>66</v>
      </c>
      <c r="R495" t="s">
        <v>3789</v>
      </c>
      <c r="S495" t="s">
        <v>51</v>
      </c>
      <c r="T495" t="s">
        <v>127</v>
      </c>
      <c r="U495" t="s">
        <v>3790</v>
      </c>
      <c r="V495" s="3">
        <v>1053.49</v>
      </c>
      <c r="W495" s="4">
        <v>5</v>
      </c>
      <c r="X495" s="2">
        <v>0.1</v>
      </c>
      <c r="Y495" s="3">
        <v>17.350000000000001</v>
      </c>
      <c r="Z495" t="str">
        <f t="shared" si="86"/>
        <v>Normal</v>
      </c>
      <c r="AA495" t="str">
        <f t="shared" si="87"/>
        <v>Medium</v>
      </c>
      <c r="AB495" t="str">
        <f t="shared" si="91"/>
        <v>Low Profit</v>
      </c>
      <c r="AC495" s="3">
        <f t="shared" si="92"/>
        <v>1.6469069473844081E-2</v>
      </c>
      <c r="AD495" s="3">
        <f t="shared" si="93"/>
        <v>210.69800000000001</v>
      </c>
      <c r="AE495" s="3">
        <f t="shared" si="94"/>
        <v>3.47</v>
      </c>
      <c r="AF495" t="str">
        <f t="shared" si="95"/>
        <v>Regular</v>
      </c>
    </row>
    <row r="496" spans="1:32" x14ac:dyDescent="0.25">
      <c r="A496" t="s">
        <v>7131</v>
      </c>
      <c r="B496" s="1">
        <v>45168</v>
      </c>
      <c r="C496" s="1">
        <f>B496+5</f>
        <v>45173</v>
      </c>
      <c r="D496" s="4">
        <f t="shared" si="84"/>
        <v>5</v>
      </c>
      <c r="E496" s="4" t="str">
        <f>TEXT(Table1[[#This Row],[Order_Date]],"dddd")</f>
        <v>Wednesday</v>
      </c>
      <c r="F496" s="4">
        <f t="shared" si="85"/>
        <v>8</v>
      </c>
      <c r="G496" t="str">
        <f t="shared" si="88"/>
        <v>August</v>
      </c>
      <c r="H496">
        <f t="shared" si="89"/>
        <v>2023</v>
      </c>
      <c r="I496" t="str">
        <f t="shared" si="90"/>
        <v>2023-Q3</v>
      </c>
      <c r="J496" t="s">
        <v>55</v>
      </c>
      <c r="K496" t="s">
        <v>7132</v>
      </c>
      <c r="L496" t="s">
        <v>7133</v>
      </c>
      <c r="M496" t="s">
        <v>24</v>
      </c>
      <c r="N496" t="s">
        <v>25</v>
      </c>
      <c r="O496" t="s">
        <v>80</v>
      </c>
      <c r="P496" t="s">
        <v>49</v>
      </c>
      <c r="Q496" t="s">
        <v>28</v>
      </c>
      <c r="R496" t="s">
        <v>7134</v>
      </c>
      <c r="S496" t="s">
        <v>59</v>
      </c>
      <c r="T496" t="s">
        <v>303</v>
      </c>
      <c r="U496" t="s">
        <v>7135</v>
      </c>
      <c r="V496" s="3">
        <v>856.1</v>
      </c>
      <c r="W496" s="4">
        <v>2</v>
      </c>
      <c r="X496" s="2">
        <v>0.4</v>
      </c>
      <c r="Y496" s="3">
        <v>56.63</v>
      </c>
      <c r="Z496" t="str">
        <f t="shared" si="86"/>
        <v>Normal</v>
      </c>
      <c r="AA496" t="str">
        <f t="shared" si="87"/>
        <v>High</v>
      </c>
      <c r="AB496" t="str">
        <f t="shared" si="91"/>
        <v>Low Profit</v>
      </c>
      <c r="AC496" s="3">
        <f t="shared" si="92"/>
        <v>6.6148814390842192E-2</v>
      </c>
      <c r="AD496" s="3">
        <f t="shared" si="93"/>
        <v>428.05</v>
      </c>
      <c r="AE496" s="3">
        <f t="shared" si="94"/>
        <v>28.315000000000001</v>
      </c>
      <c r="AF496" t="str">
        <f t="shared" si="95"/>
        <v>Regular</v>
      </c>
    </row>
    <row r="497" spans="1:32" x14ac:dyDescent="0.25">
      <c r="A497" t="s">
        <v>5811</v>
      </c>
      <c r="B497" s="1">
        <v>45169</v>
      </c>
      <c r="C497" s="1">
        <v>45170</v>
      </c>
      <c r="D497" s="4">
        <f t="shared" si="84"/>
        <v>1</v>
      </c>
      <c r="E497" s="4" t="str">
        <f>TEXT(Table1[[#This Row],[Order_Date]],"dddd")</f>
        <v>Thursday</v>
      </c>
      <c r="F497" s="4">
        <f t="shared" si="85"/>
        <v>8</v>
      </c>
      <c r="G497" t="str">
        <f t="shared" si="88"/>
        <v>August</v>
      </c>
      <c r="H497">
        <f t="shared" si="89"/>
        <v>2023</v>
      </c>
      <c r="I497" t="str">
        <f t="shared" si="90"/>
        <v>2023-Q3</v>
      </c>
      <c r="J497" t="s">
        <v>104</v>
      </c>
      <c r="K497" t="s">
        <v>5812</v>
      </c>
      <c r="L497" t="s">
        <v>5813</v>
      </c>
      <c r="M497" t="s">
        <v>24</v>
      </c>
      <c r="N497" t="s">
        <v>25</v>
      </c>
      <c r="O497" t="s">
        <v>190</v>
      </c>
      <c r="P497" t="s">
        <v>120</v>
      </c>
      <c r="Q497" t="s">
        <v>66</v>
      </c>
      <c r="R497" t="s">
        <v>5814</v>
      </c>
      <c r="S497" t="s">
        <v>59</v>
      </c>
      <c r="T497" t="s">
        <v>277</v>
      </c>
      <c r="U497" t="s">
        <v>5815</v>
      </c>
      <c r="V497" s="3">
        <v>488.93</v>
      </c>
      <c r="W497" s="4">
        <v>5</v>
      </c>
      <c r="X497" s="2">
        <v>0.4</v>
      </c>
      <c r="Y497" s="3">
        <v>93.08</v>
      </c>
      <c r="Z497" t="str">
        <f t="shared" si="86"/>
        <v>Normal</v>
      </c>
      <c r="AA497" t="str">
        <f t="shared" si="87"/>
        <v>High</v>
      </c>
      <c r="AB497" t="str">
        <f t="shared" si="91"/>
        <v>Low Profit</v>
      </c>
      <c r="AC497" s="3">
        <f t="shared" si="92"/>
        <v>0.19037490029247539</v>
      </c>
      <c r="AD497" s="3">
        <f t="shared" si="93"/>
        <v>97.786000000000001</v>
      </c>
      <c r="AE497" s="3">
        <f t="shared" si="94"/>
        <v>18.616</v>
      </c>
      <c r="AF497" t="str">
        <f t="shared" si="95"/>
        <v>Regular</v>
      </c>
    </row>
    <row r="498" spans="1:32" x14ac:dyDescent="0.25">
      <c r="A498" t="s">
        <v>6416</v>
      </c>
      <c r="B498" s="1">
        <v>45169</v>
      </c>
      <c r="C498" s="1">
        <v>45179</v>
      </c>
      <c r="D498" s="4">
        <f t="shared" si="84"/>
        <v>10</v>
      </c>
      <c r="E498" s="4" t="str">
        <f>TEXT(Table1[[#This Row],[Order_Date]],"dddd")</f>
        <v>Thursday</v>
      </c>
      <c r="F498" s="4">
        <f t="shared" si="85"/>
        <v>8</v>
      </c>
      <c r="G498" t="str">
        <f t="shared" si="88"/>
        <v>August</v>
      </c>
      <c r="H498">
        <f t="shared" si="89"/>
        <v>2023</v>
      </c>
      <c r="I498" t="str">
        <f t="shared" si="90"/>
        <v>2023-Q3</v>
      </c>
      <c r="J498" t="s">
        <v>44</v>
      </c>
      <c r="K498" t="s">
        <v>6417</v>
      </c>
      <c r="L498" t="s">
        <v>6418</v>
      </c>
      <c r="M498" t="s">
        <v>47</v>
      </c>
      <c r="N498" t="s">
        <v>25</v>
      </c>
      <c r="O498" t="s">
        <v>227</v>
      </c>
      <c r="P498" t="s">
        <v>49</v>
      </c>
      <c r="Q498" t="s">
        <v>66</v>
      </c>
      <c r="R498" t="s">
        <v>6419</v>
      </c>
      <c r="S498" t="s">
        <v>51</v>
      </c>
      <c r="T498" t="s">
        <v>94</v>
      </c>
      <c r="U498" t="s">
        <v>6420</v>
      </c>
      <c r="V498" s="3">
        <v>4970.1000000000004</v>
      </c>
      <c r="W498" s="4">
        <v>2</v>
      </c>
      <c r="X498" s="2">
        <v>0.1</v>
      </c>
      <c r="Y498" s="3">
        <v>1254.6600000000001</v>
      </c>
      <c r="Z498" t="str">
        <f t="shared" si="86"/>
        <v>Outlier</v>
      </c>
      <c r="AA498" t="str">
        <f t="shared" si="87"/>
        <v>Medium</v>
      </c>
      <c r="AB498" t="str">
        <f t="shared" si="91"/>
        <v>High Profit</v>
      </c>
      <c r="AC498" s="3">
        <f t="shared" si="92"/>
        <v>0.25244160077262029</v>
      </c>
      <c r="AD498" s="3">
        <f t="shared" si="93"/>
        <v>2485.0500000000002</v>
      </c>
      <c r="AE498" s="3">
        <f t="shared" si="94"/>
        <v>627.33000000000004</v>
      </c>
      <c r="AF498" t="str">
        <f t="shared" si="95"/>
        <v>Regular</v>
      </c>
    </row>
    <row r="499" spans="1:32" x14ac:dyDescent="0.25">
      <c r="A499" t="s">
        <v>4022</v>
      </c>
      <c r="B499" s="1">
        <v>45170</v>
      </c>
      <c r="C499" s="1">
        <v>45172</v>
      </c>
      <c r="D499" s="4">
        <f t="shared" si="84"/>
        <v>2</v>
      </c>
      <c r="E499" s="4" t="str">
        <f>TEXT(Table1[[#This Row],[Order_Date]],"dddd")</f>
        <v>Friday</v>
      </c>
      <c r="F499" s="4">
        <f t="shared" si="85"/>
        <v>9</v>
      </c>
      <c r="G499" t="str">
        <f t="shared" si="88"/>
        <v>September</v>
      </c>
      <c r="H499">
        <f t="shared" si="89"/>
        <v>2023</v>
      </c>
      <c r="I499" t="str">
        <f t="shared" si="90"/>
        <v>2023-Q3</v>
      </c>
      <c r="J499" t="s">
        <v>55</v>
      </c>
      <c r="K499" t="s">
        <v>4023</v>
      </c>
      <c r="L499" t="s">
        <v>4024</v>
      </c>
      <c r="M499" t="s">
        <v>24</v>
      </c>
      <c r="N499" t="s">
        <v>25</v>
      </c>
      <c r="O499" t="s">
        <v>255</v>
      </c>
      <c r="P499" t="s">
        <v>143</v>
      </c>
      <c r="Q499" t="s">
        <v>66</v>
      </c>
      <c r="R499" t="s">
        <v>4025</v>
      </c>
      <c r="S499" t="s">
        <v>30</v>
      </c>
      <c r="T499" t="s">
        <v>31</v>
      </c>
      <c r="U499" t="s">
        <v>4026</v>
      </c>
      <c r="V499" s="3">
        <v>2228.5300000000002</v>
      </c>
      <c r="W499" s="4">
        <v>7</v>
      </c>
      <c r="X499" s="2">
        <v>0</v>
      </c>
      <c r="Y499" s="3">
        <v>67.569999999999993</v>
      </c>
      <c r="Z499" t="str">
        <f t="shared" si="86"/>
        <v>Normal</v>
      </c>
      <c r="AA499" t="str">
        <f t="shared" si="87"/>
        <v>Low</v>
      </c>
      <c r="AB499" t="str">
        <f t="shared" si="91"/>
        <v>Low Profit</v>
      </c>
      <c r="AC499" s="3">
        <f t="shared" si="92"/>
        <v>3.0320435443992221E-2</v>
      </c>
      <c r="AD499" s="3">
        <f t="shared" si="93"/>
        <v>318.36142857142858</v>
      </c>
      <c r="AE499" s="3">
        <f t="shared" si="94"/>
        <v>9.6528571428571421</v>
      </c>
      <c r="AF499" t="str">
        <f t="shared" si="95"/>
        <v>Regular</v>
      </c>
    </row>
    <row r="500" spans="1:32" x14ac:dyDescent="0.25">
      <c r="A500" t="s">
        <v>379</v>
      </c>
      <c r="B500" s="1">
        <v>45170</v>
      </c>
      <c r="C500" s="1">
        <v>45176</v>
      </c>
      <c r="D500" s="4">
        <f t="shared" si="84"/>
        <v>6</v>
      </c>
      <c r="E500" s="4" t="str">
        <f>TEXT(Table1[[#This Row],[Order_Date]],"dddd")</f>
        <v>Friday</v>
      </c>
      <c r="F500" s="4">
        <f t="shared" si="85"/>
        <v>9</v>
      </c>
      <c r="G500" t="str">
        <f t="shared" si="88"/>
        <v>September</v>
      </c>
      <c r="H500">
        <f t="shared" si="89"/>
        <v>2023</v>
      </c>
      <c r="I500" t="str">
        <f t="shared" si="90"/>
        <v>2023-Q3</v>
      </c>
      <c r="J500" t="s">
        <v>55</v>
      </c>
      <c r="K500" t="s">
        <v>380</v>
      </c>
      <c r="L500" t="s">
        <v>381</v>
      </c>
      <c r="M500" t="s">
        <v>36</v>
      </c>
      <c r="N500" t="s">
        <v>25</v>
      </c>
      <c r="O500" t="s">
        <v>382</v>
      </c>
      <c r="P500" t="s">
        <v>38</v>
      </c>
      <c r="Q500" t="s">
        <v>87</v>
      </c>
      <c r="R500" t="s">
        <v>383</v>
      </c>
      <c r="S500" t="s">
        <v>30</v>
      </c>
      <c r="T500" t="s">
        <v>68</v>
      </c>
      <c r="U500" t="s">
        <v>384</v>
      </c>
      <c r="V500" s="3">
        <v>4696.4799999999996</v>
      </c>
      <c r="W500" s="4">
        <v>1</v>
      </c>
      <c r="X500" s="2">
        <v>0.1</v>
      </c>
      <c r="Y500" s="3">
        <v>848.82</v>
      </c>
      <c r="Z500" t="str">
        <f t="shared" si="86"/>
        <v>Normal</v>
      </c>
      <c r="AA500" t="str">
        <f t="shared" si="87"/>
        <v>Medium</v>
      </c>
      <c r="AB500" t="str">
        <f t="shared" si="91"/>
        <v>High Profit</v>
      </c>
      <c r="AC500" s="3">
        <f t="shared" si="92"/>
        <v>0.18073535924777709</v>
      </c>
      <c r="AD500" s="3">
        <f t="shared" si="93"/>
        <v>4696.4799999999996</v>
      </c>
      <c r="AE500" s="3">
        <f t="shared" si="94"/>
        <v>848.82</v>
      </c>
      <c r="AF500" t="str">
        <f t="shared" si="95"/>
        <v>Regular</v>
      </c>
    </row>
    <row r="501" spans="1:32" x14ac:dyDescent="0.25">
      <c r="A501" t="s">
        <v>3605</v>
      </c>
      <c r="B501" s="1">
        <v>45171</v>
      </c>
      <c r="C501" s="1">
        <v>45177</v>
      </c>
      <c r="D501" s="4">
        <f t="shared" si="84"/>
        <v>6</v>
      </c>
      <c r="E501" s="4" t="str">
        <f>TEXT(Table1[[#This Row],[Order_Date]],"dddd")</f>
        <v>Saturday</v>
      </c>
      <c r="F501" s="4">
        <f t="shared" si="85"/>
        <v>9</v>
      </c>
      <c r="G501" t="str">
        <f t="shared" si="88"/>
        <v>September</v>
      </c>
      <c r="H501">
        <f t="shared" si="89"/>
        <v>2023</v>
      </c>
      <c r="I501" t="str">
        <f t="shared" si="90"/>
        <v>2023-Q3</v>
      </c>
      <c r="J501" t="s">
        <v>21</v>
      </c>
      <c r="K501" t="s">
        <v>3606</v>
      </c>
      <c r="L501" t="s">
        <v>3607</v>
      </c>
      <c r="M501" t="s">
        <v>36</v>
      </c>
      <c r="N501" t="s">
        <v>25</v>
      </c>
      <c r="O501" t="s">
        <v>179</v>
      </c>
      <c r="P501" t="s">
        <v>27</v>
      </c>
      <c r="Q501" t="s">
        <v>39</v>
      </c>
      <c r="R501" t="s">
        <v>3608</v>
      </c>
      <c r="S501" t="s">
        <v>30</v>
      </c>
      <c r="T501" t="s">
        <v>31</v>
      </c>
      <c r="U501" t="s">
        <v>3609</v>
      </c>
      <c r="V501" s="3">
        <v>2566.0100000000002</v>
      </c>
      <c r="W501" s="4">
        <v>2</v>
      </c>
      <c r="X501" s="2">
        <v>0.3</v>
      </c>
      <c r="Y501" s="3">
        <v>-444.7</v>
      </c>
      <c r="Z501" t="str">
        <f t="shared" si="86"/>
        <v>Normal</v>
      </c>
      <c r="AA501" t="str">
        <f t="shared" si="87"/>
        <v>High</v>
      </c>
      <c r="AB501" t="str">
        <f t="shared" si="91"/>
        <v>Loss</v>
      </c>
      <c r="AC501" s="3">
        <f t="shared" si="92"/>
        <v>-0.17330407909556078</v>
      </c>
      <c r="AD501" s="3">
        <f t="shared" si="93"/>
        <v>1283.0050000000001</v>
      </c>
      <c r="AE501" s="3">
        <f t="shared" si="94"/>
        <v>-222.35</v>
      </c>
      <c r="AF501" t="str">
        <f t="shared" si="95"/>
        <v>Regular</v>
      </c>
    </row>
    <row r="502" spans="1:32" x14ac:dyDescent="0.25">
      <c r="A502" t="s">
        <v>2315</v>
      </c>
      <c r="B502" s="1">
        <v>45171</v>
      </c>
      <c r="C502" s="1">
        <v>45179</v>
      </c>
      <c r="D502" s="4">
        <f t="shared" si="84"/>
        <v>8</v>
      </c>
      <c r="E502" s="4" t="str">
        <f>TEXT(Table1[[#This Row],[Order_Date]],"dddd")</f>
        <v>Saturday</v>
      </c>
      <c r="F502" s="4">
        <f t="shared" si="85"/>
        <v>9</v>
      </c>
      <c r="G502" t="str">
        <f t="shared" si="88"/>
        <v>September</v>
      </c>
      <c r="H502">
        <f t="shared" si="89"/>
        <v>2023</v>
      </c>
      <c r="I502" t="str">
        <f t="shared" si="90"/>
        <v>2023-Q3</v>
      </c>
      <c r="J502" t="s">
        <v>21</v>
      </c>
      <c r="K502" t="s">
        <v>2316</v>
      </c>
      <c r="L502" t="s">
        <v>2317</v>
      </c>
      <c r="M502" t="s">
        <v>36</v>
      </c>
      <c r="N502" t="s">
        <v>25</v>
      </c>
      <c r="O502" t="s">
        <v>37</v>
      </c>
      <c r="P502" t="s">
        <v>38</v>
      </c>
      <c r="Q502" t="s">
        <v>66</v>
      </c>
      <c r="R502" t="s">
        <v>2318</v>
      </c>
      <c r="S502" t="s">
        <v>51</v>
      </c>
      <c r="T502" t="s">
        <v>94</v>
      </c>
      <c r="U502" t="s">
        <v>2319</v>
      </c>
      <c r="V502" s="3">
        <v>1635.17</v>
      </c>
      <c r="W502" s="4">
        <v>9</v>
      </c>
      <c r="X502" s="2">
        <v>0.1</v>
      </c>
      <c r="Y502" s="3">
        <v>324.97000000000003</v>
      </c>
      <c r="Z502" t="str">
        <f t="shared" si="86"/>
        <v>Normal</v>
      </c>
      <c r="AA502" t="str">
        <f t="shared" si="87"/>
        <v>Medium</v>
      </c>
      <c r="AB502" t="str">
        <f t="shared" si="91"/>
        <v>Low Profit</v>
      </c>
      <c r="AC502" s="3">
        <f t="shared" si="92"/>
        <v>0.19873774592244231</v>
      </c>
      <c r="AD502" s="3">
        <f t="shared" si="93"/>
        <v>181.68555555555557</v>
      </c>
      <c r="AE502" s="3">
        <f t="shared" si="94"/>
        <v>36.107777777777784</v>
      </c>
      <c r="AF502" t="str">
        <f t="shared" si="95"/>
        <v>Regular</v>
      </c>
    </row>
    <row r="503" spans="1:32" x14ac:dyDescent="0.25">
      <c r="A503" t="s">
        <v>324</v>
      </c>
      <c r="B503" s="1">
        <v>45172</v>
      </c>
      <c r="C503" s="1">
        <v>45175</v>
      </c>
      <c r="D503" s="4">
        <f t="shared" si="84"/>
        <v>3</v>
      </c>
      <c r="E503" s="4" t="str">
        <f>TEXT(Table1[[#This Row],[Order_Date]],"dddd")</f>
        <v>Sunday</v>
      </c>
      <c r="F503" s="4">
        <f t="shared" si="85"/>
        <v>9</v>
      </c>
      <c r="G503" t="str">
        <f t="shared" si="88"/>
        <v>September</v>
      </c>
      <c r="H503">
        <f t="shared" si="89"/>
        <v>2023</v>
      </c>
      <c r="I503" t="str">
        <f t="shared" si="90"/>
        <v>2023-Q3</v>
      </c>
      <c r="J503" t="s">
        <v>44</v>
      </c>
      <c r="K503" t="s">
        <v>325</v>
      </c>
      <c r="L503" t="s">
        <v>326</v>
      </c>
      <c r="M503" t="s">
        <v>24</v>
      </c>
      <c r="N503" t="s">
        <v>25</v>
      </c>
      <c r="O503" t="s">
        <v>156</v>
      </c>
      <c r="P503" t="s">
        <v>143</v>
      </c>
      <c r="Q503" t="s">
        <v>28</v>
      </c>
      <c r="R503" t="s">
        <v>327</v>
      </c>
      <c r="S503" t="s">
        <v>51</v>
      </c>
      <c r="T503" t="s">
        <v>151</v>
      </c>
      <c r="U503" t="s">
        <v>328</v>
      </c>
      <c r="V503" s="3">
        <v>2924.09</v>
      </c>
      <c r="W503" s="4">
        <v>5</v>
      </c>
      <c r="X503" s="2">
        <v>0</v>
      </c>
      <c r="Y503" s="3">
        <v>-101.52</v>
      </c>
      <c r="Z503" t="str">
        <f t="shared" si="86"/>
        <v>Normal</v>
      </c>
      <c r="AA503" t="str">
        <f t="shared" si="87"/>
        <v>Low</v>
      </c>
      <c r="AB503" t="str">
        <f t="shared" si="91"/>
        <v>Loss</v>
      </c>
      <c r="AC503" s="3">
        <f t="shared" si="92"/>
        <v>-3.4718493616817538E-2</v>
      </c>
      <c r="AD503" s="3">
        <f t="shared" si="93"/>
        <v>584.81799999999998</v>
      </c>
      <c r="AE503" s="3">
        <f t="shared" si="94"/>
        <v>-20.303999999999998</v>
      </c>
      <c r="AF503" t="str">
        <f t="shared" si="95"/>
        <v>Regular</v>
      </c>
    </row>
    <row r="504" spans="1:32" x14ac:dyDescent="0.25">
      <c r="A504" t="s">
        <v>6960</v>
      </c>
      <c r="B504" s="1">
        <v>45172</v>
      </c>
      <c r="C504" s="1">
        <v>45181</v>
      </c>
      <c r="D504" s="4">
        <f t="shared" si="84"/>
        <v>9</v>
      </c>
      <c r="E504" s="4" t="str">
        <f>TEXT(Table1[[#This Row],[Order_Date]],"dddd")</f>
        <v>Sunday</v>
      </c>
      <c r="F504" s="4">
        <f t="shared" si="85"/>
        <v>9</v>
      </c>
      <c r="G504" t="str">
        <f t="shared" si="88"/>
        <v>September</v>
      </c>
      <c r="H504">
        <f t="shared" si="89"/>
        <v>2023</v>
      </c>
      <c r="I504" t="str">
        <f t="shared" si="90"/>
        <v>2023-Q3</v>
      </c>
      <c r="J504" t="s">
        <v>104</v>
      </c>
      <c r="K504" t="s">
        <v>6961</v>
      </c>
      <c r="L504" t="s">
        <v>6962</v>
      </c>
      <c r="M504" t="s">
        <v>47</v>
      </c>
      <c r="N504" t="s">
        <v>25</v>
      </c>
      <c r="O504" t="s">
        <v>99</v>
      </c>
      <c r="P504" t="s">
        <v>74</v>
      </c>
      <c r="Q504" t="s">
        <v>66</v>
      </c>
      <c r="R504" t="s">
        <v>6963</v>
      </c>
      <c r="S504" t="s">
        <v>30</v>
      </c>
      <c r="T504" t="s">
        <v>41</v>
      </c>
      <c r="U504" t="s">
        <v>6964</v>
      </c>
      <c r="V504" s="3">
        <v>4365.8599999999997</v>
      </c>
      <c r="W504" s="4">
        <v>4</v>
      </c>
      <c r="X504" s="2">
        <v>0.3</v>
      </c>
      <c r="Y504" s="3">
        <v>343.44</v>
      </c>
      <c r="Z504" t="str">
        <f t="shared" si="86"/>
        <v>Normal</v>
      </c>
      <c r="AA504" t="str">
        <f t="shared" si="87"/>
        <v>High</v>
      </c>
      <c r="AB504" t="str">
        <f t="shared" si="91"/>
        <v>Low Profit</v>
      </c>
      <c r="AC504" s="3">
        <f t="shared" si="92"/>
        <v>7.8664913671075115E-2</v>
      </c>
      <c r="AD504" s="3">
        <f t="shared" si="93"/>
        <v>1091.4649999999999</v>
      </c>
      <c r="AE504" s="3">
        <f t="shared" si="94"/>
        <v>85.86</v>
      </c>
      <c r="AF504" t="str">
        <f t="shared" si="95"/>
        <v>Regular</v>
      </c>
    </row>
    <row r="505" spans="1:32" x14ac:dyDescent="0.25">
      <c r="A505" t="s">
        <v>4662</v>
      </c>
      <c r="B505" s="1">
        <v>45172</v>
      </c>
      <c r="C505" s="1">
        <v>45177</v>
      </c>
      <c r="D505" s="4">
        <f t="shared" si="84"/>
        <v>5</v>
      </c>
      <c r="E505" s="4" t="str">
        <f>TEXT(Table1[[#This Row],[Order_Date]],"dddd")</f>
        <v>Sunday</v>
      </c>
      <c r="F505" s="4">
        <f t="shared" si="85"/>
        <v>9</v>
      </c>
      <c r="G505" t="str">
        <f t="shared" si="88"/>
        <v>September</v>
      </c>
      <c r="H505">
        <f t="shared" si="89"/>
        <v>2023</v>
      </c>
      <c r="I505" t="str">
        <f t="shared" si="90"/>
        <v>2023-Q3</v>
      </c>
      <c r="J505" t="s">
        <v>44</v>
      </c>
      <c r="K505" t="s">
        <v>4663</v>
      </c>
      <c r="L505" t="s">
        <v>4664</v>
      </c>
      <c r="M505" t="s">
        <v>36</v>
      </c>
      <c r="N505" t="s">
        <v>25</v>
      </c>
      <c r="O505" t="s">
        <v>227</v>
      </c>
      <c r="P505" t="s">
        <v>49</v>
      </c>
      <c r="Q505" t="s">
        <v>66</v>
      </c>
      <c r="R505" t="s">
        <v>4665</v>
      </c>
      <c r="S505" t="s">
        <v>30</v>
      </c>
      <c r="T505" t="s">
        <v>41</v>
      </c>
      <c r="U505" t="s">
        <v>3537</v>
      </c>
      <c r="V505" s="3">
        <v>3297.82</v>
      </c>
      <c r="W505" s="4">
        <v>4</v>
      </c>
      <c r="X505" s="2">
        <v>0</v>
      </c>
      <c r="Y505" s="3">
        <v>80.09</v>
      </c>
      <c r="Z505" t="str">
        <f t="shared" si="86"/>
        <v>Normal</v>
      </c>
      <c r="AA505" t="str">
        <f t="shared" si="87"/>
        <v>Low</v>
      </c>
      <c r="AB505" t="str">
        <f t="shared" si="91"/>
        <v>Low Profit</v>
      </c>
      <c r="AC505" s="3">
        <f t="shared" si="92"/>
        <v>2.42857402769102E-2</v>
      </c>
      <c r="AD505" s="3">
        <f t="shared" si="93"/>
        <v>824.45500000000004</v>
      </c>
      <c r="AE505" s="3">
        <f t="shared" si="94"/>
        <v>20.022500000000001</v>
      </c>
      <c r="AF505" t="str">
        <f t="shared" si="95"/>
        <v>Regular</v>
      </c>
    </row>
    <row r="506" spans="1:32" x14ac:dyDescent="0.25">
      <c r="A506" t="s">
        <v>5394</v>
      </c>
      <c r="B506" s="1">
        <v>45172</v>
      </c>
      <c r="C506" s="1">
        <v>45179</v>
      </c>
      <c r="D506" s="4">
        <f t="shared" si="84"/>
        <v>7</v>
      </c>
      <c r="E506" s="4" t="str">
        <f>TEXT(Table1[[#This Row],[Order_Date]],"dddd")</f>
        <v>Sunday</v>
      </c>
      <c r="F506" s="4">
        <f t="shared" si="85"/>
        <v>9</v>
      </c>
      <c r="G506" t="str">
        <f t="shared" si="88"/>
        <v>September</v>
      </c>
      <c r="H506">
        <f t="shared" si="89"/>
        <v>2023</v>
      </c>
      <c r="I506" t="str">
        <f t="shared" si="90"/>
        <v>2023-Q3</v>
      </c>
      <c r="J506" t="s">
        <v>44</v>
      </c>
      <c r="K506" t="s">
        <v>5395</v>
      </c>
      <c r="L506" t="s">
        <v>5396</v>
      </c>
      <c r="M506" t="s">
        <v>24</v>
      </c>
      <c r="N506" t="s">
        <v>25</v>
      </c>
      <c r="O506" t="s">
        <v>227</v>
      </c>
      <c r="P506" t="s">
        <v>49</v>
      </c>
      <c r="Q506" t="s">
        <v>39</v>
      </c>
      <c r="R506" t="s">
        <v>5397</v>
      </c>
      <c r="S506" t="s">
        <v>51</v>
      </c>
      <c r="T506" t="s">
        <v>52</v>
      </c>
      <c r="U506" t="s">
        <v>5398</v>
      </c>
      <c r="V506" s="3">
        <v>4506.45</v>
      </c>
      <c r="W506" s="4">
        <v>5</v>
      </c>
      <c r="X506" s="2">
        <v>0.1</v>
      </c>
      <c r="Y506" s="3">
        <v>-542.87</v>
      </c>
      <c r="Z506" t="str">
        <f t="shared" si="86"/>
        <v>Normal</v>
      </c>
      <c r="AA506" t="str">
        <f t="shared" si="87"/>
        <v>Medium</v>
      </c>
      <c r="AB506" t="str">
        <f t="shared" si="91"/>
        <v>Loss</v>
      </c>
      <c r="AC506" s="3">
        <f t="shared" si="92"/>
        <v>-0.12046511111850793</v>
      </c>
      <c r="AD506" s="3">
        <f t="shared" si="93"/>
        <v>901.29</v>
      </c>
      <c r="AE506" s="3">
        <f t="shared" si="94"/>
        <v>-108.574</v>
      </c>
      <c r="AF506" t="str">
        <f t="shared" si="95"/>
        <v>Regular</v>
      </c>
    </row>
    <row r="507" spans="1:32" x14ac:dyDescent="0.25">
      <c r="A507" t="s">
        <v>6268</v>
      </c>
      <c r="B507" s="1">
        <v>45174</v>
      </c>
      <c r="C507" s="1">
        <v>45180</v>
      </c>
      <c r="D507" s="4">
        <f t="shared" si="84"/>
        <v>6</v>
      </c>
      <c r="E507" s="4" t="str">
        <f>TEXT(Table1[[#This Row],[Order_Date]],"dddd")</f>
        <v>Tuesday</v>
      </c>
      <c r="F507" s="4">
        <f t="shared" si="85"/>
        <v>9</v>
      </c>
      <c r="G507" t="str">
        <f t="shared" si="88"/>
        <v>September</v>
      </c>
      <c r="H507">
        <f t="shared" si="89"/>
        <v>2023</v>
      </c>
      <c r="I507" t="str">
        <f t="shared" si="90"/>
        <v>2023-Q3</v>
      </c>
      <c r="J507" t="s">
        <v>55</v>
      </c>
      <c r="K507" t="s">
        <v>6269</v>
      </c>
      <c r="L507" t="s">
        <v>6270</v>
      </c>
      <c r="M507" t="s">
        <v>47</v>
      </c>
      <c r="N507" t="s">
        <v>25</v>
      </c>
      <c r="O507" t="s">
        <v>80</v>
      </c>
      <c r="P507" t="s">
        <v>49</v>
      </c>
      <c r="Q507" t="s">
        <v>39</v>
      </c>
      <c r="R507" t="s">
        <v>6271</v>
      </c>
      <c r="S507" t="s">
        <v>59</v>
      </c>
      <c r="T507" t="s">
        <v>303</v>
      </c>
      <c r="U507" t="s">
        <v>6272</v>
      </c>
      <c r="V507" s="3">
        <v>529.32000000000005</v>
      </c>
      <c r="W507" s="4">
        <v>3</v>
      </c>
      <c r="X507" s="2">
        <v>0.2</v>
      </c>
      <c r="Y507" s="3">
        <v>145.05000000000001</v>
      </c>
      <c r="Z507" t="str">
        <f t="shared" si="86"/>
        <v>Normal</v>
      </c>
      <c r="AA507" t="str">
        <f t="shared" si="87"/>
        <v>High</v>
      </c>
      <c r="AB507" t="str">
        <f t="shared" si="91"/>
        <v>Low Profit</v>
      </c>
      <c r="AC507" s="3">
        <f t="shared" si="92"/>
        <v>0.27403083201088191</v>
      </c>
      <c r="AD507" s="3">
        <f t="shared" si="93"/>
        <v>176.44000000000003</v>
      </c>
      <c r="AE507" s="3">
        <f t="shared" si="94"/>
        <v>48.35</v>
      </c>
      <c r="AF507" t="str">
        <f t="shared" si="95"/>
        <v>Regular</v>
      </c>
    </row>
    <row r="508" spans="1:32" x14ac:dyDescent="0.25">
      <c r="A508" t="s">
        <v>6166</v>
      </c>
      <c r="B508" s="1">
        <v>45175</v>
      </c>
      <c r="C508" s="1">
        <v>45182</v>
      </c>
      <c r="D508" s="4">
        <f t="shared" si="84"/>
        <v>7</v>
      </c>
      <c r="E508" s="4" t="str">
        <f>TEXT(Table1[[#This Row],[Order_Date]],"dddd")</f>
        <v>Wednesday</v>
      </c>
      <c r="F508" s="4">
        <f t="shared" si="85"/>
        <v>9</v>
      </c>
      <c r="G508" t="str">
        <f t="shared" si="88"/>
        <v>September</v>
      </c>
      <c r="H508">
        <f t="shared" si="89"/>
        <v>2023</v>
      </c>
      <c r="I508" t="str">
        <f t="shared" si="90"/>
        <v>2023-Q3</v>
      </c>
      <c r="J508" t="s">
        <v>55</v>
      </c>
      <c r="K508" t="s">
        <v>6167</v>
      </c>
      <c r="L508" t="s">
        <v>6168</v>
      </c>
      <c r="M508" t="s">
        <v>47</v>
      </c>
      <c r="N508" t="s">
        <v>25</v>
      </c>
      <c r="O508" t="s">
        <v>37</v>
      </c>
      <c r="P508" t="s">
        <v>38</v>
      </c>
      <c r="Q508" t="s">
        <v>28</v>
      </c>
      <c r="R508" t="s">
        <v>6169</v>
      </c>
      <c r="S508" t="s">
        <v>51</v>
      </c>
      <c r="T508" t="s">
        <v>94</v>
      </c>
      <c r="U508" t="s">
        <v>6170</v>
      </c>
      <c r="V508" s="3">
        <v>1580.37</v>
      </c>
      <c r="W508" s="4">
        <v>3</v>
      </c>
      <c r="X508" s="2">
        <v>0.1</v>
      </c>
      <c r="Y508" s="3">
        <v>45.61</v>
      </c>
      <c r="Z508" t="str">
        <f t="shared" si="86"/>
        <v>Normal</v>
      </c>
      <c r="AA508" t="str">
        <f t="shared" si="87"/>
        <v>Medium</v>
      </c>
      <c r="AB508" t="str">
        <f t="shared" si="91"/>
        <v>Low Profit</v>
      </c>
      <c r="AC508" s="3">
        <f t="shared" si="92"/>
        <v>2.8860330175844898E-2</v>
      </c>
      <c r="AD508" s="3">
        <f t="shared" si="93"/>
        <v>526.79</v>
      </c>
      <c r="AE508" s="3">
        <f t="shared" si="94"/>
        <v>15.203333333333333</v>
      </c>
      <c r="AF508" t="str">
        <f t="shared" si="95"/>
        <v>Regular</v>
      </c>
    </row>
    <row r="509" spans="1:32" x14ac:dyDescent="0.25">
      <c r="A509" t="s">
        <v>2909</v>
      </c>
      <c r="B509" s="1">
        <v>45176</v>
      </c>
      <c r="C509" s="1">
        <v>45186</v>
      </c>
      <c r="D509" s="4">
        <f t="shared" si="84"/>
        <v>10</v>
      </c>
      <c r="E509" s="4" t="str">
        <f>TEXT(Table1[[#This Row],[Order_Date]],"dddd")</f>
        <v>Thursday</v>
      </c>
      <c r="F509" s="4">
        <f t="shared" si="85"/>
        <v>9</v>
      </c>
      <c r="G509" t="str">
        <f t="shared" si="88"/>
        <v>September</v>
      </c>
      <c r="H509">
        <f t="shared" si="89"/>
        <v>2023</v>
      </c>
      <c r="I509" t="str">
        <f t="shared" si="90"/>
        <v>2023-Q3</v>
      </c>
      <c r="J509" t="s">
        <v>104</v>
      </c>
      <c r="K509" t="s">
        <v>2910</v>
      </c>
      <c r="L509" t="s">
        <v>2911</v>
      </c>
      <c r="M509" t="s">
        <v>36</v>
      </c>
      <c r="N509" t="s">
        <v>25</v>
      </c>
      <c r="O509" t="s">
        <v>233</v>
      </c>
      <c r="P509" t="s">
        <v>163</v>
      </c>
      <c r="Q509" t="s">
        <v>39</v>
      </c>
      <c r="R509" t="s">
        <v>2912</v>
      </c>
      <c r="S509" t="s">
        <v>30</v>
      </c>
      <c r="T509" t="s">
        <v>41</v>
      </c>
      <c r="U509" t="s">
        <v>2913</v>
      </c>
      <c r="V509" s="3">
        <v>2706.45</v>
      </c>
      <c r="W509" s="4">
        <v>8</v>
      </c>
      <c r="X509" s="2">
        <v>0</v>
      </c>
      <c r="Y509" s="3">
        <v>723.13</v>
      </c>
      <c r="Z509" t="str">
        <f t="shared" si="86"/>
        <v>Normal</v>
      </c>
      <c r="AA509" t="str">
        <f t="shared" si="87"/>
        <v>Low</v>
      </c>
      <c r="AB509" t="str">
        <f t="shared" si="91"/>
        <v>High Profit</v>
      </c>
      <c r="AC509" s="3">
        <f t="shared" si="92"/>
        <v>0.2671876443311349</v>
      </c>
      <c r="AD509" s="3">
        <f t="shared" si="93"/>
        <v>338.30624999999998</v>
      </c>
      <c r="AE509" s="3">
        <f t="shared" si="94"/>
        <v>90.391249999999999</v>
      </c>
      <c r="AF509" t="str">
        <f t="shared" si="95"/>
        <v>Regular</v>
      </c>
    </row>
    <row r="510" spans="1:32" x14ac:dyDescent="0.25">
      <c r="A510" t="s">
        <v>4681</v>
      </c>
      <c r="B510" s="1">
        <v>45176</v>
      </c>
      <c r="C510" s="1">
        <v>45185</v>
      </c>
      <c r="D510" s="4">
        <f t="shared" si="84"/>
        <v>9</v>
      </c>
      <c r="E510" s="4" t="str">
        <f>TEXT(Table1[[#This Row],[Order_Date]],"dddd")</f>
        <v>Thursday</v>
      </c>
      <c r="F510" s="4">
        <f t="shared" si="85"/>
        <v>9</v>
      </c>
      <c r="G510" t="str">
        <f t="shared" si="88"/>
        <v>September</v>
      </c>
      <c r="H510">
        <f t="shared" si="89"/>
        <v>2023</v>
      </c>
      <c r="I510" t="str">
        <f t="shared" si="90"/>
        <v>2023-Q3</v>
      </c>
      <c r="J510" t="s">
        <v>44</v>
      </c>
      <c r="K510" t="s">
        <v>4682</v>
      </c>
      <c r="L510" t="s">
        <v>4683</v>
      </c>
      <c r="M510" t="s">
        <v>36</v>
      </c>
      <c r="N510" t="s">
        <v>25</v>
      </c>
      <c r="O510" t="s">
        <v>255</v>
      </c>
      <c r="P510" t="s">
        <v>143</v>
      </c>
      <c r="Q510" t="s">
        <v>28</v>
      </c>
      <c r="R510" t="s">
        <v>4684</v>
      </c>
      <c r="S510" t="s">
        <v>59</v>
      </c>
      <c r="T510" t="s">
        <v>277</v>
      </c>
      <c r="U510" t="s">
        <v>4685</v>
      </c>
      <c r="V510" s="3">
        <v>2421.77</v>
      </c>
      <c r="W510" s="4">
        <v>4</v>
      </c>
      <c r="X510" s="2">
        <v>0.1</v>
      </c>
      <c r="Y510" s="3">
        <v>561.70000000000005</v>
      </c>
      <c r="Z510" t="str">
        <f t="shared" si="86"/>
        <v>Normal</v>
      </c>
      <c r="AA510" t="str">
        <f t="shared" si="87"/>
        <v>Medium</v>
      </c>
      <c r="AB510" t="str">
        <f t="shared" si="91"/>
        <v>High Profit</v>
      </c>
      <c r="AC510" s="3">
        <f t="shared" si="92"/>
        <v>0.23193779756128785</v>
      </c>
      <c r="AD510" s="3">
        <f t="shared" si="93"/>
        <v>605.4425</v>
      </c>
      <c r="AE510" s="3">
        <f t="shared" si="94"/>
        <v>140.42500000000001</v>
      </c>
      <c r="AF510" t="str">
        <f t="shared" si="95"/>
        <v>Regular</v>
      </c>
    </row>
    <row r="511" spans="1:32" x14ac:dyDescent="0.25">
      <c r="A511" t="s">
        <v>773</v>
      </c>
      <c r="B511" s="1">
        <v>45176</v>
      </c>
      <c r="C511" s="1">
        <v>45182</v>
      </c>
      <c r="D511" s="4">
        <f t="shared" si="84"/>
        <v>6</v>
      </c>
      <c r="E511" s="4" t="str">
        <f>TEXT(Table1[[#This Row],[Order_Date]],"dddd")</f>
        <v>Thursday</v>
      </c>
      <c r="F511" s="4">
        <f t="shared" si="85"/>
        <v>9</v>
      </c>
      <c r="G511" t="str">
        <f t="shared" si="88"/>
        <v>September</v>
      </c>
      <c r="H511">
        <f t="shared" si="89"/>
        <v>2023</v>
      </c>
      <c r="I511" t="str">
        <f t="shared" si="90"/>
        <v>2023-Q3</v>
      </c>
      <c r="J511" t="s">
        <v>104</v>
      </c>
      <c r="K511" t="s">
        <v>774</v>
      </c>
      <c r="L511" t="s">
        <v>775</v>
      </c>
      <c r="M511" t="s">
        <v>47</v>
      </c>
      <c r="N511" t="s">
        <v>25</v>
      </c>
      <c r="O511" t="s">
        <v>201</v>
      </c>
      <c r="P511" t="s">
        <v>113</v>
      </c>
      <c r="Q511" t="s">
        <v>87</v>
      </c>
      <c r="R511" t="s">
        <v>776</v>
      </c>
      <c r="S511" t="s">
        <v>51</v>
      </c>
      <c r="T511" t="s">
        <v>94</v>
      </c>
      <c r="U511" t="s">
        <v>777</v>
      </c>
      <c r="V511" s="3">
        <v>4681.55</v>
      </c>
      <c r="W511" s="4">
        <v>8</v>
      </c>
      <c r="X511" s="2">
        <v>0.2</v>
      </c>
      <c r="Y511" s="3">
        <v>864.59</v>
      </c>
      <c r="Z511" t="str">
        <f t="shared" si="86"/>
        <v>Normal</v>
      </c>
      <c r="AA511" t="str">
        <f t="shared" si="87"/>
        <v>High</v>
      </c>
      <c r="AB511" t="str">
        <f t="shared" si="91"/>
        <v>High Profit</v>
      </c>
      <c r="AC511" s="3">
        <f t="shared" si="92"/>
        <v>0.18468028751161475</v>
      </c>
      <c r="AD511" s="3">
        <f t="shared" si="93"/>
        <v>585.19375000000002</v>
      </c>
      <c r="AE511" s="3">
        <f t="shared" si="94"/>
        <v>108.07375</v>
      </c>
      <c r="AF511" t="str">
        <f t="shared" si="95"/>
        <v>Regular</v>
      </c>
    </row>
    <row r="512" spans="1:32" x14ac:dyDescent="0.25">
      <c r="A512" t="s">
        <v>1166</v>
      </c>
      <c r="B512" s="1">
        <v>45177</v>
      </c>
      <c r="C512" s="1">
        <v>45178</v>
      </c>
      <c r="D512" s="4">
        <f t="shared" si="84"/>
        <v>1</v>
      </c>
      <c r="E512" s="4" t="str">
        <f>TEXT(Table1[[#This Row],[Order_Date]],"dddd")</f>
        <v>Friday</v>
      </c>
      <c r="F512" s="4">
        <f t="shared" si="85"/>
        <v>9</v>
      </c>
      <c r="G512" t="str">
        <f t="shared" si="88"/>
        <v>September</v>
      </c>
      <c r="H512">
        <f t="shared" si="89"/>
        <v>2023</v>
      </c>
      <c r="I512" t="str">
        <f t="shared" si="90"/>
        <v>2023-Q3</v>
      </c>
      <c r="J512" t="s">
        <v>21</v>
      </c>
      <c r="K512" t="s">
        <v>1167</v>
      </c>
      <c r="L512" t="s">
        <v>1168</v>
      </c>
      <c r="M512" t="s">
        <v>24</v>
      </c>
      <c r="N512" t="s">
        <v>25</v>
      </c>
      <c r="O512" t="s">
        <v>255</v>
      </c>
      <c r="P512" t="s">
        <v>143</v>
      </c>
      <c r="Q512" t="s">
        <v>28</v>
      </c>
      <c r="R512" t="s">
        <v>1169</v>
      </c>
      <c r="S512" t="s">
        <v>59</v>
      </c>
      <c r="T512" t="s">
        <v>277</v>
      </c>
      <c r="U512" t="s">
        <v>1170</v>
      </c>
      <c r="V512" s="3">
        <v>248.19</v>
      </c>
      <c r="W512" s="4">
        <v>2</v>
      </c>
      <c r="X512" s="2">
        <v>0.3</v>
      </c>
      <c r="Y512" s="3">
        <v>-12.66</v>
      </c>
      <c r="Z512" t="str">
        <f t="shared" si="86"/>
        <v>Normal</v>
      </c>
      <c r="AA512" t="str">
        <f t="shared" si="87"/>
        <v>High</v>
      </c>
      <c r="AB512" t="str">
        <f t="shared" si="91"/>
        <v>Loss</v>
      </c>
      <c r="AC512" s="3">
        <f t="shared" si="92"/>
        <v>-5.1009307385470812E-2</v>
      </c>
      <c r="AD512" s="3">
        <f t="shared" si="93"/>
        <v>124.095</v>
      </c>
      <c r="AE512" s="3">
        <f t="shared" si="94"/>
        <v>-6.33</v>
      </c>
      <c r="AF512" t="str">
        <f t="shared" si="95"/>
        <v>Regular</v>
      </c>
    </row>
    <row r="513" spans="1:32" x14ac:dyDescent="0.25">
      <c r="A513" t="s">
        <v>5377</v>
      </c>
      <c r="B513" s="1">
        <v>45177</v>
      </c>
      <c r="C513" s="1">
        <v>45179</v>
      </c>
      <c r="D513" s="4">
        <f t="shared" si="84"/>
        <v>2</v>
      </c>
      <c r="E513" s="4" t="str">
        <f>TEXT(Table1[[#This Row],[Order_Date]],"dddd")</f>
        <v>Friday</v>
      </c>
      <c r="F513" s="4">
        <f t="shared" si="85"/>
        <v>9</v>
      </c>
      <c r="G513" t="str">
        <f t="shared" si="88"/>
        <v>September</v>
      </c>
      <c r="H513">
        <f t="shared" si="89"/>
        <v>2023</v>
      </c>
      <c r="I513" t="str">
        <f t="shared" si="90"/>
        <v>2023-Q3</v>
      </c>
      <c r="J513" t="s">
        <v>55</v>
      </c>
      <c r="K513" t="s">
        <v>5378</v>
      </c>
      <c r="L513" t="s">
        <v>5379</v>
      </c>
      <c r="M513" t="s">
        <v>36</v>
      </c>
      <c r="N513" t="s">
        <v>25</v>
      </c>
      <c r="O513" t="s">
        <v>162</v>
      </c>
      <c r="P513" t="s">
        <v>163</v>
      </c>
      <c r="Q513" t="s">
        <v>87</v>
      </c>
      <c r="R513" t="s">
        <v>7403</v>
      </c>
      <c r="S513" t="s">
        <v>51</v>
      </c>
      <c r="T513" t="s">
        <v>108</v>
      </c>
      <c r="U513" t="s">
        <v>2533</v>
      </c>
      <c r="V513" s="3">
        <v>4105.99</v>
      </c>
      <c r="W513" s="4">
        <v>9</v>
      </c>
      <c r="X513" s="2">
        <v>0</v>
      </c>
      <c r="Y513" s="3">
        <v>-31.94</v>
      </c>
      <c r="Z513" t="str">
        <f t="shared" si="86"/>
        <v>Normal</v>
      </c>
      <c r="AA513" t="str">
        <f t="shared" si="87"/>
        <v>Low</v>
      </c>
      <c r="AB513" t="str">
        <f t="shared" si="91"/>
        <v>Loss</v>
      </c>
      <c r="AC513" s="3">
        <f t="shared" si="92"/>
        <v>-7.7788791497300294E-3</v>
      </c>
      <c r="AD513" s="3">
        <f t="shared" si="93"/>
        <v>456.2211111111111</v>
      </c>
      <c r="AE513" s="3">
        <f t="shared" si="94"/>
        <v>-3.548888888888889</v>
      </c>
      <c r="AF513" t="str">
        <f t="shared" si="95"/>
        <v>Regular</v>
      </c>
    </row>
    <row r="514" spans="1:32" x14ac:dyDescent="0.25">
      <c r="A514" t="s">
        <v>7295</v>
      </c>
      <c r="B514" s="1">
        <v>45177</v>
      </c>
      <c r="C514" s="1">
        <v>45179</v>
      </c>
      <c r="D514" s="4">
        <f t="shared" ref="D514:D577" si="96">C514-B514</f>
        <v>2</v>
      </c>
      <c r="E514" s="4" t="str">
        <f>TEXT(Table1[[#This Row],[Order_Date]],"dddd")</f>
        <v>Friday</v>
      </c>
      <c r="F514" s="4">
        <f t="shared" ref="F514:F577" si="97">MONTH(B514)</f>
        <v>9</v>
      </c>
      <c r="G514" t="str">
        <f t="shared" si="88"/>
        <v>September</v>
      </c>
      <c r="H514">
        <f t="shared" si="89"/>
        <v>2023</v>
      </c>
      <c r="I514" t="str">
        <f t="shared" si="90"/>
        <v>2023-Q3</v>
      </c>
      <c r="J514" t="s">
        <v>44</v>
      </c>
      <c r="K514" t="s">
        <v>7296</v>
      </c>
      <c r="L514" t="s">
        <v>7297</v>
      </c>
      <c r="M514" t="s">
        <v>47</v>
      </c>
      <c r="N514" t="s">
        <v>25</v>
      </c>
      <c r="O514" t="s">
        <v>244</v>
      </c>
      <c r="P514" t="s">
        <v>163</v>
      </c>
      <c r="Q514" t="s">
        <v>28</v>
      </c>
      <c r="R514" t="s">
        <v>7298</v>
      </c>
      <c r="S514" t="s">
        <v>30</v>
      </c>
      <c r="T514" t="s">
        <v>82</v>
      </c>
      <c r="U514" t="s">
        <v>7299</v>
      </c>
      <c r="V514" s="3">
        <v>4011.31</v>
      </c>
      <c r="W514" s="4">
        <v>1</v>
      </c>
      <c r="X514" s="2">
        <v>0</v>
      </c>
      <c r="Y514" s="3">
        <v>-770.89</v>
      </c>
      <c r="Z514" t="str">
        <f t="shared" ref="Z514:Z577" si="98">IF(OR(Y514&lt;-800.884,Y514&gt;1030.126),"Outlier","Normal")</f>
        <v>Normal</v>
      </c>
      <c r="AA514" t="str">
        <f t="shared" ref="AA514:AA577" si="99">IF(X514&lt;10%,"Low",IF(X514&lt;0.2,"Medium","High"))</f>
        <v>Low</v>
      </c>
      <c r="AB514" t="str">
        <f t="shared" si="91"/>
        <v>Loss</v>
      </c>
      <c r="AC514" s="3">
        <f t="shared" si="92"/>
        <v>-0.19217911355641923</v>
      </c>
      <c r="AD514" s="3">
        <f t="shared" si="93"/>
        <v>4011.31</v>
      </c>
      <c r="AE514" s="3">
        <f t="shared" si="94"/>
        <v>-770.89</v>
      </c>
      <c r="AF514" t="str">
        <f t="shared" si="95"/>
        <v>Regular</v>
      </c>
    </row>
    <row r="515" spans="1:32" x14ac:dyDescent="0.25">
      <c r="A515" t="s">
        <v>2320</v>
      </c>
      <c r="B515" s="1">
        <v>45178</v>
      </c>
      <c r="C515" s="1">
        <v>45184</v>
      </c>
      <c r="D515" s="4">
        <f t="shared" si="96"/>
        <v>6</v>
      </c>
      <c r="E515" s="4" t="str">
        <f>TEXT(Table1[[#This Row],[Order_Date]],"dddd")</f>
        <v>Saturday</v>
      </c>
      <c r="F515" s="4">
        <f t="shared" si="97"/>
        <v>9</v>
      </c>
      <c r="G515" t="str">
        <f t="shared" ref="G515:G578" si="100">TEXT(B515,"mmmm")</f>
        <v>September</v>
      </c>
      <c r="H515">
        <f t="shared" ref="H515:H578" si="101">YEAR(B515)</f>
        <v>2023</v>
      </c>
      <c r="I515" t="str">
        <f t="shared" ref="I515:I578" si="102">H515 &amp; "-Q" &amp; INT((MONTH(B515)+2)/3)</f>
        <v>2023-Q3</v>
      </c>
      <c r="J515" t="s">
        <v>55</v>
      </c>
      <c r="K515" t="s">
        <v>2321</v>
      </c>
      <c r="L515" t="s">
        <v>2322</v>
      </c>
      <c r="M515" t="s">
        <v>24</v>
      </c>
      <c r="N515" t="s">
        <v>25</v>
      </c>
      <c r="O515" t="s">
        <v>65</v>
      </c>
      <c r="P515" t="s">
        <v>27</v>
      </c>
      <c r="Q515" t="s">
        <v>39</v>
      </c>
      <c r="R515" t="s">
        <v>2323</v>
      </c>
      <c r="S515" t="s">
        <v>59</v>
      </c>
      <c r="T515" t="s">
        <v>303</v>
      </c>
      <c r="U515" t="s">
        <v>2324</v>
      </c>
      <c r="V515" s="3">
        <v>516.19000000000005</v>
      </c>
      <c r="W515" s="4">
        <v>6</v>
      </c>
      <c r="X515" s="2">
        <v>0.2</v>
      </c>
      <c r="Y515" s="3">
        <v>35.590000000000003</v>
      </c>
      <c r="Z515" t="str">
        <f t="shared" si="98"/>
        <v>Normal</v>
      </c>
      <c r="AA515" t="str">
        <f t="shared" si="99"/>
        <v>High</v>
      </c>
      <c r="AB515" t="str">
        <f t="shared" ref="AB515:AB578" si="103">IF(Y515&lt;0, "Loss", IF(Y515&lt;500,"Low Profit", "High Profit"))</f>
        <v>Low Profit</v>
      </c>
      <c r="AC515" s="3">
        <f t="shared" ref="AC515:AC578" si="104">Y515/V515</f>
        <v>6.8947480578856621E-2</v>
      </c>
      <c r="AD515" s="3">
        <f t="shared" ref="AD515:AD578" si="105">V515/W515</f>
        <v>86.03166666666668</v>
      </c>
      <c r="AE515" s="3">
        <f t="shared" ref="AE515:AE578" si="106">Y515/W515</f>
        <v>5.9316666666666675</v>
      </c>
      <c r="AF515" t="str">
        <f t="shared" ref="AF515:AF578" si="107">IF(V515&gt;5000,"High value", "Regular")</f>
        <v>Regular</v>
      </c>
    </row>
    <row r="516" spans="1:32" x14ac:dyDescent="0.25">
      <c r="A516" t="s">
        <v>1623</v>
      </c>
      <c r="B516" s="1">
        <v>45178</v>
      </c>
      <c r="C516" s="1">
        <v>45186</v>
      </c>
      <c r="D516" s="4">
        <f t="shared" si="96"/>
        <v>8</v>
      </c>
      <c r="E516" s="4" t="str">
        <f>TEXT(Table1[[#This Row],[Order_Date]],"dddd")</f>
        <v>Saturday</v>
      </c>
      <c r="F516" s="4">
        <f t="shared" si="97"/>
        <v>9</v>
      </c>
      <c r="G516" t="str">
        <f t="shared" si="100"/>
        <v>September</v>
      </c>
      <c r="H516">
        <f t="shared" si="101"/>
        <v>2023</v>
      </c>
      <c r="I516" t="str">
        <f t="shared" si="102"/>
        <v>2023-Q3</v>
      </c>
      <c r="J516" t="s">
        <v>55</v>
      </c>
      <c r="K516" t="s">
        <v>1624</v>
      </c>
      <c r="L516" t="s">
        <v>1625</v>
      </c>
      <c r="M516" t="s">
        <v>36</v>
      </c>
      <c r="N516" t="s">
        <v>25</v>
      </c>
      <c r="O516" t="s">
        <v>179</v>
      </c>
      <c r="P516" t="s">
        <v>27</v>
      </c>
      <c r="Q516" t="s">
        <v>28</v>
      </c>
      <c r="R516" t="s">
        <v>1626</v>
      </c>
      <c r="S516" t="s">
        <v>51</v>
      </c>
      <c r="T516" t="s">
        <v>94</v>
      </c>
      <c r="U516" t="s">
        <v>1627</v>
      </c>
      <c r="V516" s="3">
        <v>1773.02</v>
      </c>
      <c r="W516" s="4">
        <v>5</v>
      </c>
      <c r="X516" s="2">
        <v>0.1</v>
      </c>
      <c r="Y516" s="3">
        <v>462.48</v>
      </c>
      <c r="Z516" t="str">
        <f t="shared" si="98"/>
        <v>Normal</v>
      </c>
      <c r="AA516" t="str">
        <f t="shared" si="99"/>
        <v>Medium</v>
      </c>
      <c r="AB516" t="str">
        <f t="shared" si="103"/>
        <v>Low Profit</v>
      </c>
      <c r="AC516" s="3">
        <f t="shared" si="104"/>
        <v>0.26084308129631928</v>
      </c>
      <c r="AD516" s="3">
        <f t="shared" si="105"/>
        <v>354.60399999999998</v>
      </c>
      <c r="AE516" s="3">
        <f t="shared" si="106"/>
        <v>92.496000000000009</v>
      </c>
      <c r="AF516" t="str">
        <f t="shared" si="107"/>
        <v>Regular</v>
      </c>
    </row>
    <row r="517" spans="1:32" x14ac:dyDescent="0.25">
      <c r="A517" t="s">
        <v>937</v>
      </c>
      <c r="B517" s="1">
        <v>45178</v>
      </c>
      <c r="C517" s="1">
        <v>45184</v>
      </c>
      <c r="D517" s="4">
        <f t="shared" si="96"/>
        <v>6</v>
      </c>
      <c r="E517" s="4" t="str">
        <f>TEXT(Table1[[#This Row],[Order_Date]],"dddd")</f>
        <v>Saturday</v>
      </c>
      <c r="F517" s="4">
        <f t="shared" si="97"/>
        <v>9</v>
      </c>
      <c r="G517" t="str">
        <f t="shared" si="100"/>
        <v>September</v>
      </c>
      <c r="H517">
        <f t="shared" si="101"/>
        <v>2023</v>
      </c>
      <c r="I517" t="str">
        <f t="shared" si="102"/>
        <v>2023-Q3</v>
      </c>
      <c r="J517" t="s">
        <v>104</v>
      </c>
      <c r="K517" t="s">
        <v>938</v>
      </c>
      <c r="L517" t="s">
        <v>939</v>
      </c>
      <c r="M517" t="s">
        <v>36</v>
      </c>
      <c r="N517" t="s">
        <v>25</v>
      </c>
      <c r="O517" t="s">
        <v>80</v>
      </c>
      <c r="P517" t="s">
        <v>49</v>
      </c>
      <c r="Q517" t="s">
        <v>66</v>
      </c>
      <c r="R517" t="s">
        <v>940</v>
      </c>
      <c r="S517" t="s">
        <v>59</v>
      </c>
      <c r="T517" t="s">
        <v>101</v>
      </c>
      <c r="U517" t="s">
        <v>941</v>
      </c>
      <c r="V517" s="3">
        <v>4506.8599999999997</v>
      </c>
      <c r="W517" s="4">
        <v>3</v>
      </c>
      <c r="X517" s="2">
        <v>0.2</v>
      </c>
      <c r="Y517" s="3">
        <v>-835.44</v>
      </c>
      <c r="Z517" t="str">
        <f t="shared" si="98"/>
        <v>Outlier</v>
      </c>
      <c r="AA517" t="str">
        <f t="shared" si="99"/>
        <v>High</v>
      </c>
      <c r="AB517" t="str">
        <f t="shared" si="103"/>
        <v>Loss</v>
      </c>
      <c r="AC517" s="3">
        <f t="shared" si="104"/>
        <v>-0.18537074592953856</v>
      </c>
      <c r="AD517" s="3">
        <f t="shared" si="105"/>
        <v>1502.2866666666666</v>
      </c>
      <c r="AE517" s="3">
        <f t="shared" si="106"/>
        <v>-278.48</v>
      </c>
      <c r="AF517" t="str">
        <f t="shared" si="107"/>
        <v>Regular</v>
      </c>
    </row>
    <row r="518" spans="1:32" x14ac:dyDescent="0.25">
      <c r="A518" t="s">
        <v>1327</v>
      </c>
      <c r="B518" s="1">
        <v>45178</v>
      </c>
      <c r="C518" s="1">
        <v>45187</v>
      </c>
      <c r="D518" s="4">
        <f t="shared" si="96"/>
        <v>9</v>
      </c>
      <c r="E518" s="4" t="str">
        <f>TEXT(Table1[[#This Row],[Order_Date]],"dddd")</f>
        <v>Saturday</v>
      </c>
      <c r="F518" s="4">
        <f t="shared" si="97"/>
        <v>9</v>
      </c>
      <c r="G518" t="str">
        <f t="shared" si="100"/>
        <v>September</v>
      </c>
      <c r="H518">
        <f t="shared" si="101"/>
        <v>2023</v>
      </c>
      <c r="I518" t="str">
        <f t="shared" si="102"/>
        <v>2023-Q3</v>
      </c>
      <c r="J518" t="s">
        <v>104</v>
      </c>
      <c r="K518" t="s">
        <v>1328</v>
      </c>
      <c r="L518" t="s">
        <v>1329</v>
      </c>
      <c r="M518" t="s">
        <v>47</v>
      </c>
      <c r="N518" t="s">
        <v>25</v>
      </c>
      <c r="O518" t="s">
        <v>113</v>
      </c>
      <c r="P518" t="s">
        <v>113</v>
      </c>
      <c r="Q518" t="s">
        <v>87</v>
      </c>
      <c r="R518" t="s">
        <v>1330</v>
      </c>
      <c r="S518" t="s">
        <v>30</v>
      </c>
      <c r="T518" t="s">
        <v>68</v>
      </c>
      <c r="U518" t="s">
        <v>1331</v>
      </c>
      <c r="V518" s="3">
        <v>356.76</v>
      </c>
      <c r="W518" s="4">
        <v>7</v>
      </c>
      <c r="X518" s="2">
        <v>0.2</v>
      </c>
      <c r="Y518" s="3">
        <v>-34.619999999999997</v>
      </c>
      <c r="Z518" t="str">
        <f t="shared" si="98"/>
        <v>Normal</v>
      </c>
      <c r="AA518" t="str">
        <f t="shared" si="99"/>
        <v>High</v>
      </c>
      <c r="AB518" t="str">
        <f t="shared" si="103"/>
        <v>Loss</v>
      </c>
      <c r="AC518" s="3">
        <f t="shared" si="104"/>
        <v>-9.7040026908846277E-2</v>
      </c>
      <c r="AD518" s="3">
        <f t="shared" si="105"/>
        <v>50.965714285714284</v>
      </c>
      <c r="AE518" s="3">
        <f t="shared" si="106"/>
        <v>-4.9457142857142857</v>
      </c>
      <c r="AF518" t="str">
        <f t="shared" si="107"/>
        <v>Regular</v>
      </c>
    </row>
    <row r="519" spans="1:32" x14ac:dyDescent="0.25">
      <c r="A519" t="s">
        <v>3034</v>
      </c>
      <c r="B519" s="1">
        <v>45179</v>
      </c>
      <c r="C519" s="1">
        <v>45185</v>
      </c>
      <c r="D519" s="4">
        <f t="shared" si="96"/>
        <v>6</v>
      </c>
      <c r="E519" s="4" t="str">
        <f>TEXT(Table1[[#This Row],[Order_Date]],"dddd")</f>
        <v>Sunday</v>
      </c>
      <c r="F519" s="4">
        <f t="shared" si="97"/>
        <v>9</v>
      </c>
      <c r="G519" t="str">
        <f t="shared" si="100"/>
        <v>September</v>
      </c>
      <c r="H519">
        <f t="shared" si="101"/>
        <v>2023</v>
      </c>
      <c r="I519" t="str">
        <f t="shared" si="102"/>
        <v>2023-Q3</v>
      </c>
      <c r="J519" t="s">
        <v>104</v>
      </c>
      <c r="K519" t="s">
        <v>3035</v>
      </c>
      <c r="L519" t="s">
        <v>3036</v>
      </c>
      <c r="M519" t="s">
        <v>47</v>
      </c>
      <c r="N519" t="s">
        <v>25</v>
      </c>
      <c r="O519" t="s">
        <v>65</v>
      </c>
      <c r="P519" t="s">
        <v>27</v>
      </c>
      <c r="Q519" t="s">
        <v>66</v>
      </c>
      <c r="R519" t="s">
        <v>3037</v>
      </c>
      <c r="S519" t="s">
        <v>59</v>
      </c>
      <c r="T519" t="s">
        <v>101</v>
      </c>
      <c r="U519" t="s">
        <v>1130</v>
      </c>
      <c r="V519" s="3">
        <v>1630.33</v>
      </c>
      <c r="W519" s="4">
        <v>6</v>
      </c>
      <c r="X519" s="2">
        <v>0.2</v>
      </c>
      <c r="Y519" s="3">
        <v>58.19</v>
      </c>
      <c r="Z519" t="str">
        <f t="shared" si="98"/>
        <v>Normal</v>
      </c>
      <c r="AA519" t="str">
        <f t="shared" si="99"/>
        <v>High</v>
      </c>
      <c r="AB519" t="str">
        <f t="shared" si="103"/>
        <v>Low Profit</v>
      </c>
      <c r="AC519" s="3">
        <f t="shared" si="104"/>
        <v>3.5692160482847034E-2</v>
      </c>
      <c r="AD519" s="3">
        <f t="shared" si="105"/>
        <v>271.72166666666664</v>
      </c>
      <c r="AE519" s="3">
        <f t="shared" si="106"/>
        <v>9.6983333333333324</v>
      </c>
      <c r="AF519" t="str">
        <f t="shared" si="107"/>
        <v>Regular</v>
      </c>
    </row>
    <row r="520" spans="1:32" x14ac:dyDescent="0.25">
      <c r="A520" t="s">
        <v>2335</v>
      </c>
      <c r="B520" s="1">
        <v>45179</v>
      </c>
      <c r="C520" s="1">
        <v>45183</v>
      </c>
      <c r="D520" s="4">
        <f t="shared" si="96"/>
        <v>4</v>
      </c>
      <c r="E520" s="4" t="str">
        <f>TEXT(Table1[[#This Row],[Order_Date]],"dddd")</f>
        <v>Sunday</v>
      </c>
      <c r="F520" s="4">
        <f t="shared" si="97"/>
        <v>9</v>
      </c>
      <c r="G520" t="str">
        <f t="shared" si="100"/>
        <v>September</v>
      </c>
      <c r="H520">
        <f t="shared" si="101"/>
        <v>2023</v>
      </c>
      <c r="I520" t="str">
        <f t="shared" si="102"/>
        <v>2023-Q3</v>
      </c>
      <c r="J520" t="s">
        <v>44</v>
      </c>
      <c r="K520" t="s">
        <v>2336</v>
      </c>
      <c r="L520" t="s">
        <v>2337</v>
      </c>
      <c r="M520" t="s">
        <v>24</v>
      </c>
      <c r="N520" t="s">
        <v>25</v>
      </c>
      <c r="O520" t="s">
        <v>179</v>
      </c>
      <c r="P520" t="s">
        <v>27</v>
      </c>
      <c r="Q520" t="s">
        <v>66</v>
      </c>
      <c r="R520" t="s">
        <v>2338</v>
      </c>
      <c r="S520" t="s">
        <v>51</v>
      </c>
      <c r="T520" t="s">
        <v>52</v>
      </c>
      <c r="U520" t="s">
        <v>2339</v>
      </c>
      <c r="V520" s="3">
        <v>2830.88</v>
      </c>
      <c r="W520" s="4">
        <v>9</v>
      </c>
      <c r="X520" s="2">
        <v>0</v>
      </c>
      <c r="Y520" s="3">
        <v>186.5</v>
      </c>
      <c r="Z520" t="str">
        <f t="shared" si="98"/>
        <v>Normal</v>
      </c>
      <c r="AA520" t="str">
        <f t="shared" si="99"/>
        <v>Low</v>
      </c>
      <c r="AB520" t="str">
        <f t="shared" si="103"/>
        <v>Low Profit</v>
      </c>
      <c r="AC520" s="3">
        <f t="shared" si="104"/>
        <v>6.5880574238399367E-2</v>
      </c>
      <c r="AD520" s="3">
        <f t="shared" si="105"/>
        <v>314.54222222222222</v>
      </c>
      <c r="AE520" s="3">
        <f t="shared" si="106"/>
        <v>20.722222222222221</v>
      </c>
      <c r="AF520" t="str">
        <f t="shared" si="107"/>
        <v>Regular</v>
      </c>
    </row>
    <row r="521" spans="1:32" x14ac:dyDescent="0.25">
      <c r="A521" t="s">
        <v>763</v>
      </c>
      <c r="B521" s="1">
        <v>45179</v>
      </c>
      <c r="C521" s="1">
        <v>45185</v>
      </c>
      <c r="D521" s="4">
        <f t="shared" si="96"/>
        <v>6</v>
      </c>
      <c r="E521" s="4" t="str">
        <f>TEXT(Table1[[#This Row],[Order_Date]],"dddd")</f>
        <v>Sunday</v>
      </c>
      <c r="F521" s="4">
        <f t="shared" si="97"/>
        <v>9</v>
      </c>
      <c r="G521" t="str">
        <f t="shared" si="100"/>
        <v>September</v>
      </c>
      <c r="H521">
        <f t="shared" si="101"/>
        <v>2023</v>
      </c>
      <c r="I521" t="str">
        <f t="shared" si="102"/>
        <v>2023-Q3</v>
      </c>
      <c r="J521" t="s">
        <v>21</v>
      </c>
      <c r="K521" t="s">
        <v>764</v>
      </c>
      <c r="L521" t="s">
        <v>765</v>
      </c>
      <c r="M521" t="s">
        <v>47</v>
      </c>
      <c r="N521" t="s">
        <v>25</v>
      </c>
      <c r="O521" t="s">
        <v>244</v>
      </c>
      <c r="P521" t="s">
        <v>163</v>
      </c>
      <c r="Q521" t="s">
        <v>66</v>
      </c>
      <c r="R521" t="s">
        <v>766</v>
      </c>
      <c r="S521" t="s">
        <v>30</v>
      </c>
      <c r="T521" t="s">
        <v>82</v>
      </c>
      <c r="U521" t="s">
        <v>767</v>
      </c>
      <c r="V521" s="3">
        <v>2925.04</v>
      </c>
      <c r="W521" s="4">
        <v>8</v>
      </c>
      <c r="X521" s="2">
        <v>0.1</v>
      </c>
      <c r="Y521" s="3">
        <v>488.94</v>
      </c>
      <c r="Z521" t="str">
        <f t="shared" si="98"/>
        <v>Normal</v>
      </c>
      <c r="AA521" t="str">
        <f t="shared" si="99"/>
        <v>Medium</v>
      </c>
      <c r="AB521" t="str">
        <f t="shared" si="103"/>
        <v>Low Profit</v>
      </c>
      <c r="AC521" s="3">
        <f t="shared" si="104"/>
        <v>0.16715668845554249</v>
      </c>
      <c r="AD521" s="3">
        <f t="shared" si="105"/>
        <v>365.63</v>
      </c>
      <c r="AE521" s="3">
        <f t="shared" si="106"/>
        <v>61.1175</v>
      </c>
      <c r="AF521" t="str">
        <f t="shared" si="107"/>
        <v>Regular</v>
      </c>
    </row>
    <row r="522" spans="1:32" x14ac:dyDescent="0.25">
      <c r="A522" t="s">
        <v>4804</v>
      </c>
      <c r="B522" s="1">
        <v>45180</v>
      </c>
      <c r="C522" s="1">
        <v>45185</v>
      </c>
      <c r="D522" s="4">
        <f t="shared" si="96"/>
        <v>5</v>
      </c>
      <c r="E522" s="4" t="str">
        <f>TEXT(Table1[[#This Row],[Order_Date]],"dddd")</f>
        <v>Monday</v>
      </c>
      <c r="F522" s="4">
        <f t="shared" si="97"/>
        <v>9</v>
      </c>
      <c r="G522" t="str">
        <f t="shared" si="100"/>
        <v>September</v>
      </c>
      <c r="H522">
        <f t="shared" si="101"/>
        <v>2023</v>
      </c>
      <c r="I522" t="str">
        <f t="shared" si="102"/>
        <v>2023-Q3</v>
      </c>
      <c r="J522" t="s">
        <v>104</v>
      </c>
      <c r="K522" t="s">
        <v>4805</v>
      </c>
      <c r="L522" t="s">
        <v>4806</v>
      </c>
      <c r="M522" t="s">
        <v>24</v>
      </c>
      <c r="N522" t="s">
        <v>25</v>
      </c>
      <c r="O522" t="s">
        <v>156</v>
      </c>
      <c r="P522" t="s">
        <v>143</v>
      </c>
      <c r="Q522" t="s">
        <v>39</v>
      </c>
      <c r="R522" t="s">
        <v>4807</v>
      </c>
      <c r="S522" t="s">
        <v>59</v>
      </c>
      <c r="T522" t="s">
        <v>277</v>
      </c>
      <c r="U522" t="s">
        <v>4808</v>
      </c>
      <c r="V522" s="3">
        <v>80.89</v>
      </c>
      <c r="W522" s="4">
        <v>5</v>
      </c>
      <c r="X522" s="2">
        <v>0.4</v>
      </c>
      <c r="Y522" s="3">
        <v>12.22</v>
      </c>
      <c r="Z522" t="str">
        <f t="shared" si="98"/>
        <v>Normal</v>
      </c>
      <c r="AA522" t="str">
        <f t="shared" si="99"/>
        <v>High</v>
      </c>
      <c r="AB522" t="str">
        <f t="shared" si="103"/>
        <v>Low Profit</v>
      </c>
      <c r="AC522" s="3">
        <f t="shared" si="104"/>
        <v>0.15106935344294722</v>
      </c>
      <c r="AD522" s="3">
        <f t="shared" si="105"/>
        <v>16.178000000000001</v>
      </c>
      <c r="AE522" s="3">
        <f t="shared" si="106"/>
        <v>2.444</v>
      </c>
      <c r="AF522" t="str">
        <f t="shared" si="107"/>
        <v>Regular</v>
      </c>
    </row>
    <row r="523" spans="1:32" x14ac:dyDescent="0.25">
      <c r="A523" t="s">
        <v>3421</v>
      </c>
      <c r="B523" s="1">
        <v>45180</v>
      </c>
      <c r="C523" s="1">
        <v>45183</v>
      </c>
      <c r="D523" s="4">
        <f t="shared" si="96"/>
        <v>3</v>
      </c>
      <c r="E523" s="4" t="str">
        <f>TEXT(Table1[[#This Row],[Order_Date]],"dddd")</f>
        <v>Monday</v>
      </c>
      <c r="F523" s="4">
        <f t="shared" si="97"/>
        <v>9</v>
      </c>
      <c r="G523" t="str">
        <f t="shared" si="100"/>
        <v>September</v>
      </c>
      <c r="H523">
        <f t="shared" si="101"/>
        <v>2023</v>
      </c>
      <c r="I523" t="str">
        <f t="shared" si="102"/>
        <v>2023-Q3</v>
      </c>
      <c r="J523" t="s">
        <v>21</v>
      </c>
      <c r="K523" t="s">
        <v>3422</v>
      </c>
      <c r="L523" t="s">
        <v>3423</v>
      </c>
      <c r="M523" t="s">
        <v>36</v>
      </c>
      <c r="N523" t="s">
        <v>25</v>
      </c>
      <c r="O523" t="s">
        <v>382</v>
      </c>
      <c r="P523" t="s">
        <v>38</v>
      </c>
      <c r="Q523" t="s">
        <v>28</v>
      </c>
      <c r="R523" t="s">
        <v>3424</v>
      </c>
      <c r="S523" t="s">
        <v>51</v>
      </c>
      <c r="T523" t="s">
        <v>108</v>
      </c>
      <c r="U523" t="s">
        <v>3425</v>
      </c>
      <c r="V523" s="3">
        <v>2514.16</v>
      </c>
      <c r="W523" s="4">
        <v>10</v>
      </c>
      <c r="X523" s="2">
        <v>0.2</v>
      </c>
      <c r="Y523" s="3">
        <v>309.98</v>
      </c>
      <c r="Z523" t="str">
        <f t="shared" si="98"/>
        <v>Normal</v>
      </c>
      <c r="AA523" t="str">
        <f t="shared" si="99"/>
        <v>High</v>
      </c>
      <c r="AB523" t="str">
        <f t="shared" si="103"/>
        <v>Low Profit</v>
      </c>
      <c r="AC523" s="3">
        <f t="shared" si="104"/>
        <v>0.12329366468323417</v>
      </c>
      <c r="AD523" s="3">
        <f t="shared" si="105"/>
        <v>251.416</v>
      </c>
      <c r="AE523" s="3">
        <f t="shared" si="106"/>
        <v>30.998000000000001</v>
      </c>
      <c r="AF523" t="str">
        <f t="shared" si="107"/>
        <v>Regular</v>
      </c>
    </row>
    <row r="524" spans="1:32" x14ac:dyDescent="0.25">
      <c r="A524" t="s">
        <v>6956</v>
      </c>
      <c r="B524" s="1">
        <v>45181</v>
      </c>
      <c r="C524" s="1">
        <v>45187</v>
      </c>
      <c r="D524" s="4">
        <f t="shared" si="96"/>
        <v>6</v>
      </c>
      <c r="E524" s="4" t="str">
        <f>TEXT(Table1[[#This Row],[Order_Date]],"dddd")</f>
        <v>Tuesday</v>
      </c>
      <c r="F524" s="4">
        <f t="shared" si="97"/>
        <v>9</v>
      </c>
      <c r="G524" t="str">
        <f t="shared" si="100"/>
        <v>September</v>
      </c>
      <c r="H524">
        <f t="shared" si="101"/>
        <v>2023</v>
      </c>
      <c r="I524" t="str">
        <f t="shared" si="102"/>
        <v>2023-Q3</v>
      </c>
      <c r="J524" t="s">
        <v>104</v>
      </c>
      <c r="K524" t="s">
        <v>6957</v>
      </c>
      <c r="L524" t="s">
        <v>6958</v>
      </c>
      <c r="M524" t="s">
        <v>47</v>
      </c>
      <c r="N524" t="s">
        <v>25</v>
      </c>
      <c r="O524" t="s">
        <v>65</v>
      </c>
      <c r="P524" t="s">
        <v>27</v>
      </c>
      <c r="Q524" t="s">
        <v>87</v>
      </c>
      <c r="R524" t="s">
        <v>6959</v>
      </c>
      <c r="S524" t="s">
        <v>59</v>
      </c>
      <c r="T524" t="s">
        <v>303</v>
      </c>
      <c r="U524" t="s">
        <v>1547</v>
      </c>
      <c r="V524" s="3">
        <v>4438.3500000000004</v>
      </c>
      <c r="W524" s="4">
        <v>9</v>
      </c>
      <c r="X524" s="2">
        <v>0.2</v>
      </c>
      <c r="Y524" s="3">
        <v>1306.07</v>
      </c>
      <c r="Z524" t="str">
        <f t="shared" si="98"/>
        <v>Outlier</v>
      </c>
      <c r="AA524" t="str">
        <f t="shared" si="99"/>
        <v>High</v>
      </c>
      <c r="AB524" t="str">
        <f t="shared" si="103"/>
        <v>High Profit</v>
      </c>
      <c r="AC524" s="3">
        <f t="shared" si="104"/>
        <v>0.29426926673200621</v>
      </c>
      <c r="AD524" s="3">
        <f t="shared" si="105"/>
        <v>493.15000000000003</v>
      </c>
      <c r="AE524" s="3">
        <f t="shared" si="106"/>
        <v>145.11888888888888</v>
      </c>
      <c r="AF524" t="str">
        <f t="shared" si="107"/>
        <v>Regular</v>
      </c>
    </row>
    <row r="525" spans="1:32" x14ac:dyDescent="0.25">
      <c r="A525" t="s">
        <v>593</v>
      </c>
      <c r="B525" s="1">
        <v>45181</v>
      </c>
      <c r="C525" s="1">
        <v>45189</v>
      </c>
      <c r="D525" s="4">
        <f t="shared" si="96"/>
        <v>8</v>
      </c>
      <c r="E525" s="4" t="str">
        <f>TEXT(Table1[[#This Row],[Order_Date]],"dddd")</f>
        <v>Tuesday</v>
      </c>
      <c r="F525" s="4">
        <f t="shared" si="97"/>
        <v>9</v>
      </c>
      <c r="G525" t="str">
        <f t="shared" si="100"/>
        <v>September</v>
      </c>
      <c r="H525">
        <f t="shared" si="101"/>
        <v>2023</v>
      </c>
      <c r="I525" t="str">
        <f t="shared" si="102"/>
        <v>2023-Q3</v>
      </c>
      <c r="J525" t="s">
        <v>21</v>
      </c>
      <c r="K525" t="s">
        <v>594</v>
      </c>
      <c r="L525" t="s">
        <v>595</v>
      </c>
      <c r="M525" t="s">
        <v>24</v>
      </c>
      <c r="N525" t="s">
        <v>25</v>
      </c>
      <c r="O525" t="s">
        <v>80</v>
      </c>
      <c r="P525" t="s">
        <v>49</v>
      </c>
      <c r="Q525" t="s">
        <v>39</v>
      </c>
      <c r="R525" t="s">
        <v>596</v>
      </c>
      <c r="S525" t="s">
        <v>51</v>
      </c>
      <c r="T525" t="s">
        <v>52</v>
      </c>
      <c r="U525" t="s">
        <v>597</v>
      </c>
      <c r="V525" s="3">
        <v>1469.55</v>
      </c>
      <c r="W525" s="4">
        <v>7</v>
      </c>
      <c r="X525" s="2">
        <v>0.1</v>
      </c>
      <c r="Y525" s="3">
        <v>426.02</v>
      </c>
      <c r="Z525" t="str">
        <f t="shared" si="98"/>
        <v>Normal</v>
      </c>
      <c r="AA525" t="str">
        <f t="shared" si="99"/>
        <v>Medium</v>
      </c>
      <c r="AB525" t="str">
        <f t="shared" si="103"/>
        <v>Low Profit</v>
      </c>
      <c r="AC525" s="3">
        <f t="shared" si="104"/>
        <v>0.28989826817733322</v>
      </c>
      <c r="AD525" s="3">
        <f t="shared" si="105"/>
        <v>209.93571428571428</v>
      </c>
      <c r="AE525" s="3">
        <f t="shared" si="106"/>
        <v>60.86</v>
      </c>
      <c r="AF525" t="str">
        <f t="shared" si="107"/>
        <v>Regular</v>
      </c>
    </row>
    <row r="526" spans="1:32" x14ac:dyDescent="0.25">
      <c r="A526" t="s">
        <v>1439</v>
      </c>
      <c r="B526" s="1">
        <v>45181</v>
      </c>
      <c r="C526" s="1">
        <v>45189</v>
      </c>
      <c r="D526" s="4">
        <f t="shared" si="96"/>
        <v>8</v>
      </c>
      <c r="E526" s="4" t="str">
        <f>TEXT(Table1[[#This Row],[Order_Date]],"dddd")</f>
        <v>Tuesday</v>
      </c>
      <c r="F526" s="4">
        <f t="shared" si="97"/>
        <v>9</v>
      </c>
      <c r="G526" t="str">
        <f t="shared" si="100"/>
        <v>September</v>
      </c>
      <c r="H526">
        <f t="shared" si="101"/>
        <v>2023</v>
      </c>
      <c r="I526" t="str">
        <f t="shared" si="102"/>
        <v>2023-Q3</v>
      </c>
      <c r="J526" t="s">
        <v>104</v>
      </c>
      <c r="K526" t="s">
        <v>1440</v>
      </c>
      <c r="L526" t="s">
        <v>1441</v>
      </c>
      <c r="M526" t="s">
        <v>47</v>
      </c>
      <c r="N526" t="s">
        <v>25</v>
      </c>
      <c r="O526" t="s">
        <v>37</v>
      </c>
      <c r="P526" t="s">
        <v>38</v>
      </c>
      <c r="Q526" t="s">
        <v>66</v>
      </c>
      <c r="R526" t="s">
        <v>1442</v>
      </c>
      <c r="S526" t="s">
        <v>30</v>
      </c>
      <c r="T526" t="s">
        <v>82</v>
      </c>
      <c r="U526" t="s">
        <v>1443</v>
      </c>
      <c r="V526" s="3">
        <v>2227.09</v>
      </c>
      <c r="W526" s="4">
        <v>10</v>
      </c>
      <c r="X526" s="2">
        <v>0.3</v>
      </c>
      <c r="Y526" s="3">
        <v>0.18</v>
      </c>
      <c r="Z526" t="str">
        <f t="shared" si="98"/>
        <v>Normal</v>
      </c>
      <c r="AA526" t="str">
        <f t="shared" si="99"/>
        <v>High</v>
      </c>
      <c r="AB526" t="str">
        <f t="shared" si="103"/>
        <v>Low Profit</v>
      </c>
      <c r="AC526" s="3">
        <f t="shared" si="104"/>
        <v>8.0822957312008033E-5</v>
      </c>
      <c r="AD526" s="3">
        <f t="shared" si="105"/>
        <v>222.709</v>
      </c>
      <c r="AE526" s="3">
        <f t="shared" si="106"/>
        <v>1.7999999999999999E-2</v>
      </c>
      <c r="AF526" t="str">
        <f t="shared" si="107"/>
        <v>Regular</v>
      </c>
    </row>
    <row r="527" spans="1:32" x14ac:dyDescent="0.25">
      <c r="A527" t="s">
        <v>3445</v>
      </c>
      <c r="B527" s="1">
        <v>45181</v>
      </c>
      <c r="C527" s="1">
        <v>45184</v>
      </c>
      <c r="D527" s="4">
        <f t="shared" si="96"/>
        <v>3</v>
      </c>
      <c r="E527" s="4" t="str">
        <f>TEXT(Table1[[#This Row],[Order_Date]],"dddd")</f>
        <v>Tuesday</v>
      </c>
      <c r="F527" s="4">
        <f t="shared" si="97"/>
        <v>9</v>
      </c>
      <c r="G527" t="str">
        <f t="shared" si="100"/>
        <v>September</v>
      </c>
      <c r="H527">
        <f t="shared" si="101"/>
        <v>2023</v>
      </c>
      <c r="I527" t="str">
        <f t="shared" si="102"/>
        <v>2023-Q3</v>
      </c>
      <c r="J527" t="s">
        <v>21</v>
      </c>
      <c r="K527" t="s">
        <v>3446</v>
      </c>
      <c r="L527" t="s">
        <v>3447</v>
      </c>
      <c r="M527" t="s">
        <v>36</v>
      </c>
      <c r="N527" t="s">
        <v>25</v>
      </c>
      <c r="O527" t="s">
        <v>113</v>
      </c>
      <c r="P527" t="s">
        <v>113</v>
      </c>
      <c r="Q527" t="s">
        <v>28</v>
      </c>
      <c r="R527" t="s">
        <v>3448</v>
      </c>
      <c r="S527" t="s">
        <v>51</v>
      </c>
      <c r="T527" t="s">
        <v>94</v>
      </c>
      <c r="U527" t="s">
        <v>3449</v>
      </c>
      <c r="V527" s="3">
        <v>2371.64</v>
      </c>
      <c r="W527" s="4">
        <v>2</v>
      </c>
      <c r="X527" s="2">
        <v>0.1</v>
      </c>
      <c r="Y527" s="3">
        <v>524.27</v>
      </c>
      <c r="Z527" t="str">
        <f t="shared" si="98"/>
        <v>Normal</v>
      </c>
      <c r="AA527" t="str">
        <f t="shared" si="99"/>
        <v>Medium</v>
      </c>
      <c r="AB527" t="str">
        <f t="shared" si="103"/>
        <v>High Profit</v>
      </c>
      <c r="AC527" s="3">
        <f t="shared" si="104"/>
        <v>0.22105800205764789</v>
      </c>
      <c r="AD527" s="3">
        <f t="shared" si="105"/>
        <v>1185.82</v>
      </c>
      <c r="AE527" s="3">
        <f t="shared" si="106"/>
        <v>262.13499999999999</v>
      </c>
      <c r="AF527" t="str">
        <f t="shared" si="107"/>
        <v>Regular</v>
      </c>
    </row>
    <row r="528" spans="1:32" x14ac:dyDescent="0.25">
      <c r="A528" t="s">
        <v>1006</v>
      </c>
      <c r="B528" s="1">
        <v>45181</v>
      </c>
      <c r="C528" s="1">
        <v>45185</v>
      </c>
      <c r="D528" s="4">
        <f t="shared" si="96"/>
        <v>4</v>
      </c>
      <c r="E528" s="4" t="str">
        <f>TEXT(Table1[[#This Row],[Order_Date]],"dddd")</f>
        <v>Tuesday</v>
      </c>
      <c r="F528" s="4">
        <f t="shared" si="97"/>
        <v>9</v>
      </c>
      <c r="G528" t="str">
        <f t="shared" si="100"/>
        <v>September</v>
      </c>
      <c r="H528">
        <f t="shared" si="101"/>
        <v>2023</v>
      </c>
      <c r="I528" t="str">
        <f t="shared" si="102"/>
        <v>2023-Q3</v>
      </c>
      <c r="J528" t="s">
        <v>44</v>
      </c>
      <c r="K528" t="s">
        <v>1007</v>
      </c>
      <c r="L528" t="s">
        <v>1008</v>
      </c>
      <c r="M528" t="s">
        <v>47</v>
      </c>
      <c r="N528" t="s">
        <v>25</v>
      </c>
      <c r="O528" t="s">
        <v>451</v>
      </c>
      <c r="P528" t="s">
        <v>38</v>
      </c>
      <c r="Q528" t="s">
        <v>39</v>
      </c>
      <c r="R528" t="s">
        <v>1009</v>
      </c>
      <c r="S528" t="s">
        <v>51</v>
      </c>
      <c r="T528" t="s">
        <v>52</v>
      </c>
      <c r="U528" t="s">
        <v>1010</v>
      </c>
      <c r="V528" s="3">
        <v>805.2</v>
      </c>
      <c r="W528" s="4">
        <v>3</v>
      </c>
      <c r="X528" s="2">
        <v>0</v>
      </c>
      <c r="Y528" s="3">
        <v>-57.01</v>
      </c>
      <c r="Z528" t="str">
        <f t="shared" si="98"/>
        <v>Normal</v>
      </c>
      <c r="AA528" t="str">
        <f t="shared" si="99"/>
        <v>Low</v>
      </c>
      <c r="AB528" t="str">
        <f t="shared" si="103"/>
        <v>Loss</v>
      </c>
      <c r="AC528" s="3">
        <f t="shared" si="104"/>
        <v>-7.0802285146547433E-2</v>
      </c>
      <c r="AD528" s="3">
        <f t="shared" si="105"/>
        <v>268.40000000000003</v>
      </c>
      <c r="AE528" s="3">
        <f t="shared" si="106"/>
        <v>-19.003333333333334</v>
      </c>
      <c r="AF528" t="str">
        <f t="shared" si="107"/>
        <v>Regular</v>
      </c>
    </row>
    <row r="529" spans="1:32" x14ac:dyDescent="0.25">
      <c r="A529" t="s">
        <v>5183</v>
      </c>
      <c r="B529" s="1">
        <v>45182</v>
      </c>
      <c r="C529" s="1">
        <v>45186</v>
      </c>
      <c r="D529" s="4">
        <f t="shared" si="96"/>
        <v>4</v>
      </c>
      <c r="E529" s="4" t="str">
        <f>TEXT(Table1[[#This Row],[Order_Date]],"dddd")</f>
        <v>Wednesday</v>
      </c>
      <c r="F529" s="4">
        <f t="shared" si="97"/>
        <v>9</v>
      </c>
      <c r="G529" t="str">
        <f t="shared" si="100"/>
        <v>September</v>
      </c>
      <c r="H529">
        <f t="shared" si="101"/>
        <v>2023</v>
      </c>
      <c r="I529" t="str">
        <f t="shared" si="102"/>
        <v>2023-Q3</v>
      </c>
      <c r="J529" t="s">
        <v>55</v>
      </c>
      <c r="K529" t="s">
        <v>5184</v>
      </c>
      <c r="L529" t="s">
        <v>5185</v>
      </c>
      <c r="M529" t="s">
        <v>36</v>
      </c>
      <c r="N529" t="s">
        <v>25</v>
      </c>
      <c r="O529" t="s">
        <v>73</v>
      </c>
      <c r="P529" t="s">
        <v>74</v>
      </c>
      <c r="Q529" t="s">
        <v>39</v>
      </c>
      <c r="R529" t="s">
        <v>5186</v>
      </c>
      <c r="S529" t="s">
        <v>51</v>
      </c>
      <c r="T529" t="s">
        <v>127</v>
      </c>
      <c r="U529" t="s">
        <v>5187</v>
      </c>
      <c r="V529" s="3">
        <v>692.21</v>
      </c>
      <c r="W529" s="4">
        <v>4</v>
      </c>
      <c r="X529" s="2">
        <v>0</v>
      </c>
      <c r="Y529" s="3">
        <v>194.64</v>
      </c>
      <c r="Z529" t="str">
        <f t="shared" si="98"/>
        <v>Normal</v>
      </c>
      <c r="AA529" t="str">
        <f t="shared" si="99"/>
        <v>Low</v>
      </c>
      <c r="AB529" t="str">
        <f t="shared" si="103"/>
        <v>Low Profit</v>
      </c>
      <c r="AC529" s="3">
        <f t="shared" si="104"/>
        <v>0.28118634518426483</v>
      </c>
      <c r="AD529" s="3">
        <f t="shared" si="105"/>
        <v>173.05250000000001</v>
      </c>
      <c r="AE529" s="3">
        <f t="shared" si="106"/>
        <v>48.66</v>
      </c>
      <c r="AF529" t="str">
        <f t="shared" si="107"/>
        <v>Regular</v>
      </c>
    </row>
    <row r="530" spans="1:32" x14ac:dyDescent="0.25">
      <c r="A530" t="s">
        <v>414</v>
      </c>
      <c r="B530" s="1">
        <v>45182</v>
      </c>
      <c r="C530" s="1">
        <v>45191</v>
      </c>
      <c r="D530" s="4">
        <f t="shared" si="96"/>
        <v>9</v>
      </c>
      <c r="E530" s="4" t="str">
        <f>TEXT(Table1[[#This Row],[Order_Date]],"dddd")</f>
        <v>Wednesday</v>
      </c>
      <c r="F530" s="4">
        <f t="shared" si="97"/>
        <v>9</v>
      </c>
      <c r="G530" t="str">
        <f t="shared" si="100"/>
        <v>September</v>
      </c>
      <c r="H530">
        <f t="shared" si="101"/>
        <v>2023</v>
      </c>
      <c r="I530" t="str">
        <f t="shared" si="102"/>
        <v>2023-Q3</v>
      </c>
      <c r="J530" t="s">
        <v>104</v>
      </c>
      <c r="K530" t="s">
        <v>415</v>
      </c>
      <c r="L530" t="s">
        <v>416</v>
      </c>
      <c r="M530" t="s">
        <v>24</v>
      </c>
      <c r="N530" t="s">
        <v>25</v>
      </c>
      <c r="O530" t="s">
        <v>227</v>
      </c>
      <c r="P530" t="s">
        <v>49</v>
      </c>
      <c r="Q530" t="s">
        <v>28</v>
      </c>
      <c r="R530" t="s">
        <v>417</v>
      </c>
      <c r="S530" t="s">
        <v>30</v>
      </c>
      <c r="T530" t="s">
        <v>82</v>
      </c>
      <c r="U530" t="s">
        <v>418</v>
      </c>
      <c r="V530" s="3">
        <v>1817.73</v>
      </c>
      <c r="W530" s="4">
        <v>3</v>
      </c>
      <c r="X530" s="2">
        <v>0.3</v>
      </c>
      <c r="Y530" s="3">
        <v>228.65</v>
      </c>
      <c r="Z530" t="str">
        <f t="shared" si="98"/>
        <v>Normal</v>
      </c>
      <c r="AA530" t="str">
        <f t="shared" si="99"/>
        <v>High</v>
      </c>
      <c r="AB530" t="str">
        <f t="shared" si="103"/>
        <v>Low Profit</v>
      </c>
      <c r="AC530" s="3">
        <f t="shared" si="104"/>
        <v>0.12578875850648885</v>
      </c>
      <c r="AD530" s="3">
        <f t="shared" si="105"/>
        <v>605.91</v>
      </c>
      <c r="AE530" s="3">
        <f t="shared" si="106"/>
        <v>76.216666666666669</v>
      </c>
      <c r="AF530" t="str">
        <f t="shared" si="107"/>
        <v>Regular</v>
      </c>
    </row>
    <row r="531" spans="1:32" x14ac:dyDescent="0.25">
      <c r="A531" t="s">
        <v>6085</v>
      </c>
      <c r="B531" s="1">
        <v>45183</v>
      </c>
      <c r="C531" s="1">
        <v>45188</v>
      </c>
      <c r="D531" s="4">
        <f t="shared" si="96"/>
        <v>5</v>
      </c>
      <c r="E531" s="4" t="str">
        <f>TEXT(Table1[[#This Row],[Order_Date]],"dddd")</f>
        <v>Thursday</v>
      </c>
      <c r="F531" s="4">
        <f t="shared" si="97"/>
        <v>9</v>
      </c>
      <c r="G531" t="str">
        <f t="shared" si="100"/>
        <v>September</v>
      </c>
      <c r="H531">
        <f t="shared" si="101"/>
        <v>2023</v>
      </c>
      <c r="I531" t="str">
        <f t="shared" si="102"/>
        <v>2023-Q3</v>
      </c>
      <c r="J531" t="s">
        <v>44</v>
      </c>
      <c r="K531" t="s">
        <v>6086</v>
      </c>
      <c r="L531" t="s">
        <v>6087</v>
      </c>
      <c r="M531" t="s">
        <v>47</v>
      </c>
      <c r="N531" t="s">
        <v>25</v>
      </c>
      <c r="O531" t="s">
        <v>65</v>
      </c>
      <c r="P531" t="s">
        <v>27</v>
      </c>
      <c r="Q531" t="s">
        <v>39</v>
      </c>
      <c r="R531" t="s">
        <v>6088</v>
      </c>
      <c r="S531" t="s">
        <v>30</v>
      </c>
      <c r="T531" t="s">
        <v>68</v>
      </c>
      <c r="U531" t="s">
        <v>6089</v>
      </c>
      <c r="V531" s="3">
        <v>129.65</v>
      </c>
      <c r="W531" s="4">
        <v>9</v>
      </c>
      <c r="X531" s="2">
        <v>0</v>
      </c>
      <c r="Y531" s="3">
        <v>22.38</v>
      </c>
      <c r="Z531" t="str">
        <f t="shared" si="98"/>
        <v>Normal</v>
      </c>
      <c r="AA531" t="str">
        <f t="shared" si="99"/>
        <v>Low</v>
      </c>
      <c r="AB531" t="str">
        <f t="shared" si="103"/>
        <v>Low Profit</v>
      </c>
      <c r="AC531" s="3">
        <f t="shared" si="104"/>
        <v>0.17261858850752024</v>
      </c>
      <c r="AD531" s="3">
        <f t="shared" si="105"/>
        <v>14.405555555555557</v>
      </c>
      <c r="AE531" s="3">
        <f t="shared" si="106"/>
        <v>2.4866666666666664</v>
      </c>
      <c r="AF531" t="str">
        <f t="shared" si="107"/>
        <v>Regular</v>
      </c>
    </row>
    <row r="532" spans="1:32" x14ac:dyDescent="0.25">
      <c r="A532" t="s">
        <v>4164</v>
      </c>
      <c r="B532" s="1">
        <v>45184</v>
      </c>
      <c r="C532" s="1">
        <v>45191</v>
      </c>
      <c r="D532" s="4">
        <f t="shared" si="96"/>
        <v>7</v>
      </c>
      <c r="E532" s="4" t="str">
        <f>TEXT(Table1[[#This Row],[Order_Date]],"dddd")</f>
        <v>Friday</v>
      </c>
      <c r="F532" s="4">
        <f t="shared" si="97"/>
        <v>9</v>
      </c>
      <c r="G532" t="str">
        <f t="shared" si="100"/>
        <v>September</v>
      </c>
      <c r="H532">
        <f t="shared" si="101"/>
        <v>2023</v>
      </c>
      <c r="I532" t="str">
        <f t="shared" si="102"/>
        <v>2023-Q3</v>
      </c>
      <c r="J532" t="s">
        <v>21</v>
      </c>
      <c r="K532" t="s">
        <v>4165</v>
      </c>
      <c r="L532" t="s">
        <v>4166</v>
      </c>
      <c r="M532" t="s">
        <v>36</v>
      </c>
      <c r="N532" t="s">
        <v>25</v>
      </c>
      <c r="O532" t="s">
        <v>255</v>
      </c>
      <c r="P532" t="s">
        <v>143</v>
      </c>
      <c r="Q532" t="s">
        <v>39</v>
      </c>
      <c r="R532" t="s">
        <v>4167</v>
      </c>
      <c r="S532" t="s">
        <v>51</v>
      </c>
      <c r="T532" t="s">
        <v>108</v>
      </c>
      <c r="U532" t="s">
        <v>4168</v>
      </c>
      <c r="V532" s="3">
        <v>4596.04</v>
      </c>
      <c r="W532" s="4">
        <v>7</v>
      </c>
      <c r="X532" s="2">
        <v>0</v>
      </c>
      <c r="Y532" s="3">
        <v>-820.73</v>
      </c>
      <c r="Z532" t="str">
        <f t="shared" si="98"/>
        <v>Outlier</v>
      </c>
      <c r="AA532" t="str">
        <f t="shared" si="99"/>
        <v>Low</v>
      </c>
      <c r="AB532" t="str">
        <f t="shared" si="103"/>
        <v>Loss</v>
      </c>
      <c r="AC532" s="3">
        <f t="shared" si="104"/>
        <v>-0.17857329353095275</v>
      </c>
      <c r="AD532" s="3">
        <f t="shared" si="105"/>
        <v>656.5771428571428</v>
      </c>
      <c r="AE532" s="3">
        <f t="shared" si="106"/>
        <v>-117.24714285714286</v>
      </c>
      <c r="AF532" t="str">
        <f t="shared" si="107"/>
        <v>Regular</v>
      </c>
    </row>
    <row r="533" spans="1:32" x14ac:dyDescent="0.25">
      <c r="A533" t="s">
        <v>3955</v>
      </c>
      <c r="B533" s="1">
        <v>45184</v>
      </c>
      <c r="C533" s="1">
        <v>45194</v>
      </c>
      <c r="D533" s="4">
        <f t="shared" si="96"/>
        <v>10</v>
      </c>
      <c r="E533" s="4" t="str">
        <f>TEXT(Table1[[#This Row],[Order_Date]],"dddd")</f>
        <v>Friday</v>
      </c>
      <c r="F533" s="4">
        <f t="shared" si="97"/>
        <v>9</v>
      </c>
      <c r="G533" t="str">
        <f t="shared" si="100"/>
        <v>September</v>
      </c>
      <c r="H533">
        <f t="shared" si="101"/>
        <v>2023</v>
      </c>
      <c r="I533" t="str">
        <f t="shared" si="102"/>
        <v>2023-Q3</v>
      </c>
      <c r="J533" t="s">
        <v>44</v>
      </c>
      <c r="K533" t="s">
        <v>3956</v>
      </c>
      <c r="L533" t="s">
        <v>3957</v>
      </c>
      <c r="M533" t="s">
        <v>47</v>
      </c>
      <c r="N533" t="s">
        <v>25</v>
      </c>
      <c r="O533" t="s">
        <v>156</v>
      </c>
      <c r="P533" t="s">
        <v>143</v>
      </c>
      <c r="Q533" t="s">
        <v>87</v>
      </c>
      <c r="R533" t="s">
        <v>7403</v>
      </c>
      <c r="S533" t="s">
        <v>59</v>
      </c>
      <c r="T533" t="s">
        <v>277</v>
      </c>
      <c r="U533" t="s">
        <v>3958</v>
      </c>
      <c r="V533" s="3">
        <v>4396.5600000000004</v>
      </c>
      <c r="W533" s="4">
        <v>7</v>
      </c>
      <c r="X533" s="2">
        <v>0.1</v>
      </c>
      <c r="Y533" s="3">
        <v>1118.42</v>
      </c>
      <c r="Z533" t="str">
        <f t="shared" si="98"/>
        <v>Outlier</v>
      </c>
      <c r="AA533" t="str">
        <f t="shared" si="99"/>
        <v>Medium</v>
      </c>
      <c r="AB533" t="str">
        <f t="shared" si="103"/>
        <v>High Profit</v>
      </c>
      <c r="AC533" s="3">
        <f t="shared" si="104"/>
        <v>0.25438524664737883</v>
      </c>
      <c r="AD533" s="3">
        <f t="shared" si="105"/>
        <v>628.08000000000004</v>
      </c>
      <c r="AE533" s="3">
        <f t="shared" si="106"/>
        <v>159.77428571428572</v>
      </c>
      <c r="AF533" t="str">
        <f t="shared" si="107"/>
        <v>Regular</v>
      </c>
    </row>
    <row r="534" spans="1:32" x14ac:dyDescent="0.25">
      <c r="A534" t="s">
        <v>5865</v>
      </c>
      <c r="B534" s="1">
        <v>45185</v>
      </c>
      <c r="C534" s="1">
        <v>45192</v>
      </c>
      <c r="D534" s="4">
        <f t="shared" si="96"/>
        <v>7</v>
      </c>
      <c r="E534" s="4" t="str">
        <f>TEXT(Table1[[#This Row],[Order_Date]],"dddd")</f>
        <v>Saturday</v>
      </c>
      <c r="F534" s="4">
        <f t="shared" si="97"/>
        <v>9</v>
      </c>
      <c r="G534" t="str">
        <f t="shared" si="100"/>
        <v>September</v>
      </c>
      <c r="H534">
        <f t="shared" si="101"/>
        <v>2023</v>
      </c>
      <c r="I534" t="str">
        <f t="shared" si="102"/>
        <v>2023-Q3</v>
      </c>
      <c r="J534" t="s">
        <v>104</v>
      </c>
      <c r="K534" t="s">
        <v>5866</v>
      </c>
      <c r="L534" t="s">
        <v>5867</v>
      </c>
      <c r="M534" t="s">
        <v>24</v>
      </c>
      <c r="N534" t="s">
        <v>25</v>
      </c>
      <c r="O534" t="s">
        <v>255</v>
      </c>
      <c r="P534" t="s">
        <v>143</v>
      </c>
      <c r="Q534" t="s">
        <v>66</v>
      </c>
      <c r="R534" t="s">
        <v>5868</v>
      </c>
      <c r="S534" t="s">
        <v>59</v>
      </c>
      <c r="T534" t="s">
        <v>60</v>
      </c>
      <c r="U534" t="s">
        <v>5869</v>
      </c>
      <c r="V534" s="3">
        <v>267.23</v>
      </c>
      <c r="W534" s="4">
        <v>8</v>
      </c>
      <c r="X534" s="2">
        <v>0.1</v>
      </c>
      <c r="Y534" s="3">
        <v>54.06</v>
      </c>
      <c r="Z534" t="str">
        <f t="shared" si="98"/>
        <v>Normal</v>
      </c>
      <c r="AA534" t="str">
        <f t="shared" si="99"/>
        <v>Medium</v>
      </c>
      <c r="AB534" t="str">
        <f t="shared" si="103"/>
        <v>Low Profit</v>
      </c>
      <c r="AC534" s="3">
        <f t="shared" si="104"/>
        <v>0.20229764622235527</v>
      </c>
      <c r="AD534" s="3">
        <f t="shared" si="105"/>
        <v>33.403750000000002</v>
      </c>
      <c r="AE534" s="3">
        <f t="shared" si="106"/>
        <v>6.7575000000000003</v>
      </c>
      <c r="AF534" t="str">
        <f t="shared" si="107"/>
        <v>Regular</v>
      </c>
    </row>
    <row r="535" spans="1:32" x14ac:dyDescent="0.25">
      <c r="A535" t="s">
        <v>1469</v>
      </c>
      <c r="B535" s="1">
        <v>45186</v>
      </c>
      <c r="C535" s="1">
        <v>45191</v>
      </c>
      <c r="D535" s="4">
        <f t="shared" si="96"/>
        <v>5</v>
      </c>
      <c r="E535" s="4" t="str">
        <f>TEXT(Table1[[#This Row],[Order_Date]],"dddd")</f>
        <v>Sunday</v>
      </c>
      <c r="F535" s="4">
        <f t="shared" si="97"/>
        <v>9</v>
      </c>
      <c r="G535" t="str">
        <f t="shared" si="100"/>
        <v>September</v>
      </c>
      <c r="H535">
        <f t="shared" si="101"/>
        <v>2023</v>
      </c>
      <c r="I535" t="str">
        <f t="shared" si="102"/>
        <v>2023-Q3</v>
      </c>
      <c r="J535" t="s">
        <v>104</v>
      </c>
      <c r="K535" t="s">
        <v>1470</v>
      </c>
      <c r="L535" t="s">
        <v>1471</v>
      </c>
      <c r="M535" t="s">
        <v>47</v>
      </c>
      <c r="N535" t="s">
        <v>25</v>
      </c>
      <c r="O535" t="s">
        <v>26</v>
      </c>
      <c r="P535" t="s">
        <v>27</v>
      </c>
      <c r="Q535" t="s">
        <v>87</v>
      </c>
      <c r="R535" t="s">
        <v>1472</v>
      </c>
      <c r="S535" t="s">
        <v>51</v>
      </c>
      <c r="T535" t="s">
        <v>94</v>
      </c>
      <c r="U535" t="s">
        <v>1473</v>
      </c>
      <c r="V535" s="3">
        <v>2372.37</v>
      </c>
      <c r="W535" s="4">
        <v>6</v>
      </c>
      <c r="X535" s="2">
        <v>0.3</v>
      </c>
      <c r="Y535" s="3">
        <v>-10.6</v>
      </c>
      <c r="Z535" t="str">
        <f t="shared" si="98"/>
        <v>Normal</v>
      </c>
      <c r="AA535" t="str">
        <f t="shared" si="99"/>
        <v>High</v>
      </c>
      <c r="AB535" t="str">
        <f t="shared" si="103"/>
        <v>Loss</v>
      </c>
      <c r="AC535" s="3">
        <f t="shared" si="104"/>
        <v>-4.4681057339285186E-3</v>
      </c>
      <c r="AD535" s="3">
        <f t="shared" si="105"/>
        <v>395.39499999999998</v>
      </c>
      <c r="AE535" s="3">
        <f t="shared" si="106"/>
        <v>-1.7666666666666666</v>
      </c>
      <c r="AF535" t="str">
        <f t="shared" si="107"/>
        <v>Regular</v>
      </c>
    </row>
    <row r="536" spans="1:32" x14ac:dyDescent="0.25">
      <c r="A536" t="s">
        <v>454</v>
      </c>
      <c r="B536" s="1">
        <v>45186</v>
      </c>
      <c r="C536" s="1">
        <v>45190</v>
      </c>
      <c r="D536" s="4">
        <f t="shared" si="96"/>
        <v>4</v>
      </c>
      <c r="E536" s="4" t="str">
        <f>TEXT(Table1[[#This Row],[Order_Date]],"dddd")</f>
        <v>Sunday</v>
      </c>
      <c r="F536" s="4">
        <f t="shared" si="97"/>
        <v>9</v>
      </c>
      <c r="G536" t="str">
        <f t="shared" si="100"/>
        <v>September</v>
      </c>
      <c r="H536">
        <f t="shared" si="101"/>
        <v>2023</v>
      </c>
      <c r="I536" t="str">
        <f t="shared" si="102"/>
        <v>2023-Q3</v>
      </c>
      <c r="J536" t="s">
        <v>21</v>
      </c>
      <c r="K536" t="s">
        <v>455</v>
      </c>
      <c r="L536" t="s">
        <v>456</v>
      </c>
      <c r="M536" t="s">
        <v>36</v>
      </c>
      <c r="N536" t="s">
        <v>25</v>
      </c>
      <c r="O536" t="s">
        <v>99</v>
      </c>
      <c r="P536" t="s">
        <v>74</v>
      </c>
      <c r="Q536" t="s">
        <v>87</v>
      </c>
      <c r="R536" t="s">
        <v>457</v>
      </c>
      <c r="S536" t="s">
        <v>59</v>
      </c>
      <c r="T536" t="s">
        <v>101</v>
      </c>
      <c r="U536" t="s">
        <v>458</v>
      </c>
      <c r="V536" s="3">
        <v>2633.42</v>
      </c>
      <c r="W536" s="4">
        <v>7</v>
      </c>
      <c r="X536" s="2">
        <v>0.3</v>
      </c>
      <c r="Y536" s="3">
        <v>710.57</v>
      </c>
      <c r="Z536" t="str">
        <f t="shared" si="98"/>
        <v>Normal</v>
      </c>
      <c r="AA536" t="str">
        <f t="shared" si="99"/>
        <v>High</v>
      </c>
      <c r="AB536" t="str">
        <f t="shared" si="103"/>
        <v>High Profit</v>
      </c>
      <c r="AC536" s="3">
        <f t="shared" si="104"/>
        <v>0.26982782845121556</v>
      </c>
      <c r="AD536" s="3">
        <f t="shared" si="105"/>
        <v>376.20285714285717</v>
      </c>
      <c r="AE536" s="3">
        <f t="shared" si="106"/>
        <v>101.51</v>
      </c>
      <c r="AF536" t="str">
        <f t="shared" si="107"/>
        <v>Regular</v>
      </c>
    </row>
    <row r="537" spans="1:32" x14ac:dyDescent="0.25">
      <c r="A537" t="s">
        <v>2438</v>
      </c>
      <c r="B537" s="1">
        <v>45187</v>
      </c>
      <c r="C537" s="1">
        <v>45192</v>
      </c>
      <c r="D537" s="4">
        <f t="shared" si="96"/>
        <v>5</v>
      </c>
      <c r="E537" s="4" t="str">
        <f>TEXT(Table1[[#This Row],[Order_Date]],"dddd")</f>
        <v>Monday</v>
      </c>
      <c r="F537" s="4">
        <f t="shared" si="97"/>
        <v>9</v>
      </c>
      <c r="G537" t="str">
        <f t="shared" si="100"/>
        <v>September</v>
      </c>
      <c r="H537">
        <f t="shared" si="101"/>
        <v>2023</v>
      </c>
      <c r="I537" t="str">
        <f t="shared" si="102"/>
        <v>2023-Q3</v>
      </c>
      <c r="J537" t="s">
        <v>55</v>
      </c>
      <c r="K537" t="s">
        <v>2439</v>
      </c>
      <c r="L537" t="s">
        <v>2440</v>
      </c>
      <c r="M537" t="s">
        <v>36</v>
      </c>
      <c r="N537" t="s">
        <v>25</v>
      </c>
      <c r="O537" t="s">
        <v>65</v>
      </c>
      <c r="P537" t="s">
        <v>27</v>
      </c>
      <c r="Q537" t="s">
        <v>28</v>
      </c>
      <c r="R537" t="s">
        <v>2441</v>
      </c>
      <c r="S537" t="s">
        <v>30</v>
      </c>
      <c r="T537" t="s">
        <v>82</v>
      </c>
      <c r="U537" t="s">
        <v>2442</v>
      </c>
      <c r="V537" s="3">
        <v>1468.46</v>
      </c>
      <c r="W537" s="4">
        <v>7</v>
      </c>
      <c r="X537" s="2">
        <v>0</v>
      </c>
      <c r="Y537" s="3">
        <v>241.6</v>
      </c>
      <c r="Z537" t="str">
        <f t="shared" si="98"/>
        <v>Normal</v>
      </c>
      <c r="AA537" t="str">
        <f t="shared" si="99"/>
        <v>Low</v>
      </c>
      <c r="AB537" t="str">
        <f t="shared" si="103"/>
        <v>Low Profit</v>
      </c>
      <c r="AC537" s="3">
        <f t="shared" si="104"/>
        <v>0.16452610217506775</v>
      </c>
      <c r="AD537" s="3">
        <f t="shared" si="105"/>
        <v>209.78</v>
      </c>
      <c r="AE537" s="3">
        <f t="shared" si="106"/>
        <v>34.514285714285712</v>
      </c>
      <c r="AF537" t="str">
        <f t="shared" si="107"/>
        <v>Regular</v>
      </c>
    </row>
    <row r="538" spans="1:32" x14ac:dyDescent="0.25">
      <c r="A538" t="s">
        <v>5352</v>
      </c>
      <c r="B538" s="1">
        <v>45187</v>
      </c>
      <c r="C538" s="1">
        <v>45192</v>
      </c>
      <c r="D538" s="4">
        <f t="shared" si="96"/>
        <v>5</v>
      </c>
      <c r="E538" s="4" t="str">
        <f>TEXT(Table1[[#This Row],[Order_Date]],"dddd")</f>
        <v>Monday</v>
      </c>
      <c r="F538" s="4">
        <f t="shared" si="97"/>
        <v>9</v>
      </c>
      <c r="G538" t="str">
        <f t="shared" si="100"/>
        <v>September</v>
      </c>
      <c r="H538">
        <f t="shared" si="101"/>
        <v>2023</v>
      </c>
      <c r="I538" t="str">
        <f t="shared" si="102"/>
        <v>2023-Q3</v>
      </c>
      <c r="J538" t="s">
        <v>104</v>
      </c>
      <c r="K538" t="s">
        <v>5353</v>
      </c>
      <c r="L538" t="s">
        <v>5354</v>
      </c>
      <c r="M538" t="s">
        <v>24</v>
      </c>
      <c r="N538" t="s">
        <v>25</v>
      </c>
      <c r="O538" t="s">
        <v>65</v>
      </c>
      <c r="P538" t="s">
        <v>27</v>
      </c>
      <c r="Q538" t="s">
        <v>66</v>
      </c>
      <c r="R538" t="s">
        <v>5355</v>
      </c>
      <c r="S538" t="s">
        <v>59</v>
      </c>
      <c r="T538" t="s">
        <v>303</v>
      </c>
      <c r="U538" t="s">
        <v>5356</v>
      </c>
      <c r="V538" s="3">
        <v>815.71</v>
      </c>
      <c r="W538" s="4">
        <v>7</v>
      </c>
      <c r="X538" s="2">
        <v>0.1</v>
      </c>
      <c r="Y538" s="3">
        <v>78.36</v>
      </c>
      <c r="Z538" t="str">
        <f t="shared" si="98"/>
        <v>Normal</v>
      </c>
      <c r="AA538" t="str">
        <f t="shared" si="99"/>
        <v>Medium</v>
      </c>
      <c r="AB538" t="str">
        <f t="shared" si="103"/>
        <v>Low Profit</v>
      </c>
      <c r="AC538" s="3">
        <f t="shared" si="104"/>
        <v>9.6063551997646213E-2</v>
      </c>
      <c r="AD538" s="3">
        <f t="shared" si="105"/>
        <v>116.53</v>
      </c>
      <c r="AE538" s="3">
        <f t="shared" si="106"/>
        <v>11.194285714285714</v>
      </c>
      <c r="AF538" t="str">
        <f t="shared" si="107"/>
        <v>Regular</v>
      </c>
    </row>
    <row r="539" spans="1:32" x14ac:dyDescent="0.25">
      <c r="A539" t="s">
        <v>2491</v>
      </c>
      <c r="B539" s="1">
        <v>45187</v>
      </c>
      <c r="C539" s="1">
        <v>45189</v>
      </c>
      <c r="D539" s="4">
        <f t="shared" si="96"/>
        <v>2</v>
      </c>
      <c r="E539" s="4" t="str">
        <f>TEXT(Table1[[#This Row],[Order_Date]],"dddd")</f>
        <v>Monday</v>
      </c>
      <c r="F539" s="4">
        <f t="shared" si="97"/>
        <v>9</v>
      </c>
      <c r="G539" t="str">
        <f t="shared" si="100"/>
        <v>September</v>
      </c>
      <c r="H539">
        <f t="shared" si="101"/>
        <v>2023</v>
      </c>
      <c r="I539" t="str">
        <f t="shared" si="102"/>
        <v>2023-Q3</v>
      </c>
      <c r="J539" t="s">
        <v>21</v>
      </c>
      <c r="K539" t="s">
        <v>2492</v>
      </c>
      <c r="L539" t="s">
        <v>2493</v>
      </c>
      <c r="M539" t="s">
        <v>36</v>
      </c>
      <c r="N539" t="s">
        <v>25</v>
      </c>
      <c r="O539" t="s">
        <v>26</v>
      </c>
      <c r="P539" t="s">
        <v>27</v>
      </c>
      <c r="Q539" t="s">
        <v>28</v>
      </c>
      <c r="R539" t="s">
        <v>2494</v>
      </c>
      <c r="S539" t="s">
        <v>30</v>
      </c>
      <c r="T539" t="s">
        <v>31</v>
      </c>
      <c r="U539" t="s">
        <v>2093</v>
      </c>
      <c r="V539" s="3">
        <v>2680.72</v>
      </c>
      <c r="W539" s="4">
        <v>6</v>
      </c>
      <c r="X539" s="2">
        <v>0</v>
      </c>
      <c r="Y539" s="3">
        <v>632.78</v>
      </c>
      <c r="Z539" t="str">
        <f t="shared" si="98"/>
        <v>Normal</v>
      </c>
      <c r="AA539" t="str">
        <f t="shared" si="99"/>
        <v>Low</v>
      </c>
      <c r="AB539" t="str">
        <f t="shared" si="103"/>
        <v>High Profit</v>
      </c>
      <c r="AC539" s="3">
        <f t="shared" si="104"/>
        <v>0.23604852427705991</v>
      </c>
      <c r="AD539" s="3">
        <f t="shared" si="105"/>
        <v>446.78666666666663</v>
      </c>
      <c r="AE539" s="3">
        <f t="shared" si="106"/>
        <v>105.46333333333332</v>
      </c>
      <c r="AF539" t="str">
        <f t="shared" si="107"/>
        <v>Regular</v>
      </c>
    </row>
    <row r="540" spans="1:32" x14ac:dyDescent="0.25">
      <c r="A540" t="s">
        <v>268</v>
      </c>
      <c r="B540" s="1">
        <v>45188</v>
      </c>
      <c r="C540" s="1">
        <v>45195</v>
      </c>
      <c r="D540" s="4">
        <f t="shared" si="96"/>
        <v>7</v>
      </c>
      <c r="E540" s="4" t="str">
        <f>TEXT(Table1[[#This Row],[Order_Date]],"dddd")</f>
        <v>Tuesday</v>
      </c>
      <c r="F540" s="4">
        <f t="shared" si="97"/>
        <v>9</v>
      </c>
      <c r="G540" t="str">
        <f t="shared" si="100"/>
        <v>September</v>
      </c>
      <c r="H540">
        <f t="shared" si="101"/>
        <v>2023</v>
      </c>
      <c r="I540" t="str">
        <f t="shared" si="102"/>
        <v>2023-Q3</v>
      </c>
      <c r="J540" t="s">
        <v>104</v>
      </c>
      <c r="K540" t="s">
        <v>269</v>
      </c>
      <c r="L540" t="s">
        <v>270</v>
      </c>
      <c r="M540" t="s">
        <v>24</v>
      </c>
      <c r="N540" t="s">
        <v>25</v>
      </c>
      <c r="O540" t="s">
        <v>65</v>
      </c>
      <c r="P540" t="s">
        <v>27</v>
      </c>
      <c r="Q540" t="s">
        <v>87</v>
      </c>
      <c r="R540" t="s">
        <v>271</v>
      </c>
      <c r="S540" t="s">
        <v>59</v>
      </c>
      <c r="T540" t="s">
        <v>60</v>
      </c>
      <c r="U540" t="s">
        <v>272</v>
      </c>
      <c r="V540" s="3">
        <v>527.53</v>
      </c>
      <c r="W540" s="4">
        <v>10</v>
      </c>
      <c r="X540" s="2">
        <v>0.3</v>
      </c>
      <c r="Y540" s="3">
        <v>106.1</v>
      </c>
      <c r="Z540" t="str">
        <f t="shared" si="98"/>
        <v>Normal</v>
      </c>
      <c r="AA540" t="str">
        <f t="shared" si="99"/>
        <v>High</v>
      </c>
      <c r="AB540" t="str">
        <f t="shared" si="103"/>
        <v>Low Profit</v>
      </c>
      <c r="AC540" s="3">
        <f t="shared" si="104"/>
        <v>0.20112600231266467</v>
      </c>
      <c r="AD540" s="3">
        <f t="shared" si="105"/>
        <v>52.753</v>
      </c>
      <c r="AE540" s="3">
        <f t="shared" si="106"/>
        <v>10.61</v>
      </c>
      <c r="AF540" t="str">
        <f t="shared" si="107"/>
        <v>Regular</v>
      </c>
    </row>
    <row r="541" spans="1:32" x14ac:dyDescent="0.25">
      <c r="A541" t="s">
        <v>90</v>
      </c>
      <c r="B541" s="1">
        <v>45188</v>
      </c>
      <c r="C541" s="1">
        <v>45197</v>
      </c>
      <c r="D541" s="4">
        <f t="shared" si="96"/>
        <v>9</v>
      </c>
      <c r="E541" s="4" t="str">
        <f>TEXT(Table1[[#This Row],[Order_Date]],"dddd")</f>
        <v>Tuesday</v>
      </c>
      <c r="F541" s="4">
        <f t="shared" si="97"/>
        <v>9</v>
      </c>
      <c r="G541" t="str">
        <f t="shared" si="100"/>
        <v>September</v>
      </c>
      <c r="H541">
        <f t="shared" si="101"/>
        <v>2023</v>
      </c>
      <c r="I541" t="str">
        <f t="shared" si="102"/>
        <v>2023-Q3</v>
      </c>
      <c r="J541" t="s">
        <v>44</v>
      </c>
      <c r="K541" t="s">
        <v>91</v>
      </c>
      <c r="L541" t="s">
        <v>92</v>
      </c>
      <c r="M541" t="s">
        <v>36</v>
      </c>
      <c r="N541" t="s">
        <v>25</v>
      </c>
      <c r="O541" t="s">
        <v>80</v>
      </c>
      <c r="P541" t="s">
        <v>49</v>
      </c>
      <c r="Q541" t="s">
        <v>39</v>
      </c>
      <c r="R541" t="s">
        <v>93</v>
      </c>
      <c r="S541" t="s">
        <v>51</v>
      </c>
      <c r="T541" t="s">
        <v>94</v>
      </c>
      <c r="U541" t="s">
        <v>95</v>
      </c>
      <c r="V541" s="3">
        <v>1776.18</v>
      </c>
      <c r="W541" s="4">
        <v>3</v>
      </c>
      <c r="X541" s="2">
        <v>0.2</v>
      </c>
      <c r="Y541" s="3">
        <v>-106.7</v>
      </c>
      <c r="Z541" t="str">
        <f t="shared" si="98"/>
        <v>Normal</v>
      </c>
      <c r="AA541" t="str">
        <f t="shared" si="99"/>
        <v>High</v>
      </c>
      <c r="AB541" t="str">
        <f t="shared" si="103"/>
        <v>Loss</v>
      </c>
      <c r="AC541" s="3">
        <f t="shared" si="104"/>
        <v>-6.0072740375412402E-2</v>
      </c>
      <c r="AD541" s="3">
        <f t="shared" si="105"/>
        <v>592.06000000000006</v>
      </c>
      <c r="AE541" s="3">
        <f t="shared" si="106"/>
        <v>-35.56666666666667</v>
      </c>
      <c r="AF541" t="str">
        <f t="shared" si="107"/>
        <v>Regular</v>
      </c>
    </row>
    <row r="542" spans="1:32" x14ac:dyDescent="0.25">
      <c r="A542" t="s">
        <v>5077</v>
      </c>
      <c r="B542" s="1">
        <v>45188</v>
      </c>
      <c r="C542" s="1">
        <v>45191</v>
      </c>
      <c r="D542" s="4">
        <f t="shared" si="96"/>
        <v>3</v>
      </c>
      <c r="E542" s="4" t="str">
        <f>TEXT(Table1[[#This Row],[Order_Date]],"dddd")</f>
        <v>Tuesday</v>
      </c>
      <c r="F542" s="4">
        <f t="shared" si="97"/>
        <v>9</v>
      </c>
      <c r="G542" t="str">
        <f t="shared" si="100"/>
        <v>September</v>
      </c>
      <c r="H542">
        <f t="shared" si="101"/>
        <v>2023</v>
      </c>
      <c r="I542" t="str">
        <f t="shared" si="102"/>
        <v>2023-Q3</v>
      </c>
      <c r="J542" t="s">
        <v>55</v>
      </c>
      <c r="K542" t="s">
        <v>5078</v>
      </c>
      <c r="L542" t="s">
        <v>5079</v>
      </c>
      <c r="M542" t="s">
        <v>47</v>
      </c>
      <c r="N542" t="s">
        <v>25</v>
      </c>
      <c r="O542" t="s">
        <v>80</v>
      </c>
      <c r="P542" t="s">
        <v>49</v>
      </c>
      <c r="Q542" t="s">
        <v>66</v>
      </c>
      <c r="R542" t="s">
        <v>5080</v>
      </c>
      <c r="S542" t="s">
        <v>30</v>
      </c>
      <c r="T542" t="s">
        <v>31</v>
      </c>
      <c r="U542" t="s">
        <v>5081</v>
      </c>
      <c r="V542" s="3">
        <v>4922.01</v>
      </c>
      <c r="W542" s="4">
        <v>2</v>
      </c>
      <c r="X542" s="2">
        <v>0.3</v>
      </c>
      <c r="Y542" s="3">
        <v>1076.28</v>
      </c>
      <c r="Z542" t="str">
        <f t="shared" si="98"/>
        <v>Outlier</v>
      </c>
      <c r="AA542" t="str">
        <f t="shared" si="99"/>
        <v>High</v>
      </c>
      <c r="AB542" t="str">
        <f t="shared" si="103"/>
        <v>High Profit</v>
      </c>
      <c r="AC542" s="3">
        <f t="shared" si="104"/>
        <v>0.21866676418780132</v>
      </c>
      <c r="AD542" s="3">
        <f t="shared" si="105"/>
        <v>2461.0050000000001</v>
      </c>
      <c r="AE542" s="3">
        <f t="shared" si="106"/>
        <v>538.14</v>
      </c>
      <c r="AF542" t="str">
        <f t="shared" si="107"/>
        <v>Regular</v>
      </c>
    </row>
    <row r="543" spans="1:32" x14ac:dyDescent="0.25">
      <c r="A543" t="s">
        <v>6027</v>
      </c>
      <c r="B543" s="1">
        <v>45188</v>
      </c>
      <c r="C543" s="1">
        <v>45193</v>
      </c>
      <c r="D543" s="4">
        <f t="shared" si="96"/>
        <v>5</v>
      </c>
      <c r="E543" s="4" t="str">
        <f>TEXT(Table1[[#This Row],[Order_Date]],"dddd")</f>
        <v>Tuesday</v>
      </c>
      <c r="F543" s="4">
        <f t="shared" si="97"/>
        <v>9</v>
      </c>
      <c r="G543" t="str">
        <f t="shared" si="100"/>
        <v>September</v>
      </c>
      <c r="H543">
        <f t="shared" si="101"/>
        <v>2023</v>
      </c>
      <c r="I543" t="str">
        <f t="shared" si="102"/>
        <v>2023-Q3</v>
      </c>
      <c r="J543" t="s">
        <v>21</v>
      </c>
      <c r="K543" t="s">
        <v>6028</v>
      </c>
      <c r="L543" t="s">
        <v>6029</v>
      </c>
      <c r="M543" t="s">
        <v>24</v>
      </c>
      <c r="N543" t="s">
        <v>25</v>
      </c>
      <c r="O543" t="s">
        <v>227</v>
      </c>
      <c r="P543" t="s">
        <v>49</v>
      </c>
      <c r="Q543" t="s">
        <v>28</v>
      </c>
      <c r="R543" t="s">
        <v>6030</v>
      </c>
      <c r="S543" t="s">
        <v>30</v>
      </c>
      <c r="T543" t="s">
        <v>31</v>
      </c>
      <c r="U543" t="s">
        <v>6031</v>
      </c>
      <c r="V543" s="3">
        <v>2419.8200000000002</v>
      </c>
      <c r="W543" s="4">
        <v>8</v>
      </c>
      <c r="X543" s="2">
        <v>0.3</v>
      </c>
      <c r="Y543" s="3">
        <v>-329.77</v>
      </c>
      <c r="Z543" t="str">
        <f t="shared" si="98"/>
        <v>Normal</v>
      </c>
      <c r="AA543" t="str">
        <f t="shared" si="99"/>
        <v>High</v>
      </c>
      <c r="AB543" t="str">
        <f t="shared" si="103"/>
        <v>Loss</v>
      </c>
      <c r="AC543" s="3">
        <f t="shared" si="104"/>
        <v>-0.13627873147589489</v>
      </c>
      <c r="AD543" s="3">
        <f t="shared" si="105"/>
        <v>302.47750000000002</v>
      </c>
      <c r="AE543" s="3">
        <f t="shared" si="106"/>
        <v>-41.221249999999998</v>
      </c>
      <c r="AF543" t="str">
        <f t="shared" si="107"/>
        <v>Regular</v>
      </c>
    </row>
    <row r="544" spans="1:32" x14ac:dyDescent="0.25">
      <c r="A544" t="s">
        <v>1529</v>
      </c>
      <c r="B544" s="1">
        <v>45189</v>
      </c>
      <c r="C544" s="1">
        <v>45193</v>
      </c>
      <c r="D544" s="4">
        <f t="shared" si="96"/>
        <v>4</v>
      </c>
      <c r="E544" s="4" t="str">
        <f>TEXT(Table1[[#This Row],[Order_Date]],"dddd")</f>
        <v>Wednesday</v>
      </c>
      <c r="F544" s="4">
        <f t="shared" si="97"/>
        <v>9</v>
      </c>
      <c r="G544" t="str">
        <f t="shared" si="100"/>
        <v>September</v>
      </c>
      <c r="H544">
        <f t="shared" si="101"/>
        <v>2023</v>
      </c>
      <c r="I544" t="str">
        <f t="shared" si="102"/>
        <v>2023-Q3</v>
      </c>
      <c r="J544" t="s">
        <v>104</v>
      </c>
      <c r="K544" t="s">
        <v>1530</v>
      </c>
      <c r="L544" t="s">
        <v>1531</v>
      </c>
      <c r="M544" t="s">
        <v>24</v>
      </c>
      <c r="N544" t="s">
        <v>25</v>
      </c>
      <c r="O544" t="s">
        <v>142</v>
      </c>
      <c r="P544" t="s">
        <v>143</v>
      </c>
      <c r="Q544" t="s">
        <v>87</v>
      </c>
      <c r="R544" t="s">
        <v>1532</v>
      </c>
      <c r="S544" t="s">
        <v>30</v>
      </c>
      <c r="T544" t="s">
        <v>41</v>
      </c>
      <c r="U544" t="s">
        <v>1533</v>
      </c>
      <c r="V544" s="3">
        <v>2775.26</v>
      </c>
      <c r="W544" s="4">
        <v>8</v>
      </c>
      <c r="X544" s="2">
        <v>0</v>
      </c>
      <c r="Y544" s="3">
        <v>780.08</v>
      </c>
      <c r="Z544" t="str">
        <f t="shared" si="98"/>
        <v>Normal</v>
      </c>
      <c r="AA544" t="str">
        <f t="shared" si="99"/>
        <v>Low</v>
      </c>
      <c r="AB544" t="str">
        <f t="shared" si="103"/>
        <v>High Profit</v>
      </c>
      <c r="AC544" s="3">
        <f t="shared" si="104"/>
        <v>0.281083574151611</v>
      </c>
      <c r="AD544" s="3">
        <f t="shared" si="105"/>
        <v>346.90750000000003</v>
      </c>
      <c r="AE544" s="3">
        <f t="shared" si="106"/>
        <v>97.51</v>
      </c>
      <c r="AF544" t="str">
        <f t="shared" si="107"/>
        <v>Regular</v>
      </c>
    </row>
    <row r="545" spans="1:32" x14ac:dyDescent="0.25">
      <c r="A545" t="s">
        <v>385</v>
      </c>
      <c r="B545" s="1">
        <v>45189</v>
      </c>
      <c r="C545" s="1">
        <v>45196</v>
      </c>
      <c r="D545" s="4">
        <f t="shared" si="96"/>
        <v>7</v>
      </c>
      <c r="E545" s="4" t="str">
        <f>TEXT(Table1[[#This Row],[Order_Date]],"dddd")</f>
        <v>Wednesday</v>
      </c>
      <c r="F545" s="4">
        <f t="shared" si="97"/>
        <v>9</v>
      </c>
      <c r="G545" t="str">
        <f t="shared" si="100"/>
        <v>September</v>
      </c>
      <c r="H545">
        <f t="shared" si="101"/>
        <v>2023</v>
      </c>
      <c r="I545" t="str">
        <f t="shared" si="102"/>
        <v>2023-Q3</v>
      </c>
      <c r="J545" t="s">
        <v>104</v>
      </c>
      <c r="K545" t="s">
        <v>386</v>
      </c>
      <c r="L545" t="s">
        <v>387</v>
      </c>
      <c r="M545" t="s">
        <v>24</v>
      </c>
      <c r="N545" t="s">
        <v>25</v>
      </c>
      <c r="O545" t="s">
        <v>80</v>
      </c>
      <c r="P545" t="s">
        <v>49</v>
      </c>
      <c r="Q545" t="s">
        <v>66</v>
      </c>
      <c r="R545" t="s">
        <v>388</v>
      </c>
      <c r="S545" t="s">
        <v>51</v>
      </c>
      <c r="T545" t="s">
        <v>127</v>
      </c>
      <c r="U545" t="s">
        <v>389</v>
      </c>
      <c r="V545" s="3">
        <v>2726.31</v>
      </c>
      <c r="W545" s="4">
        <v>3</v>
      </c>
      <c r="X545" s="2">
        <v>0.3</v>
      </c>
      <c r="Y545" s="3">
        <v>345.8</v>
      </c>
      <c r="Z545" t="str">
        <f t="shared" si="98"/>
        <v>Normal</v>
      </c>
      <c r="AA545" t="str">
        <f t="shared" si="99"/>
        <v>High</v>
      </c>
      <c r="AB545" t="str">
        <f t="shared" si="103"/>
        <v>Low Profit</v>
      </c>
      <c r="AC545" s="3">
        <f t="shared" si="104"/>
        <v>0.12683810718516972</v>
      </c>
      <c r="AD545" s="3">
        <f t="shared" si="105"/>
        <v>908.77</v>
      </c>
      <c r="AE545" s="3">
        <f t="shared" si="106"/>
        <v>115.26666666666667</v>
      </c>
      <c r="AF545" t="str">
        <f t="shared" si="107"/>
        <v>Regular</v>
      </c>
    </row>
    <row r="546" spans="1:32" x14ac:dyDescent="0.25">
      <c r="A546" t="s">
        <v>6989</v>
      </c>
      <c r="B546" s="1">
        <v>45190</v>
      </c>
      <c r="C546" s="1">
        <v>45191</v>
      </c>
      <c r="D546" s="4">
        <f t="shared" si="96"/>
        <v>1</v>
      </c>
      <c r="E546" s="4" t="str">
        <f>TEXT(Table1[[#This Row],[Order_Date]],"dddd")</f>
        <v>Thursday</v>
      </c>
      <c r="F546" s="4">
        <f t="shared" si="97"/>
        <v>9</v>
      </c>
      <c r="G546" t="str">
        <f t="shared" si="100"/>
        <v>September</v>
      </c>
      <c r="H546">
        <f t="shared" si="101"/>
        <v>2023</v>
      </c>
      <c r="I546" t="str">
        <f t="shared" si="102"/>
        <v>2023-Q3</v>
      </c>
      <c r="J546" t="s">
        <v>55</v>
      </c>
      <c r="K546" t="s">
        <v>6990</v>
      </c>
      <c r="L546" t="s">
        <v>6991</v>
      </c>
      <c r="M546" t="s">
        <v>36</v>
      </c>
      <c r="N546" t="s">
        <v>25</v>
      </c>
      <c r="O546" t="s">
        <v>201</v>
      </c>
      <c r="P546" t="s">
        <v>113</v>
      </c>
      <c r="Q546" t="s">
        <v>66</v>
      </c>
      <c r="R546" t="s">
        <v>6992</v>
      </c>
      <c r="S546" t="s">
        <v>30</v>
      </c>
      <c r="T546" t="s">
        <v>82</v>
      </c>
      <c r="U546" t="s">
        <v>6993</v>
      </c>
      <c r="V546" s="3">
        <v>3994.21</v>
      </c>
      <c r="W546" s="4">
        <v>10</v>
      </c>
      <c r="X546" s="2">
        <v>0.4</v>
      </c>
      <c r="Y546" s="3">
        <v>77.55</v>
      </c>
      <c r="Z546" t="str">
        <f t="shared" si="98"/>
        <v>Normal</v>
      </c>
      <c r="AA546" t="str">
        <f t="shared" si="99"/>
        <v>High</v>
      </c>
      <c r="AB546" t="str">
        <f t="shared" si="103"/>
        <v>Low Profit</v>
      </c>
      <c r="AC546" s="3">
        <f t="shared" si="104"/>
        <v>1.9415604086915811E-2</v>
      </c>
      <c r="AD546" s="3">
        <f t="shared" si="105"/>
        <v>399.42099999999999</v>
      </c>
      <c r="AE546" s="3">
        <f t="shared" si="106"/>
        <v>7.7549999999999999</v>
      </c>
      <c r="AF546" t="str">
        <f t="shared" si="107"/>
        <v>Regular</v>
      </c>
    </row>
    <row r="547" spans="1:32" x14ac:dyDescent="0.25">
      <c r="A547" t="s">
        <v>5736</v>
      </c>
      <c r="B547" s="1">
        <v>45190</v>
      </c>
      <c r="C547" s="1">
        <v>45196</v>
      </c>
      <c r="D547" s="4">
        <f t="shared" si="96"/>
        <v>6</v>
      </c>
      <c r="E547" s="4" t="str">
        <f>TEXT(Table1[[#This Row],[Order_Date]],"dddd")</f>
        <v>Thursday</v>
      </c>
      <c r="F547" s="4">
        <f t="shared" si="97"/>
        <v>9</v>
      </c>
      <c r="G547" t="str">
        <f t="shared" si="100"/>
        <v>September</v>
      </c>
      <c r="H547">
        <f t="shared" si="101"/>
        <v>2023</v>
      </c>
      <c r="I547" t="str">
        <f t="shared" si="102"/>
        <v>2023-Q3</v>
      </c>
      <c r="J547" t="s">
        <v>104</v>
      </c>
      <c r="K547" t="s">
        <v>5737</v>
      </c>
      <c r="L547" t="s">
        <v>5738</v>
      </c>
      <c r="M547" t="s">
        <v>47</v>
      </c>
      <c r="N547" t="s">
        <v>25</v>
      </c>
      <c r="O547" t="s">
        <v>149</v>
      </c>
      <c r="P547" t="s">
        <v>113</v>
      </c>
      <c r="Q547" t="s">
        <v>66</v>
      </c>
      <c r="R547" t="s">
        <v>5739</v>
      </c>
      <c r="S547" t="s">
        <v>30</v>
      </c>
      <c r="T547" t="s">
        <v>41</v>
      </c>
      <c r="U547" t="s">
        <v>5740</v>
      </c>
      <c r="V547" s="3">
        <v>3387.69</v>
      </c>
      <c r="W547" s="4">
        <v>9</v>
      </c>
      <c r="X547" s="2">
        <v>0</v>
      </c>
      <c r="Y547" s="3">
        <v>519.16</v>
      </c>
      <c r="Z547" t="str">
        <f t="shared" si="98"/>
        <v>Normal</v>
      </c>
      <c r="AA547" t="str">
        <f t="shared" si="99"/>
        <v>Low</v>
      </c>
      <c r="AB547" t="str">
        <f t="shared" si="103"/>
        <v>High Profit</v>
      </c>
      <c r="AC547" s="3">
        <f t="shared" si="104"/>
        <v>0.15324896906151389</v>
      </c>
      <c r="AD547" s="3">
        <f t="shared" si="105"/>
        <v>376.41</v>
      </c>
      <c r="AE547" s="3">
        <f t="shared" si="106"/>
        <v>57.684444444444438</v>
      </c>
      <c r="AF547" t="str">
        <f t="shared" si="107"/>
        <v>Regular</v>
      </c>
    </row>
    <row r="548" spans="1:32" x14ac:dyDescent="0.25">
      <c r="A548" t="s">
        <v>20</v>
      </c>
      <c r="B548" s="1">
        <v>45191</v>
      </c>
      <c r="C548" s="1">
        <v>45192</v>
      </c>
      <c r="D548" s="4">
        <f t="shared" si="96"/>
        <v>1</v>
      </c>
      <c r="E548" s="4" t="str">
        <f>TEXT(Table1[[#This Row],[Order_Date]],"dddd")</f>
        <v>Friday</v>
      </c>
      <c r="F548" s="4">
        <f t="shared" si="97"/>
        <v>9</v>
      </c>
      <c r="G548" t="str">
        <f t="shared" si="100"/>
        <v>September</v>
      </c>
      <c r="H548">
        <f t="shared" si="101"/>
        <v>2023</v>
      </c>
      <c r="I548" t="str">
        <f t="shared" si="102"/>
        <v>2023-Q3</v>
      </c>
      <c r="J548" t="s">
        <v>21</v>
      </c>
      <c r="K548" t="s">
        <v>22</v>
      </c>
      <c r="L548" t="s">
        <v>23</v>
      </c>
      <c r="M548" t="s">
        <v>24</v>
      </c>
      <c r="N548" t="s">
        <v>25</v>
      </c>
      <c r="O548" t="s">
        <v>26</v>
      </c>
      <c r="P548" t="s">
        <v>27</v>
      </c>
      <c r="Q548" t="s">
        <v>28</v>
      </c>
      <c r="R548" t="s">
        <v>29</v>
      </c>
      <c r="S548" t="s">
        <v>30</v>
      </c>
      <c r="T548" t="s">
        <v>31</v>
      </c>
      <c r="U548" t="s">
        <v>32</v>
      </c>
      <c r="V548" s="3">
        <v>2558.8000000000002</v>
      </c>
      <c r="W548" s="4">
        <v>1</v>
      </c>
      <c r="X548" s="2">
        <v>0.3</v>
      </c>
      <c r="Y548" s="3">
        <v>587.70000000000005</v>
      </c>
      <c r="Z548" t="str">
        <f t="shared" si="98"/>
        <v>Normal</v>
      </c>
      <c r="AA548" t="str">
        <f t="shared" si="99"/>
        <v>High</v>
      </c>
      <c r="AB548" t="str">
        <f t="shared" si="103"/>
        <v>High Profit</v>
      </c>
      <c r="AC548" s="3">
        <f t="shared" si="104"/>
        <v>0.2296779740503361</v>
      </c>
      <c r="AD548" s="3">
        <f t="shared" si="105"/>
        <v>2558.8000000000002</v>
      </c>
      <c r="AE548" s="3">
        <f t="shared" si="106"/>
        <v>587.70000000000005</v>
      </c>
      <c r="AF548" t="str">
        <f t="shared" si="107"/>
        <v>Regular</v>
      </c>
    </row>
    <row r="549" spans="1:32" x14ac:dyDescent="0.25">
      <c r="A549" t="s">
        <v>7347</v>
      </c>
      <c r="B549" s="1">
        <v>45191</v>
      </c>
      <c r="C549" s="1">
        <v>45193</v>
      </c>
      <c r="D549" s="4">
        <f t="shared" si="96"/>
        <v>2</v>
      </c>
      <c r="E549" s="4" t="str">
        <f>TEXT(Table1[[#This Row],[Order_Date]],"dddd")</f>
        <v>Friday</v>
      </c>
      <c r="F549" s="4">
        <f t="shared" si="97"/>
        <v>9</v>
      </c>
      <c r="G549" t="str">
        <f t="shared" si="100"/>
        <v>September</v>
      </c>
      <c r="H549">
        <f t="shared" si="101"/>
        <v>2023</v>
      </c>
      <c r="I549" t="str">
        <f t="shared" si="102"/>
        <v>2023-Q3</v>
      </c>
      <c r="J549" t="s">
        <v>44</v>
      </c>
      <c r="K549" t="s">
        <v>7348</v>
      </c>
      <c r="L549" t="s">
        <v>7349</v>
      </c>
      <c r="M549" t="s">
        <v>47</v>
      </c>
      <c r="N549" t="s">
        <v>25</v>
      </c>
      <c r="O549" t="s">
        <v>113</v>
      </c>
      <c r="P549" t="s">
        <v>113</v>
      </c>
      <c r="Q549" t="s">
        <v>66</v>
      </c>
      <c r="R549" t="s">
        <v>7350</v>
      </c>
      <c r="S549" t="s">
        <v>51</v>
      </c>
      <c r="T549" t="s">
        <v>52</v>
      </c>
      <c r="U549" t="s">
        <v>7351</v>
      </c>
      <c r="V549" s="3">
        <v>1221.05</v>
      </c>
      <c r="W549" s="4">
        <v>3</v>
      </c>
      <c r="X549" s="2">
        <v>0</v>
      </c>
      <c r="Y549" s="3">
        <v>363.26</v>
      </c>
      <c r="Z549" t="str">
        <f t="shared" si="98"/>
        <v>Normal</v>
      </c>
      <c r="AA549" t="str">
        <f t="shared" si="99"/>
        <v>Low</v>
      </c>
      <c r="AB549" t="str">
        <f t="shared" si="103"/>
        <v>Low Profit</v>
      </c>
      <c r="AC549" s="3">
        <f t="shared" si="104"/>
        <v>0.29749805495270465</v>
      </c>
      <c r="AD549" s="3">
        <f t="shared" si="105"/>
        <v>407.01666666666665</v>
      </c>
      <c r="AE549" s="3">
        <f t="shared" si="106"/>
        <v>121.08666666666666</v>
      </c>
      <c r="AF549" t="str">
        <f t="shared" si="107"/>
        <v>Regular</v>
      </c>
    </row>
    <row r="550" spans="1:32" x14ac:dyDescent="0.25">
      <c r="A550" t="s">
        <v>4217</v>
      </c>
      <c r="B550" s="1">
        <v>45194</v>
      </c>
      <c r="C550" s="1">
        <v>45200</v>
      </c>
      <c r="D550" s="4">
        <f t="shared" si="96"/>
        <v>6</v>
      </c>
      <c r="E550" s="4" t="str">
        <f>TEXT(Table1[[#This Row],[Order_Date]],"dddd")</f>
        <v>Monday</v>
      </c>
      <c r="F550" s="4">
        <f t="shared" si="97"/>
        <v>9</v>
      </c>
      <c r="G550" t="str">
        <f t="shared" si="100"/>
        <v>September</v>
      </c>
      <c r="H550">
        <f t="shared" si="101"/>
        <v>2023</v>
      </c>
      <c r="I550" t="str">
        <f t="shared" si="102"/>
        <v>2023-Q3</v>
      </c>
      <c r="J550" t="s">
        <v>21</v>
      </c>
      <c r="K550" t="s">
        <v>4218</v>
      </c>
      <c r="L550" t="s">
        <v>4219</v>
      </c>
      <c r="M550" t="s">
        <v>24</v>
      </c>
      <c r="N550" t="s">
        <v>25</v>
      </c>
      <c r="O550" t="s">
        <v>113</v>
      </c>
      <c r="P550" t="s">
        <v>113</v>
      </c>
      <c r="Q550" t="s">
        <v>28</v>
      </c>
      <c r="R550" t="s">
        <v>4220</v>
      </c>
      <c r="S550" t="s">
        <v>51</v>
      </c>
      <c r="T550" t="s">
        <v>94</v>
      </c>
      <c r="U550" t="s">
        <v>4221</v>
      </c>
      <c r="V550" s="3">
        <v>4993.9799999999996</v>
      </c>
      <c r="W550" s="4">
        <v>5</v>
      </c>
      <c r="X550" s="2">
        <v>0.4</v>
      </c>
      <c r="Y550" s="3">
        <v>-581.34</v>
      </c>
      <c r="Z550" t="str">
        <f t="shared" si="98"/>
        <v>Normal</v>
      </c>
      <c r="AA550" t="str">
        <f t="shared" si="99"/>
        <v>High</v>
      </c>
      <c r="AB550" t="str">
        <f t="shared" si="103"/>
        <v>Loss</v>
      </c>
      <c r="AC550" s="3">
        <f t="shared" si="104"/>
        <v>-0.11640815541912464</v>
      </c>
      <c r="AD550" s="3">
        <f t="shared" si="105"/>
        <v>998.79599999999994</v>
      </c>
      <c r="AE550" s="3">
        <f t="shared" si="106"/>
        <v>-116.268</v>
      </c>
      <c r="AF550" t="str">
        <f t="shared" si="107"/>
        <v>Regular</v>
      </c>
    </row>
    <row r="551" spans="1:32" x14ac:dyDescent="0.25">
      <c r="A551" t="s">
        <v>6258</v>
      </c>
      <c r="B551" s="1">
        <v>45195</v>
      </c>
      <c r="C551" s="1">
        <v>45202</v>
      </c>
      <c r="D551" s="4">
        <f t="shared" si="96"/>
        <v>7</v>
      </c>
      <c r="E551" s="4" t="str">
        <f>TEXT(Table1[[#This Row],[Order_Date]],"dddd")</f>
        <v>Tuesday</v>
      </c>
      <c r="F551" s="4">
        <f t="shared" si="97"/>
        <v>9</v>
      </c>
      <c r="G551" t="str">
        <f t="shared" si="100"/>
        <v>September</v>
      </c>
      <c r="H551">
        <f t="shared" si="101"/>
        <v>2023</v>
      </c>
      <c r="I551" t="str">
        <f t="shared" si="102"/>
        <v>2023-Q3</v>
      </c>
      <c r="J551" t="s">
        <v>44</v>
      </c>
      <c r="K551" t="s">
        <v>6259</v>
      </c>
      <c r="L551" t="s">
        <v>6260</v>
      </c>
      <c r="M551" t="s">
        <v>24</v>
      </c>
      <c r="N551" t="s">
        <v>25</v>
      </c>
      <c r="O551" t="s">
        <v>119</v>
      </c>
      <c r="P551" t="s">
        <v>120</v>
      </c>
      <c r="Q551" t="s">
        <v>28</v>
      </c>
      <c r="R551" t="s">
        <v>6261</v>
      </c>
      <c r="S551" t="s">
        <v>51</v>
      </c>
      <c r="T551" t="s">
        <v>94</v>
      </c>
      <c r="U551" t="s">
        <v>6262</v>
      </c>
      <c r="V551" s="3">
        <v>1089.6600000000001</v>
      </c>
      <c r="W551" s="4">
        <v>4</v>
      </c>
      <c r="X551" s="2">
        <v>0.2</v>
      </c>
      <c r="Y551" s="3">
        <v>59.23</v>
      </c>
      <c r="Z551" t="str">
        <f t="shared" si="98"/>
        <v>Normal</v>
      </c>
      <c r="AA551" t="str">
        <f t="shared" si="99"/>
        <v>High</v>
      </c>
      <c r="AB551" t="str">
        <f t="shared" si="103"/>
        <v>Low Profit</v>
      </c>
      <c r="AC551" s="3">
        <f t="shared" si="104"/>
        <v>5.435640475010553E-2</v>
      </c>
      <c r="AD551" s="3">
        <f t="shared" si="105"/>
        <v>272.41500000000002</v>
      </c>
      <c r="AE551" s="3">
        <f t="shared" si="106"/>
        <v>14.807499999999999</v>
      </c>
      <c r="AF551" t="str">
        <f t="shared" si="107"/>
        <v>Regular</v>
      </c>
    </row>
    <row r="552" spans="1:32" x14ac:dyDescent="0.25">
      <c r="A552" t="s">
        <v>4985</v>
      </c>
      <c r="B552" s="1">
        <v>45196</v>
      </c>
      <c r="C552" s="1">
        <v>45205</v>
      </c>
      <c r="D552" s="4">
        <f t="shared" si="96"/>
        <v>9</v>
      </c>
      <c r="E552" s="4" t="str">
        <f>TEXT(Table1[[#This Row],[Order_Date]],"dddd")</f>
        <v>Wednesday</v>
      </c>
      <c r="F552" s="4">
        <f t="shared" si="97"/>
        <v>9</v>
      </c>
      <c r="G552" t="str">
        <f t="shared" si="100"/>
        <v>September</v>
      </c>
      <c r="H552">
        <f t="shared" si="101"/>
        <v>2023</v>
      </c>
      <c r="I552" t="str">
        <f t="shared" si="102"/>
        <v>2023-Q3</v>
      </c>
      <c r="J552" t="s">
        <v>21</v>
      </c>
      <c r="K552" t="s">
        <v>4986</v>
      </c>
      <c r="L552" t="s">
        <v>4987</v>
      </c>
      <c r="M552" t="s">
        <v>24</v>
      </c>
      <c r="N552" t="s">
        <v>25</v>
      </c>
      <c r="O552" t="s">
        <v>119</v>
      </c>
      <c r="P552" t="s">
        <v>120</v>
      </c>
      <c r="Q552" t="s">
        <v>28</v>
      </c>
      <c r="R552" t="s">
        <v>4988</v>
      </c>
      <c r="S552" t="s">
        <v>30</v>
      </c>
      <c r="T552" t="s">
        <v>82</v>
      </c>
      <c r="U552" t="s">
        <v>4989</v>
      </c>
      <c r="V552" s="3">
        <v>4692.21</v>
      </c>
      <c r="W552" s="4">
        <v>5</v>
      </c>
      <c r="X552" s="2">
        <v>0.1</v>
      </c>
      <c r="Y552" s="3">
        <v>77.739999999999995</v>
      </c>
      <c r="Z552" t="str">
        <f t="shared" si="98"/>
        <v>Normal</v>
      </c>
      <c r="AA552" t="str">
        <f t="shared" si="99"/>
        <v>Medium</v>
      </c>
      <c r="AB552" t="str">
        <f t="shared" si="103"/>
        <v>Low Profit</v>
      </c>
      <c r="AC552" s="3">
        <f t="shared" si="104"/>
        <v>1.6567885921559351E-2</v>
      </c>
      <c r="AD552" s="3">
        <f t="shared" si="105"/>
        <v>938.44200000000001</v>
      </c>
      <c r="AE552" s="3">
        <f t="shared" si="106"/>
        <v>15.547999999999998</v>
      </c>
      <c r="AF552" t="str">
        <f t="shared" si="107"/>
        <v>Regular</v>
      </c>
    </row>
    <row r="553" spans="1:32" x14ac:dyDescent="0.25">
      <c r="A553" t="s">
        <v>1588</v>
      </c>
      <c r="B553" s="1">
        <v>45196</v>
      </c>
      <c r="C553" s="1">
        <v>45201</v>
      </c>
      <c r="D553" s="4">
        <f t="shared" si="96"/>
        <v>5</v>
      </c>
      <c r="E553" s="4" t="str">
        <f>TEXT(Table1[[#This Row],[Order_Date]],"dddd")</f>
        <v>Wednesday</v>
      </c>
      <c r="F553" s="4">
        <f t="shared" si="97"/>
        <v>9</v>
      </c>
      <c r="G553" t="str">
        <f t="shared" si="100"/>
        <v>September</v>
      </c>
      <c r="H553">
        <f t="shared" si="101"/>
        <v>2023</v>
      </c>
      <c r="I553" t="str">
        <f t="shared" si="102"/>
        <v>2023-Q3</v>
      </c>
      <c r="J553" t="s">
        <v>21</v>
      </c>
      <c r="K553" t="s">
        <v>1589</v>
      </c>
      <c r="L553" t="s">
        <v>1590</v>
      </c>
      <c r="M553" t="s">
        <v>24</v>
      </c>
      <c r="N553" t="s">
        <v>25</v>
      </c>
      <c r="O553" t="s">
        <v>611</v>
      </c>
      <c r="P553" t="s">
        <v>74</v>
      </c>
      <c r="Q553" t="s">
        <v>87</v>
      </c>
      <c r="R553" t="s">
        <v>1591</v>
      </c>
      <c r="S553" t="s">
        <v>30</v>
      </c>
      <c r="T553" t="s">
        <v>68</v>
      </c>
      <c r="U553" t="s">
        <v>1592</v>
      </c>
      <c r="V553" s="3">
        <v>2480.1799999999998</v>
      </c>
      <c r="W553" s="4">
        <v>9</v>
      </c>
      <c r="X553" s="2">
        <v>0.4</v>
      </c>
      <c r="Y553" s="3">
        <v>708.76</v>
      </c>
      <c r="Z553" t="str">
        <f t="shared" si="98"/>
        <v>Normal</v>
      </c>
      <c r="AA553" t="str">
        <f t="shared" si="99"/>
        <v>High</v>
      </c>
      <c r="AB553" t="str">
        <f t="shared" si="103"/>
        <v>High Profit</v>
      </c>
      <c r="AC553" s="3">
        <f t="shared" si="104"/>
        <v>0.28576958124007129</v>
      </c>
      <c r="AD553" s="3">
        <f t="shared" si="105"/>
        <v>275.57555555555552</v>
      </c>
      <c r="AE553" s="3">
        <f t="shared" si="106"/>
        <v>78.751111111111115</v>
      </c>
      <c r="AF553" t="str">
        <f t="shared" si="107"/>
        <v>Regular</v>
      </c>
    </row>
    <row r="554" spans="1:32" x14ac:dyDescent="0.25">
      <c r="A554" t="s">
        <v>7056</v>
      </c>
      <c r="B554" s="1">
        <v>45197</v>
      </c>
      <c r="C554" s="1">
        <v>45199</v>
      </c>
      <c r="D554" s="4">
        <f t="shared" si="96"/>
        <v>2</v>
      </c>
      <c r="E554" s="4" t="str">
        <f>TEXT(Table1[[#This Row],[Order_Date]],"dddd")</f>
        <v>Thursday</v>
      </c>
      <c r="F554" s="4">
        <f t="shared" si="97"/>
        <v>9</v>
      </c>
      <c r="G554" t="str">
        <f t="shared" si="100"/>
        <v>September</v>
      </c>
      <c r="H554">
        <f t="shared" si="101"/>
        <v>2023</v>
      </c>
      <c r="I554" t="str">
        <f t="shared" si="102"/>
        <v>2023-Q3</v>
      </c>
      <c r="J554" t="s">
        <v>44</v>
      </c>
      <c r="K554" t="s">
        <v>7057</v>
      </c>
      <c r="L554" t="s">
        <v>7058</v>
      </c>
      <c r="M554" t="s">
        <v>36</v>
      </c>
      <c r="N554" t="s">
        <v>25</v>
      </c>
      <c r="O554" t="s">
        <v>511</v>
      </c>
      <c r="P554" t="s">
        <v>120</v>
      </c>
      <c r="Q554" t="s">
        <v>87</v>
      </c>
      <c r="R554" t="s">
        <v>7059</v>
      </c>
      <c r="S554" t="s">
        <v>59</v>
      </c>
      <c r="T554" t="s">
        <v>60</v>
      </c>
      <c r="U554" t="s">
        <v>7060</v>
      </c>
      <c r="V554" s="3">
        <v>2467.31</v>
      </c>
      <c r="W554" s="4">
        <v>9</v>
      </c>
      <c r="X554" s="2">
        <v>0.2</v>
      </c>
      <c r="Y554" s="3">
        <v>426.98</v>
      </c>
      <c r="Z554" t="str">
        <f t="shared" si="98"/>
        <v>Normal</v>
      </c>
      <c r="AA554" t="str">
        <f t="shared" si="99"/>
        <v>High</v>
      </c>
      <c r="AB554" t="str">
        <f t="shared" si="103"/>
        <v>Low Profit</v>
      </c>
      <c r="AC554" s="3">
        <f t="shared" si="104"/>
        <v>0.17305486542023502</v>
      </c>
      <c r="AD554" s="3">
        <f t="shared" si="105"/>
        <v>274.14555555555557</v>
      </c>
      <c r="AE554" s="3">
        <f t="shared" si="106"/>
        <v>47.442222222222227</v>
      </c>
      <c r="AF554" t="str">
        <f t="shared" si="107"/>
        <v>Regular</v>
      </c>
    </row>
    <row r="555" spans="1:32" x14ac:dyDescent="0.25">
      <c r="A555" t="s">
        <v>6510</v>
      </c>
      <c r="B555" s="1">
        <v>45197</v>
      </c>
      <c r="C555" s="1">
        <v>45202</v>
      </c>
      <c r="D555" s="4">
        <f t="shared" si="96"/>
        <v>5</v>
      </c>
      <c r="E555" s="4" t="str">
        <f>TEXT(Table1[[#This Row],[Order_Date]],"dddd")</f>
        <v>Thursday</v>
      </c>
      <c r="F555" s="4">
        <f t="shared" si="97"/>
        <v>9</v>
      </c>
      <c r="G555" t="str">
        <f t="shared" si="100"/>
        <v>September</v>
      </c>
      <c r="H555">
        <f t="shared" si="101"/>
        <v>2023</v>
      </c>
      <c r="I555" t="str">
        <f t="shared" si="102"/>
        <v>2023-Q3</v>
      </c>
      <c r="J555" t="s">
        <v>44</v>
      </c>
      <c r="K555" t="s">
        <v>6511</v>
      </c>
      <c r="L555" t="s">
        <v>6512</v>
      </c>
      <c r="M555" t="s">
        <v>36</v>
      </c>
      <c r="N555" t="s">
        <v>25</v>
      </c>
      <c r="O555" t="s">
        <v>142</v>
      </c>
      <c r="P555" t="s">
        <v>143</v>
      </c>
      <c r="Q555" t="s">
        <v>39</v>
      </c>
      <c r="R555" t="s">
        <v>6513</v>
      </c>
      <c r="S555" t="s">
        <v>51</v>
      </c>
      <c r="T555" t="s">
        <v>108</v>
      </c>
      <c r="U555" t="s">
        <v>6514</v>
      </c>
      <c r="V555" s="3">
        <v>1956.67</v>
      </c>
      <c r="W555" s="4">
        <v>10</v>
      </c>
      <c r="X555" s="2">
        <v>0.4</v>
      </c>
      <c r="Y555" s="3">
        <v>353.35</v>
      </c>
      <c r="Z555" t="str">
        <f t="shared" si="98"/>
        <v>Normal</v>
      </c>
      <c r="AA555" t="str">
        <f t="shared" si="99"/>
        <v>High</v>
      </c>
      <c r="AB555" t="str">
        <f t="shared" si="103"/>
        <v>Low Profit</v>
      </c>
      <c r="AC555" s="3">
        <f t="shared" si="104"/>
        <v>0.18058742659722898</v>
      </c>
      <c r="AD555" s="3">
        <f t="shared" si="105"/>
        <v>195.667</v>
      </c>
      <c r="AE555" s="3">
        <f t="shared" si="106"/>
        <v>35.335000000000001</v>
      </c>
      <c r="AF555" t="str">
        <f t="shared" si="107"/>
        <v>Regular</v>
      </c>
    </row>
    <row r="556" spans="1:32" x14ac:dyDescent="0.25">
      <c r="A556" t="s">
        <v>5603</v>
      </c>
      <c r="B556" s="1">
        <v>45197</v>
      </c>
      <c r="C556" s="1">
        <v>45198</v>
      </c>
      <c r="D556" s="4">
        <f t="shared" si="96"/>
        <v>1</v>
      </c>
      <c r="E556" s="4" t="str">
        <f>TEXT(Table1[[#This Row],[Order_Date]],"dddd")</f>
        <v>Thursday</v>
      </c>
      <c r="F556" s="4">
        <f t="shared" si="97"/>
        <v>9</v>
      </c>
      <c r="G556" t="str">
        <f t="shared" si="100"/>
        <v>September</v>
      </c>
      <c r="H556">
        <f t="shared" si="101"/>
        <v>2023</v>
      </c>
      <c r="I556" t="str">
        <f t="shared" si="102"/>
        <v>2023-Q3</v>
      </c>
      <c r="J556" t="s">
        <v>44</v>
      </c>
      <c r="K556" t="s">
        <v>5604</v>
      </c>
      <c r="L556" t="s">
        <v>5605</v>
      </c>
      <c r="M556" t="s">
        <v>47</v>
      </c>
      <c r="N556" t="s">
        <v>25</v>
      </c>
      <c r="O556" t="s">
        <v>244</v>
      </c>
      <c r="P556" t="s">
        <v>163</v>
      </c>
      <c r="Q556" t="s">
        <v>87</v>
      </c>
      <c r="R556" t="s">
        <v>5606</v>
      </c>
      <c r="S556" t="s">
        <v>51</v>
      </c>
      <c r="T556" t="s">
        <v>108</v>
      </c>
      <c r="U556" t="s">
        <v>5607</v>
      </c>
      <c r="V556" s="3">
        <v>2015.81</v>
      </c>
      <c r="W556" s="4">
        <v>7</v>
      </c>
      <c r="X556" s="2">
        <v>0.4</v>
      </c>
      <c r="Y556" s="3">
        <v>567.32000000000005</v>
      </c>
      <c r="Z556" t="str">
        <f t="shared" si="98"/>
        <v>Normal</v>
      </c>
      <c r="AA556" t="str">
        <f t="shared" si="99"/>
        <v>High</v>
      </c>
      <c r="AB556" t="str">
        <f t="shared" si="103"/>
        <v>High Profit</v>
      </c>
      <c r="AC556" s="3">
        <f t="shared" si="104"/>
        <v>0.28143525431464278</v>
      </c>
      <c r="AD556" s="3">
        <f t="shared" si="105"/>
        <v>287.97285714285715</v>
      </c>
      <c r="AE556" s="3">
        <f t="shared" si="106"/>
        <v>81.045714285714297</v>
      </c>
      <c r="AF556" t="str">
        <f t="shared" si="107"/>
        <v>Regular</v>
      </c>
    </row>
    <row r="557" spans="1:32" x14ac:dyDescent="0.25">
      <c r="A557" t="s">
        <v>7343</v>
      </c>
      <c r="B557" s="1">
        <v>45197</v>
      </c>
      <c r="C557" s="1">
        <v>45199</v>
      </c>
      <c r="D557" s="4">
        <f t="shared" si="96"/>
        <v>2</v>
      </c>
      <c r="E557" s="4" t="str">
        <f>TEXT(Table1[[#This Row],[Order_Date]],"dddd")</f>
        <v>Thursday</v>
      </c>
      <c r="F557" s="4">
        <f t="shared" si="97"/>
        <v>9</v>
      </c>
      <c r="G557" t="str">
        <f t="shared" si="100"/>
        <v>September</v>
      </c>
      <c r="H557">
        <f t="shared" si="101"/>
        <v>2023</v>
      </c>
      <c r="I557" t="str">
        <f t="shared" si="102"/>
        <v>2023-Q3</v>
      </c>
      <c r="J557" t="s">
        <v>104</v>
      </c>
      <c r="K557" t="s">
        <v>7344</v>
      </c>
      <c r="L557" t="s">
        <v>7345</v>
      </c>
      <c r="M557" t="s">
        <v>36</v>
      </c>
      <c r="N557" t="s">
        <v>25</v>
      </c>
      <c r="O557" t="s">
        <v>149</v>
      </c>
      <c r="P557" t="s">
        <v>113</v>
      </c>
      <c r="Q557" t="s">
        <v>28</v>
      </c>
      <c r="R557" t="s">
        <v>7346</v>
      </c>
      <c r="S557" t="s">
        <v>30</v>
      </c>
      <c r="T557" t="s">
        <v>41</v>
      </c>
      <c r="U557" t="s">
        <v>4484</v>
      </c>
      <c r="V557" s="3">
        <v>1580.08</v>
      </c>
      <c r="W557" s="4">
        <v>3</v>
      </c>
      <c r="X557" s="2">
        <v>0.1</v>
      </c>
      <c r="Y557" s="3">
        <v>-235.16</v>
      </c>
      <c r="Z557" t="str">
        <f t="shared" si="98"/>
        <v>Normal</v>
      </c>
      <c r="AA557" t="str">
        <f t="shared" si="99"/>
        <v>Medium</v>
      </c>
      <c r="AB557" t="str">
        <f t="shared" si="103"/>
        <v>Loss</v>
      </c>
      <c r="AC557" s="3">
        <f t="shared" si="104"/>
        <v>-0.14882790744772417</v>
      </c>
      <c r="AD557" s="3">
        <f t="shared" si="105"/>
        <v>526.69333333333327</v>
      </c>
      <c r="AE557" s="3">
        <f t="shared" si="106"/>
        <v>-78.38666666666667</v>
      </c>
      <c r="AF557" t="str">
        <f t="shared" si="107"/>
        <v>Regular</v>
      </c>
    </row>
    <row r="558" spans="1:32" x14ac:dyDescent="0.25">
      <c r="A558" t="s">
        <v>2612</v>
      </c>
      <c r="B558" s="1">
        <v>45198</v>
      </c>
      <c r="C558" s="1">
        <v>45202</v>
      </c>
      <c r="D558" s="4">
        <f t="shared" si="96"/>
        <v>4</v>
      </c>
      <c r="E558" s="4" t="str">
        <f>TEXT(Table1[[#This Row],[Order_Date]],"dddd")</f>
        <v>Friday</v>
      </c>
      <c r="F558" s="4">
        <f t="shared" si="97"/>
        <v>9</v>
      </c>
      <c r="G558" t="str">
        <f t="shared" si="100"/>
        <v>September</v>
      </c>
      <c r="H558">
        <f t="shared" si="101"/>
        <v>2023</v>
      </c>
      <c r="I558" t="str">
        <f t="shared" si="102"/>
        <v>2023-Q3</v>
      </c>
      <c r="J558" t="s">
        <v>104</v>
      </c>
      <c r="K558" t="s">
        <v>2613</v>
      </c>
      <c r="L558" t="s">
        <v>2614</v>
      </c>
      <c r="M558" t="s">
        <v>36</v>
      </c>
      <c r="N558" t="s">
        <v>25</v>
      </c>
      <c r="O558" t="s">
        <v>201</v>
      </c>
      <c r="P558" t="s">
        <v>113</v>
      </c>
      <c r="Q558" t="s">
        <v>66</v>
      </c>
      <c r="R558" t="s">
        <v>2615</v>
      </c>
      <c r="S558" t="s">
        <v>59</v>
      </c>
      <c r="T558" t="s">
        <v>60</v>
      </c>
      <c r="U558" t="s">
        <v>2616</v>
      </c>
      <c r="V558" s="3">
        <v>887.5</v>
      </c>
      <c r="W558" s="4">
        <v>4</v>
      </c>
      <c r="X558" s="2">
        <v>0.2</v>
      </c>
      <c r="Y558" s="3">
        <v>-113.65</v>
      </c>
      <c r="Z558" t="str">
        <f t="shared" si="98"/>
        <v>Normal</v>
      </c>
      <c r="AA558" t="str">
        <f t="shared" si="99"/>
        <v>High</v>
      </c>
      <c r="AB558" t="str">
        <f t="shared" si="103"/>
        <v>Loss</v>
      </c>
      <c r="AC558" s="3">
        <f t="shared" si="104"/>
        <v>-0.12805633802816901</v>
      </c>
      <c r="AD558" s="3">
        <f t="shared" si="105"/>
        <v>221.875</v>
      </c>
      <c r="AE558" s="3">
        <f t="shared" si="106"/>
        <v>-28.412500000000001</v>
      </c>
      <c r="AF558" t="str">
        <f t="shared" si="107"/>
        <v>Regular</v>
      </c>
    </row>
    <row r="559" spans="1:32" x14ac:dyDescent="0.25">
      <c r="A559" t="s">
        <v>3058</v>
      </c>
      <c r="B559" s="1">
        <v>45199</v>
      </c>
      <c r="C559" s="1">
        <v>45208</v>
      </c>
      <c r="D559" s="4">
        <f t="shared" si="96"/>
        <v>9</v>
      </c>
      <c r="E559" s="4" t="str">
        <f>TEXT(Table1[[#This Row],[Order_Date]],"dddd")</f>
        <v>Saturday</v>
      </c>
      <c r="F559" s="4">
        <f t="shared" si="97"/>
        <v>9</v>
      </c>
      <c r="G559" t="str">
        <f t="shared" si="100"/>
        <v>September</v>
      </c>
      <c r="H559">
        <f t="shared" si="101"/>
        <v>2023</v>
      </c>
      <c r="I559" t="str">
        <f t="shared" si="102"/>
        <v>2023-Q3</v>
      </c>
      <c r="J559" t="s">
        <v>21</v>
      </c>
      <c r="K559" t="s">
        <v>3059</v>
      </c>
      <c r="L559" t="s">
        <v>3060</v>
      </c>
      <c r="M559" t="s">
        <v>24</v>
      </c>
      <c r="N559" t="s">
        <v>25</v>
      </c>
      <c r="O559" t="s">
        <v>179</v>
      </c>
      <c r="P559" t="s">
        <v>27</v>
      </c>
      <c r="Q559" t="s">
        <v>87</v>
      </c>
      <c r="R559" t="s">
        <v>3061</v>
      </c>
      <c r="S559" t="s">
        <v>30</v>
      </c>
      <c r="T559" t="s">
        <v>31</v>
      </c>
      <c r="U559" t="s">
        <v>3062</v>
      </c>
      <c r="V559" s="3">
        <v>433.29</v>
      </c>
      <c r="W559" s="4">
        <v>3</v>
      </c>
      <c r="X559" s="2">
        <v>0.1</v>
      </c>
      <c r="Y559" s="3">
        <v>-70.8</v>
      </c>
      <c r="Z559" t="str">
        <f t="shared" si="98"/>
        <v>Normal</v>
      </c>
      <c r="AA559" t="str">
        <f t="shared" si="99"/>
        <v>Medium</v>
      </c>
      <c r="AB559" t="str">
        <f t="shared" si="103"/>
        <v>Loss</v>
      </c>
      <c r="AC559" s="3">
        <f t="shared" si="104"/>
        <v>-0.1634009554801634</v>
      </c>
      <c r="AD559" s="3">
        <f t="shared" si="105"/>
        <v>144.43</v>
      </c>
      <c r="AE559" s="3">
        <f t="shared" si="106"/>
        <v>-23.599999999999998</v>
      </c>
      <c r="AF559" t="str">
        <f t="shared" si="107"/>
        <v>Regular</v>
      </c>
    </row>
    <row r="560" spans="1:32" x14ac:dyDescent="0.25">
      <c r="A560" t="s">
        <v>2085</v>
      </c>
      <c r="B560" s="1">
        <v>45199</v>
      </c>
      <c r="C560" s="1">
        <v>45200</v>
      </c>
      <c r="D560" s="4">
        <f t="shared" si="96"/>
        <v>1</v>
      </c>
      <c r="E560" s="4" t="str">
        <f>TEXT(Table1[[#This Row],[Order_Date]],"dddd")</f>
        <v>Saturday</v>
      </c>
      <c r="F560" s="4">
        <f t="shared" si="97"/>
        <v>9</v>
      </c>
      <c r="G560" t="str">
        <f t="shared" si="100"/>
        <v>September</v>
      </c>
      <c r="H560">
        <f t="shared" si="101"/>
        <v>2023</v>
      </c>
      <c r="I560" t="str">
        <f t="shared" si="102"/>
        <v>2023-Q3</v>
      </c>
      <c r="J560" t="s">
        <v>44</v>
      </c>
      <c r="K560" t="s">
        <v>7402</v>
      </c>
      <c r="L560" t="s">
        <v>2086</v>
      </c>
      <c r="M560" t="s">
        <v>24</v>
      </c>
      <c r="N560" t="s">
        <v>25</v>
      </c>
      <c r="O560" t="s">
        <v>451</v>
      </c>
      <c r="P560" t="s">
        <v>38</v>
      </c>
      <c r="Q560" t="s">
        <v>39</v>
      </c>
      <c r="R560" t="s">
        <v>2087</v>
      </c>
      <c r="S560" t="s">
        <v>59</v>
      </c>
      <c r="T560" t="s">
        <v>60</v>
      </c>
      <c r="U560" t="s">
        <v>2088</v>
      </c>
      <c r="V560" s="3">
        <v>2134.25</v>
      </c>
      <c r="W560" s="4">
        <v>2</v>
      </c>
      <c r="X560" s="2">
        <v>0.3</v>
      </c>
      <c r="Y560" s="3">
        <v>-291.02</v>
      </c>
      <c r="Z560" t="str">
        <f t="shared" si="98"/>
        <v>Normal</v>
      </c>
      <c r="AA560" t="str">
        <f t="shared" si="99"/>
        <v>High</v>
      </c>
      <c r="AB560" t="str">
        <f t="shared" si="103"/>
        <v>Loss</v>
      </c>
      <c r="AC560" s="3">
        <f t="shared" si="104"/>
        <v>-0.13635703408691577</v>
      </c>
      <c r="AD560" s="3">
        <f t="shared" si="105"/>
        <v>1067.125</v>
      </c>
      <c r="AE560" s="3">
        <f t="shared" si="106"/>
        <v>-145.51</v>
      </c>
      <c r="AF560" t="str">
        <f t="shared" si="107"/>
        <v>Regular</v>
      </c>
    </row>
    <row r="561" spans="1:32" x14ac:dyDescent="0.25">
      <c r="A561" t="s">
        <v>3263</v>
      </c>
      <c r="B561" s="1">
        <v>45200</v>
      </c>
      <c r="C561" s="1">
        <v>45207</v>
      </c>
      <c r="D561" s="4">
        <f t="shared" si="96"/>
        <v>7</v>
      </c>
      <c r="E561" s="4" t="str">
        <f>TEXT(Table1[[#This Row],[Order_Date]],"dddd")</f>
        <v>Sunday</v>
      </c>
      <c r="F561" s="4">
        <f t="shared" si="97"/>
        <v>10</v>
      </c>
      <c r="G561" t="str">
        <f t="shared" si="100"/>
        <v>October</v>
      </c>
      <c r="H561">
        <f t="shared" si="101"/>
        <v>2023</v>
      </c>
      <c r="I561" t="str">
        <f t="shared" si="102"/>
        <v>2023-Q4</v>
      </c>
      <c r="J561" t="s">
        <v>21</v>
      </c>
      <c r="K561" t="s">
        <v>3264</v>
      </c>
      <c r="L561" t="s">
        <v>3265</v>
      </c>
      <c r="M561" t="s">
        <v>47</v>
      </c>
      <c r="N561" t="s">
        <v>25</v>
      </c>
      <c r="O561" t="s">
        <v>179</v>
      </c>
      <c r="P561" t="s">
        <v>27</v>
      </c>
      <c r="Q561" t="s">
        <v>87</v>
      </c>
      <c r="R561" t="s">
        <v>3266</v>
      </c>
      <c r="S561" t="s">
        <v>30</v>
      </c>
      <c r="T561" t="s">
        <v>68</v>
      </c>
      <c r="U561" t="s">
        <v>3267</v>
      </c>
      <c r="V561" s="3">
        <v>4758.68</v>
      </c>
      <c r="W561" s="4">
        <v>9</v>
      </c>
      <c r="X561" s="2">
        <v>0.4</v>
      </c>
      <c r="Y561" s="3">
        <v>1062.95</v>
      </c>
      <c r="Z561" t="str">
        <f t="shared" si="98"/>
        <v>Outlier</v>
      </c>
      <c r="AA561" t="str">
        <f t="shared" si="99"/>
        <v>High</v>
      </c>
      <c r="AB561" t="str">
        <f t="shared" si="103"/>
        <v>High Profit</v>
      </c>
      <c r="AC561" s="3">
        <f t="shared" si="104"/>
        <v>0.22337076668319786</v>
      </c>
      <c r="AD561" s="3">
        <f t="shared" si="105"/>
        <v>528.74222222222227</v>
      </c>
      <c r="AE561" s="3">
        <f t="shared" si="106"/>
        <v>118.10555555555555</v>
      </c>
      <c r="AF561" t="str">
        <f t="shared" si="107"/>
        <v>Regular</v>
      </c>
    </row>
    <row r="562" spans="1:32" x14ac:dyDescent="0.25">
      <c r="A562" t="s">
        <v>6444</v>
      </c>
      <c r="B562" s="1">
        <v>45200</v>
      </c>
      <c r="C562" s="1">
        <v>45209</v>
      </c>
      <c r="D562" s="4">
        <f t="shared" si="96"/>
        <v>9</v>
      </c>
      <c r="E562" s="4" t="str">
        <f>TEXT(Table1[[#This Row],[Order_Date]],"dddd")</f>
        <v>Sunday</v>
      </c>
      <c r="F562" s="4">
        <f t="shared" si="97"/>
        <v>10</v>
      </c>
      <c r="G562" t="str">
        <f t="shared" si="100"/>
        <v>October</v>
      </c>
      <c r="H562">
        <f t="shared" si="101"/>
        <v>2023</v>
      </c>
      <c r="I562" t="str">
        <f t="shared" si="102"/>
        <v>2023-Q4</v>
      </c>
      <c r="J562" t="s">
        <v>44</v>
      </c>
      <c r="K562" t="s">
        <v>6445</v>
      </c>
      <c r="L562" t="s">
        <v>6446</v>
      </c>
      <c r="M562" t="s">
        <v>24</v>
      </c>
      <c r="N562" t="s">
        <v>25</v>
      </c>
      <c r="O562" t="s">
        <v>142</v>
      </c>
      <c r="P562" t="s">
        <v>143</v>
      </c>
      <c r="Q562" t="s">
        <v>87</v>
      </c>
      <c r="R562" t="s">
        <v>6447</v>
      </c>
      <c r="S562" t="s">
        <v>59</v>
      </c>
      <c r="T562" t="s">
        <v>303</v>
      </c>
      <c r="U562" t="s">
        <v>6448</v>
      </c>
      <c r="V562" s="3">
        <v>3245.63</v>
      </c>
      <c r="W562" s="4">
        <v>6</v>
      </c>
      <c r="X562" s="2">
        <v>0.1</v>
      </c>
      <c r="Y562" s="3">
        <v>759.73</v>
      </c>
      <c r="Z562" t="str">
        <f t="shared" si="98"/>
        <v>Normal</v>
      </c>
      <c r="AA562" t="str">
        <f t="shared" si="99"/>
        <v>Medium</v>
      </c>
      <c r="AB562" t="str">
        <f t="shared" si="103"/>
        <v>High Profit</v>
      </c>
      <c r="AC562" s="3">
        <f t="shared" si="104"/>
        <v>0.23407782156314799</v>
      </c>
      <c r="AD562" s="3">
        <f t="shared" si="105"/>
        <v>540.93833333333339</v>
      </c>
      <c r="AE562" s="3">
        <f t="shared" si="106"/>
        <v>126.62166666666667</v>
      </c>
      <c r="AF562" t="str">
        <f t="shared" si="107"/>
        <v>Regular</v>
      </c>
    </row>
    <row r="563" spans="1:32" x14ac:dyDescent="0.25">
      <c r="A563" t="s">
        <v>3161</v>
      </c>
      <c r="B563" s="1">
        <v>45200</v>
      </c>
      <c r="C563" s="1">
        <v>45209</v>
      </c>
      <c r="D563" s="4">
        <f t="shared" si="96"/>
        <v>9</v>
      </c>
      <c r="E563" s="4" t="str">
        <f>TEXT(Table1[[#This Row],[Order_Date]],"dddd")</f>
        <v>Sunday</v>
      </c>
      <c r="F563" s="4">
        <f t="shared" si="97"/>
        <v>10</v>
      </c>
      <c r="G563" t="str">
        <f t="shared" si="100"/>
        <v>October</v>
      </c>
      <c r="H563">
        <f t="shared" si="101"/>
        <v>2023</v>
      </c>
      <c r="I563" t="str">
        <f t="shared" si="102"/>
        <v>2023-Q4</v>
      </c>
      <c r="J563" t="s">
        <v>104</v>
      </c>
      <c r="K563" t="s">
        <v>3162</v>
      </c>
      <c r="L563" t="s">
        <v>3163</v>
      </c>
      <c r="M563" t="s">
        <v>36</v>
      </c>
      <c r="N563" t="s">
        <v>25</v>
      </c>
      <c r="O563" t="s">
        <v>37</v>
      </c>
      <c r="P563" t="s">
        <v>38</v>
      </c>
      <c r="Q563" t="s">
        <v>66</v>
      </c>
      <c r="R563" t="s">
        <v>3164</v>
      </c>
      <c r="S563" t="s">
        <v>59</v>
      </c>
      <c r="T563" t="s">
        <v>277</v>
      </c>
      <c r="U563" t="s">
        <v>3165</v>
      </c>
      <c r="V563" s="3">
        <v>3458.63</v>
      </c>
      <c r="W563" s="4">
        <v>1</v>
      </c>
      <c r="X563" s="2">
        <v>0.4</v>
      </c>
      <c r="Y563" s="3">
        <v>730.22</v>
      </c>
      <c r="Z563" t="str">
        <f t="shared" si="98"/>
        <v>Normal</v>
      </c>
      <c r="AA563" t="str">
        <f t="shared" si="99"/>
        <v>High</v>
      </c>
      <c r="AB563" t="str">
        <f t="shared" si="103"/>
        <v>High Profit</v>
      </c>
      <c r="AC563" s="3">
        <f t="shared" si="104"/>
        <v>0.21112984042814639</v>
      </c>
      <c r="AD563" s="3">
        <f t="shared" si="105"/>
        <v>3458.63</v>
      </c>
      <c r="AE563" s="3">
        <f t="shared" si="106"/>
        <v>730.22</v>
      </c>
      <c r="AF563" t="str">
        <f t="shared" si="107"/>
        <v>Regular</v>
      </c>
    </row>
    <row r="564" spans="1:32" x14ac:dyDescent="0.25">
      <c r="A564" t="s">
        <v>5114</v>
      </c>
      <c r="B564" s="1">
        <v>45201</v>
      </c>
      <c r="C564" s="1">
        <v>45210</v>
      </c>
      <c r="D564" s="4">
        <f t="shared" si="96"/>
        <v>9</v>
      </c>
      <c r="E564" s="4" t="str">
        <f>TEXT(Table1[[#This Row],[Order_Date]],"dddd")</f>
        <v>Monday</v>
      </c>
      <c r="F564" s="4">
        <f t="shared" si="97"/>
        <v>10</v>
      </c>
      <c r="G564" t="str">
        <f t="shared" si="100"/>
        <v>October</v>
      </c>
      <c r="H564">
        <f t="shared" si="101"/>
        <v>2023</v>
      </c>
      <c r="I564" t="str">
        <f t="shared" si="102"/>
        <v>2023-Q4</v>
      </c>
      <c r="J564" t="s">
        <v>104</v>
      </c>
      <c r="K564" t="s">
        <v>5115</v>
      </c>
      <c r="L564" t="s">
        <v>5116</v>
      </c>
      <c r="M564" t="s">
        <v>47</v>
      </c>
      <c r="N564" t="s">
        <v>25</v>
      </c>
      <c r="O564" t="s">
        <v>179</v>
      </c>
      <c r="P564" t="s">
        <v>27</v>
      </c>
      <c r="Q564" t="s">
        <v>87</v>
      </c>
      <c r="R564" t="s">
        <v>5117</v>
      </c>
      <c r="S564" t="s">
        <v>59</v>
      </c>
      <c r="T564" t="s">
        <v>101</v>
      </c>
      <c r="U564" t="s">
        <v>5118</v>
      </c>
      <c r="V564" s="3">
        <v>1154.55</v>
      </c>
      <c r="W564" s="4">
        <v>9</v>
      </c>
      <c r="X564" s="2">
        <v>0.1</v>
      </c>
      <c r="Y564" s="3">
        <v>-126.43</v>
      </c>
      <c r="Z564" t="str">
        <f t="shared" si="98"/>
        <v>Normal</v>
      </c>
      <c r="AA564" t="str">
        <f t="shared" si="99"/>
        <v>Medium</v>
      </c>
      <c r="AB564" t="str">
        <f t="shared" si="103"/>
        <v>Loss</v>
      </c>
      <c r="AC564" s="3">
        <f t="shared" si="104"/>
        <v>-0.10950586808713353</v>
      </c>
      <c r="AD564" s="3">
        <f t="shared" si="105"/>
        <v>128.28333333333333</v>
      </c>
      <c r="AE564" s="3">
        <f t="shared" si="106"/>
        <v>-14.047777777777778</v>
      </c>
      <c r="AF564" t="str">
        <f t="shared" si="107"/>
        <v>Regular</v>
      </c>
    </row>
    <row r="565" spans="1:32" x14ac:dyDescent="0.25">
      <c r="A565" t="s">
        <v>5434</v>
      </c>
      <c r="B565" s="1">
        <v>45201</v>
      </c>
      <c r="C565" s="1">
        <v>45204</v>
      </c>
      <c r="D565" s="4">
        <f t="shared" si="96"/>
        <v>3</v>
      </c>
      <c r="E565" s="4" t="str">
        <f>TEXT(Table1[[#This Row],[Order_Date]],"dddd")</f>
        <v>Monday</v>
      </c>
      <c r="F565" s="4">
        <f t="shared" si="97"/>
        <v>10</v>
      </c>
      <c r="G565" t="str">
        <f t="shared" si="100"/>
        <v>October</v>
      </c>
      <c r="H565">
        <f t="shared" si="101"/>
        <v>2023</v>
      </c>
      <c r="I565" t="str">
        <f t="shared" si="102"/>
        <v>2023-Q4</v>
      </c>
      <c r="J565" t="s">
        <v>55</v>
      </c>
      <c r="K565" t="s">
        <v>5435</v>
      </c>
      <c r="L565" t="s">
        <v>5436</v>
      </c>
      <c r="M565" t="s">
        <v>36</v>
      </c>
      <c r="N565" t="s">
        <v>25</v>
      </c>
      <c r="O565" t="s">
        <v>37</v>
      </c>
      <c r="P565" t="s">
        <v>38</v>
      </c>
      <c r="Q565" t="s">
        <v>39</v>
      </c>
      <c r="R565" t="s">
        <v>5437</v>
      </c>
      <c r="S565" t="s">
        <v>59</v>
      </c>
      <c r="T565" t="s">
        <v>277</v>
      </c>
      <c r="U565" t="s">
        <v>5438</v>
      </c>
      <c r="V565" s="3">
        <v>2184.77</v>
      </c>
      <c r="W565" s="4">
        <v>8</v>
      </c>
      <c r="X565" s="2">
        <v>0</v>
      </c>
      <c r="Y565" s="3">
        <v>-97.48</v>
      </c>
      <c r="Z565" t="str">
        <f t="shared" si="98"/>
        <v>Normal</v>
      </c>
      <c r="AA565" t="str">
        <f t="shared" si="99"/>
        <v>Low</v>
      </c>
      <c r="AB565" t="str">
        <f t="shared" si="103"/>
        <v>Loss</v>
      </c>
      <c r="AC565" s="3">
        <f t="shared" si="104"/>
        <v>-4.4617968939522239E-2</v>
      </c>
      <c r="AD565" s="3">
        <f t="shared" si="105"/>
        <v>273.09625</v>
      </c>
      <c r="AE565" s="3">
        <f t="shared" si="106"/>
        <v>-12.185</v>
      </c>
      <c r="AF565" t="str">
        <f t="shared" si="107"/>
        <v>Regular</v>
      </c>
    </row>
    <row r="566" spans="1:32" x14ac:dyDescent="0.25">
      <c r="A566" t="s">
        <v>3480</v>
      </c>
      <c r="B566" s="1">
        <v>45202</v>
      </c>
      <c r="C566" s="1">
        <v>45212</v>
      </c>
      <c r="D566" s="4">
        <f t="shared" si="96"/>
        <v>10</v>
      </c>
      <c r="E566" s="4" t="str">
        <f>TEXT(Table1[[#This Row],[Order_Date]],"dddd")</f>
        <v>Tuesday</v>
      </c>
      <c r="F566" s="4">
        <f t="shared" si="97"/>
        <v>10</v>
      </c>
      <c r="G566" t="str">
        <f t="shared" si="100"/>
        <v>October</v>
      </c>
      <c r="H566">
        <f t="shared" si="101"/>
        <v>2023</v>
      </c>
      <c r="I566" t="str">
        <f t="shared" si="102"/>
        <v>2023-Q4</v>
      </c>
      <c r="J566" t="s">
        <v>104</v>
      </c>
      <c r="K566" t="s">
        <v>3481</v>
      </c>
      <c r="L566" t="s">
        <v>3482</v>
      </c>
      <c r="M566" t="s">
        <v>24</v>
      </c>
      <c r="N566" t="s">
        <v>25</v>
      </c>
      <c r="O566" t="s">
        <v>156</v>
      </c>
      <c r="P566" t="s">
        <v>143</v>
      </c>
      <c r="Q566" t="s">
        <v>66</v>
      </c>
      <c r="R566" t="s">
        <v>3483</v>
      </c>
      <c r="S566" t="s">
        <v>51</v>
      </c>
      <c r="T566" t="s">
        <v>127</v>
      </c>
      <c r="U566" t="s">
        <v>3484</v>
      </c>
      <c r="V566" s="3">
        <v>3940.61</v>
      </c>
      <c r="W566" s="4">
        <v>7</v>
      </c>
      <c r="X566" s="2">
        <v>0.3</v>
      </c>
      <c r="Y566" s="3">
        <v>877.04</v>
      </c>
      <c r="Z566" t="str">
        <f t="shared" si="98"/>
        <v>Normal</v>
      </c>
      <c r="AA566" t="str">
        <f t="shared" si="99"/>
        <v>High</v>
      </c>
      <c r="AB566" t="str">
        <f t="shared" si="103"/>
        <v>High Profit</v>
      </c>
      <c r="AC566" s="3">
        <f t="shared" si="104"/>
        <v>0.22256452681183875</v>
      </c>
      <c r="AD566" s="3">
        <f t="shared" si="105"/>
        <v>562.94428571428568</v>
      </c>
      <c r="AE566" s="3">
        <f t="shared" si="106"/>
        <v>125.29142857142857</v>
      </c>
      <c r="AF566" t="str">
        <f t="shared" si="107"/>
        <v>Regular</v>
      </c>
    </row>
    <row r="567" spans="1:32" x14ac:dyDescent="0.25">
      <c r="A567" t="s">
        <v>7377</v>
      </c>
      <c r="B567" s="1">
        <v>45202</v>
      </c>
      <c r="C567" s="1">
        <v>45207</v>
      </c>
      <c r="D567" s="4">
        <f t="shared" si="96"/>
        <v>5</v>
      </c>
      <c r="E567" s="4" t="str">
        <f>TEXT(Table1[[#This Row],[Order_Date]],"dddd")</f>
        <v>Tuesday</v>
      </c>
      <c r="F567" s="4">
        <f t="shared" si="97"/>
        <v>10</v>
      </c>
      <c r="G567" t="str">
        <f t="shared" si="100"/>
        <v>October</v>
      </c>
      <c r="H567">
        <f t="shared" si="101"/>
        <v>2023</v>
      </c>
      <c r="I567" t="str">
        <f t="shared" si="102"/>
        <v>2023-Q4</v>
      </c>
      <c r="J567" t="s">
        <v>21</v>
      </c>
      <c r="K567" t="s">
        <v>7378</v>
      </c>
      <c r="L567" t="s">
        <v>7379</v>
      </c>
      <c r="M567" t="s">
        <v>24</v>
      </c>
      <c r="N567" t="s">
        <v>25</v>
      </c>
      <c r="O567" t="s">
        <v>162</v>
      </c>
      <c r="P567" t="s">
        <v>163</v>
      </c>
      <c r="Q567" t="s">
        <v>66</v>
      </c>
      <c r="R567" t="s">
        <v>7380</v>
      </c>
      <c r="S567" t="s">
        <v>59</v>
      </c>
      <c r="T567" t="s">
        <v>303</v>
      </c>
      <c r="U567" t="s">
        <v>7381</v>
      </c>
      <c r="V567" s="3">
        <v>3913.37</v>
      </c>
      <c r="W567" s="4">
        <v>8</v>
      </c>
      <c r="X567" s="2">
        <v>0.3</v>
      </c>
      <c r="Y567" s="3">
        <v>204.61</v>
      </c>
      <c r="Z567" t="str">
        <f t="shared" si="98"/>
        <v>Normal</v>
      </c>
      <c r="AA567" t="str">
        <f t="shared" si="99"/>
        <v>High</v>
      </c>
      <c r="AB567" t="str">
        <f t="shared" si="103"/>
        <v>Low Profit</v>
      </c>
      <c r="AC567" s="3">
        <f t="shared" si="104"/>
        <v>5.2284859341181648E-2</v>
      </c>
      <c r="AD567" s="3">
        <f t="shared" si="105"/>
        <v>489.17124999999999</v>
      </c>
      <c r="AE567" s="3">
        <f t="shared" si="106"/>
        <v>25.576250000000002</v>
      </c>
      <c r="AF567" t="str">
        <f t="shared" si="107"/>
        <v>Regular</v>
      </c>
    </row>
    <row r="568" spans="1:32" x14ac:dyDescent="0.25">
      <c r="A568" t="s">
        <v>7209</v>
      </c>
      <c r="B568" s="1">
        <v>45203</v>
      </c>
      <c r="C568" s="1">
        <v>45213</v>
      </c>
      <c r="D568" s="4">
        <f t="shared" si="96"/>
        <v>10</v>
      </c>
      <c r="E568" s="4" t="str">
        <f>TEXT(Table1[[#This Row],[Order_Date]],"dddd")</f>
        <v>Wednesday</v>
      </c>
      <c r="F568" s="4">
        <f t="shared" si="97"/>
        <v>10</v>
      </c>
      <c r="G568" t="str">
        <f t="shared" si="100"/>
        <v>October</v>
      </c>
      <c r="H568">
        <f t="shared" si="101"/>
        <v>2023</v>
      </c>
      <c r="I568" t="str">
        <f t="shared" si="102"/>
        <v>2023-Q4</v>
      </c>
      <c r="J568" t="s">
        <v>21</v>
      </c>
      <c r="K568" t="s">
        <v>7210</v>
      </c>
      <c r="L568" t="s">
        <v>7211</v>
      </c>
      <c r="M568" t="s">
        <v>47</v>
      </c>
      <c r="N568" t="s">
        <v>25</v>
      </c>
      <c r="O568" t="s">
        <v>244</v>
      </c>
      <c r="P568" t="s">
        <v>163</v>
      </c>
      <c r="Q568" t="s">
        <v>66</v>
      </c>
      <c r="R568" t="s">
        <v>7212</v>
      </c>
      <c r="S568" t="s">
        <v>51</v>
      </c>
      <c r="T568" t="s">
        <v>94</v>
      </c>
      <c r="U568" t="s">
        <v>7213</v>
      </c>
      <c r="V568" s="3">
        <v>4482.96</v>
      </c>
      <c r="W568" s="4">
        <v>10</v>
      </c>
      <c r="X568" s="2">
        <v>0.2</v>
      </c>
      <c r="Y568" s="3">
        <v>-474.42</v>
      </c>
      <c r="Z568" t="str">
        <f t="shared" si="98"/>
        <v>Normal</v>
      </c>
      <c r="AA568" t="str">
        <f t="shared" si="99"/>
        <v>High</v>
      </c>
      <c r="AB568" t="str">
        <f t="shared" si="103"/>
        <v>Loss</v>
      </c>
      <c r="AC568" s="3">
        <f t="shared" si="104"/>
        <v>-0.10582739975373415</v>
      </c>
      <c r="AD568" s="3">
        <f t="shared" si="105"/>
        <v>448.29599999999999</v>
      </c>
      <c r="AE568" s="3">
        <f t="shared" si="106"/>
        <v>-47.442</v>
      </c>
      <c r="AF568" t="str">
        <f t="shared" si="107"/>
        <v>Regular</v>
      </c>
    </row>
    <row r="569" spans="1:32" x14ac:dyDescent="0.25">
      <c r="A569" t="s">
        <v>3936</v>
      </c>
      <c r="B569" s="1">
        <v>45204</v>
      </c>
      <c r="C569" s="1">
        <v>45214</v>
      </c>
      <c r="D569" s="4">
        <f t="shared" si="96"/>
        <v>10</v>
      </c>
      <c r="E569" s="4" t="str">
        <f>TEXT(Table1[[#This Row],[Order_Date]],"dddd")</f>
        <v>Thursday</v>
      </c>
      <c r="F569" s="4">
        <f t="shared" si="97"/>
        <v>10</v>
      </c>
      <c r="G569" t="str">
        <f t="shared" si="100"/>
        <v>October</v>
      </c>
      <c r="H569">
        <f t="shared" si="101"/>
        <v>2023</v>
      </c>
      <c r="I569" t="str">
        <f t="shared" si="102"/>
        <v>2023-Q4</v>
      </c>
      <c r="J569" t="s">
        <v>44</v>
      </c>
      <c r="K569" t="s">
        <v>3937</v>
      </c>
      <c r="L569" t="s">
        <v>3938</v>
      </c>
      <c r="M569" t="s">
        <v>24</v>
      </c>
      <c r="N569" t="s">
        <v>25</v>
      </c>
      <c r="O569" t="s">
        <v>190</v>
      </c>
      <c r="P569" t="s">
        <v>120</v>
      </c>
      <c r="Q569" t="s">
        <v>66</v>
      </c>
      <c r="R569" t="s">
        <v>3939</v>
      </c>
      <c r="S569" t="s">
        <v>59</v>
      </c>
      <c r="T569" t="s">
        <v>101</v>
      </c>
      <c r="U569" t="s">
        <v>3940</v>
      </c>
      <c r="V569" s="3">
        <v>259.73</v>
      </c>
      <c r="W569" s="4">
        <v>6</v>
      </c>
      <c r="X569" s="2">
        <v>0.4</v>
      </c>
      <c r="Y569" s="3">
        <v>-22.42</v>
      </c>
      <c r="Z569" t="str">
        <f t="shared" si="98"/>
        <v>Normal</v>
      </c>
      <c r="AA569" t="str">
        <f t="shared" si="99"/>
        <v>High</v>
      </c>
      <c r="AB569" t="str">
        <f t="shared" si="103"/>
        <v>Loss</v>
      </c>
      <c r="AC569" s="3">
        <f t="shared" si="104"/>
        <v>-8.6320409656181415E-2</v>
      </c>
      <c r="AD569" s="3">
        <f t="shared" si="105"/>
        <v>43.288333333333334</v>
      </c>
      <c r="AE569" s="3">
        <f t="shared" si="106"/>
        <v>-3.7366666666666668</v>
      </c>
      <c r="AF569" t="str">
        <f t="shared" si="107"/>
        <v>Regular</v>
      </c>
    </row>
    <row r="570" spans="1:32" x14ac:dyDescent="0.25">
      <c r="A570" t="s">
        <v>1322</v>
      </c>
      <c r="B570" s="1">
        <v>45204</v>
      </c>
      <c r="C570" s="1">
        <v>45209</v>
      </c>
      <c r="D570" s="4">
        <f t="shared" si="96"/>
        <v>5</v>
      </c>
      <c r="E570" s="4" t="str">
        <f>TEXT(Table1[[#This Row],[Order_Date]],"dddd")</f>
        <v>Thursday</v>
      </c>
      <c r="F570" s="4">
        <f t="shared" si="97"/>
        <v>10</v>
      </c>
      <c r="G570" t="str">
        <f t="shared" si="100"/>
        <v>October</v>
      </c>
      <c r="H570">
        <f t="shared" si="101"/>
        <v>2023</v>
      </c>
      <c r="I570" t="str">
        <f t="shared" si="102"/>
        <v>2023-Q4</v>
      </c>
      <c r="J570" t="s">
        <v>104</v>
      </c>
      <c r="K570" t="s">
        <v>1323</v>
      </c>
      <c r="L570" t="s">
        <v>1324</v>
      </c>
      <c r="M570" t="s">
        <v>36</v>
      </c>
      <c r="N570" t="s">
        <v>25</v>
      </c>
      <c r="O570" t="s">
        <v>99</v>
      </c>
      <c r="P570" t="s">
        <v>74</v>
      </c>
      <c r="Q570" t="s">
        <v>28</v>
      </c>
      <c r="R570" t="s">
        <v>1325</v>
      </c>
      <c r="S570" t="s">
        <v>51</v>
      </c>
      <c r="T570" t="s">
        <v>108</v>
      </c>
      <c r="U570" t="s">
        <v>1326</v>
      </c>
      <c r="V570" s="3">
        <v>3997.74</v>
      </c>
      <c r="W570" s="4">
        <v>10</v>
      </c>
      <c r="X570" s="2">
        <v>0.4</v>
      </c>
      <c r="Y570" s="3">
        <v>933.36</v>
      </c>
      <c r="Z570" t="str">
        <f t="shared" si="98"/>
        <v>Normal</v>
      </c>
      <c r="AA570" t="str">
        <f t="shared" si="99"/>
        <v>High</v>
      </c>
      <c r="AB570" t="str">
        <f t="shared" si="103"/>
        <v>High Profit</v>
      </c>
      <c r="AC570" s="3">
        <f t="shared" si="104"/>
        <v>0.233471911630071</v>
      </c>
      <c r="AD570" s="3">
        <f t="shared" si="105"/>
        <v>399.774</v>
      </c>
      <c r="AE570" s="3">
        <f t="shared" si="106"/>
        <v>93.335999999999999</v>
      </c>
      <c r="AF570" t="str">
        <f t="shared" si="107"/>
        <v>Regular</v>
      </c>
    </row>
    <row r="571" spans="1:32" x14ac:dyDescent="0.25">
      <c r="A571" t="s">
        <v>3746</v>
      </c>
      <c r="B571" s="1">
        <v>45204</v>
      </c>
      <c r="C571" s="1">
        <v>45208</v>
      </c>
      <c r="D571" s="4">
        <f t="shared" si="96"/>
        <v>4</v>
      </c>
      <c r="E571" s="4" t="str">
        <f>TEXT(Table1[[#This Row],[Order_Date]],"dddd")</f>
        <v>Thursday</v>
      </c>
      <c r="F571" s="4">
        <f t="shared" si="97"/>
        <v>10</v>
      </c>
      <c r="G571" t="str">
        <f t="shared" si="100"/>
        <v>October</v>
      </c>
      <c r="H571">
        <f t="shared" si="101"/>
        <v>2023</v>
      </c>
      <c r="I571" t="str">
        <f t="shared" si="102"/>
        <v>2023-Q4</v>
      </c>
      <c r="J571" t="s">
        <v>21</v>
      </c>
      <c r="K571" t="s">
        <v>3747</v>
      </c>
      <c r="L571" t="s">
        <v>3748</v>
      </c>
      <c r="M571" t="s">
        <v>24</v>
      </c>
      <c r="N571" t="s">
        <v>25</v>
      </c>
      <c r="O571" t="s">
        <v>48</v>
      </c>
      <c r="P571" t="s">
        <v>49</v>
      </c>
      <c r="Q571" t="s">
        <v>66</v>
      </c>
      <c r="R571" t="s">
        <v>3749</v>
      </c>
      <c r="S571" t="s">
        <v>30</v>
      </c>
      <c r="T571" t="s">
        <v>31</v>
      </c>
      <c r="U571" t="s">
        <v>3750</v>
      </c>
      <c r="V571" s="3">
        <v>1963.67</v>
      </c>
      <c r="W571" s="4">
        <v>5</v>
      </c>
      <c r="X571" s="2">
        <v>0.2</v>
      </c>
      <c r="Y571" s="3">
        <v>200.94</v>
      </c>
      <c r="Z571" t="str">
        <f t="shared" si="98"/>
        <v>Normal</v>
      </c>
      <c r="AA571" t="str">
        <f t="shared" si="99"/>
        <v>High</v>
      </c>
      <c r="AB571" t="str">
        <f t="shared" si="103"/>
        <v>Low Profit</v>
      </c>
      <c r="AC571" s="3">
        <f t="shared" si="104"/>
        <v>0.10232880270106484</v>
      </c>
      <c r="AD571" s="3">
        <f t="shared" si="105"/>
        <v>392.73400000000004</v>
      </c>
      <c r="AE571" s="3">
        <f t="shared" si="106"/>
        <v>40.188000000000002</v>
      </c>
      <c r="AF571" t="str">
        <f t="shared" si="107"/>
        <v>Regular</v>
      </c>
    </row>
    <row r="572" spans="1:32" x14ac:dyDescent="0.25">
      <c r="A572" t="s">
        <v>7223</v>
      </c>
      <c r="B572" s="1">
        <v>45205</v>
      </c>
      <c r="C572" s="1">
        <v>45209</v>
      </c>
      <c r="D572" s="4">
        <f t="shared" si="96"/>
        <v>4</v>
      </c>
      <c r="E572" s="4" t="str">
        <f>TEXT(Table1[[#This Row],[Order_Date]],"dddd")</f>
        <v>Friday</v>
      </c>
      <c r="F572" s="4">
        <f t="shared" si="97"/>
        <v>10</v>
      </c>
      <c r="G572" t="str">
        <f t="shared" si="100"/>
        <v>October</v>
      </c>
      <c r="H572">
        <f t="shared" si="101"/>
        <v>2023</v>
      </c>
      <c r="I572" t="str">
        <f t="shared" si="102"/>
        <v>2023-Q4</v>
      </c>
      <c r="J572" t="s">
        <v>44</v>
      </c>
      <c r="K572" t="s">
        <v>7224</v>
      </c>
      <c r="L572" t="s">
        <v>7225</v>
      </c>
      <c r="M572" t="s">
        <v>36</v>
      </c>
      <c r="N572" t="s">
        <v>25</v>
      </c>
      <c r="O572" t="s">
        <v>119</v>
      </c>
      <c r="P572" t="s">
        <v>120</v>
      </c>
      <c r="Q572" t="s">
        <v>66</v>
      </c>
      <c r="R572" t="s">
        <v>7226</v>
      </c>
      <c r="S572" t="s">
        <v>30</v>
      </c>
      <c r="T572" t="s">
        <v>82</v>
      </c>
      <c r="U572" t="s">
        <v>7227</v>
      </c>
      <c r="V572" s="3">
        <v>856.39</v>
      </c>
      <c r="W572" s="4">
        <v>4</v>
      </c>
      <c r="X572" s="2">
        <v>0.1</v>
      </c>
      <c r="Y572" s="3">
        <v>222.84</v>
      </c>
      <c r="Z572" t="str">
        <f t="shared" si="98"/>
        <v>Normal</v>
      </c>
      <c r="AA572" t="str">
        <f t="shared" si="99"/>
        <v>Medium</v>
      </c>
      <c r="AB572" t="str">
        <f t="shared" si="103"/>
        <v>Low Profit</v>
      </c>
      <c r="AC572" s="3">
        <f t="shared" si="104"/>
        <v>0.26020854984294539</v>
      </c>
      <c r="AD572" s="3">
        <f t="shared" si="105"/>
        <v>214.0975</v>
      </c>
      <c r="AE572" s="3">
        <f t="shared" si="106"/>
        <v>55.71</v>
      </c>
      <c r="AF572" t="str">
        <f t="shared" si="107"/>
        <v>Regular</v>
      </c>
    </row>
    <row r="573" spans="1:32" x14ac:dyDescent="0.25">
      <c r="A573" t="s">
        <v>2554</v>
      </c>
      <c r="B573" s="1">
        <v>45205</v>
      </c>
      <c r="C573" s="1">
        <v>45209</v>
      </c>
      <c r="D573" s="4">
        <f t="shared" si="96"/>
        <v>4</v>
      </c>
      <c r="E573" s="4" t="str">
        <f>TEXT(Table1[[#This Row],[Order_Date]],"dddd")</f>
        <v>Friday</v>
      </c>
      <c r="F573" s="4">
        <f t="shared" si="97"/>
        <v>10</v>
      </c>
      <c r="G573" t="str">
        <f t="shared" si="100"/>
        <v>October</v>
      </c>
      <c r="H573">
        <f t="shared" si="101"/>
        <v>2023</v>
      </c>
      <c r="I573" t="str">
        <f t="shared" si="102"/>
        <v>2023-Q4</v>
      </c>
      <c r="J573" t="s">
        <v>44</v>
      </c>
      <c r="K573" t="s">
        <v>2555</v>
      </c>
      <c r="L573" t="s">
        <v>2556</v>
      </c>
      <c r="M573" t="s">
        <v>47</v>
      </c>
      <c r="N573" t="s">
        <v>25</v>
      </c>
      <c r="O573" t="s">
        <v>190</v>
      </c>
      <c r="P573" t="s">
        <v>120</v>
      </c>
      <c r="Q573" t="s">
        <v>87</v>
      </c>
      <c r="R573" t="s">
        <v>2557</v>
      </c>
      <c r="S573" t="s">
        <v>30</v>
      </c>
      <c r="T573" t="s">
        <v>68</v>
      </c>
      <c r="U573" t="s">
        <v>2558</v>
      </c>
      <c r="V573" s="3">
        <v>3189.1</v>
      </c>
      <c r="W573" s="4">
        <v>3</v>
      </c>
      <c r="X573" s="2">
        <v>0.3</v>
      </c>
      <c r="Y573" s="3">
        <v>955.36</v>
      </c>
      <c r="Z573" t="str">
        <f t="shared" si="98"/>
        <v>Normal</v>
      </c>
      <c r="AA573" t="str">
        <f t="shared" si="99"/>
        <v>High</v>
      </c>
      <c r="AB573" t="str">
        <f t="shared" si="103"/>
        <v>High Profit</v>
      </c>
      <c r="AC573" s="3">
        <f t="shared" si="104"/>
        <v>0.29957041171490389</v>
      </c>
      <c r="AD573" s="3">
        <f t="shared" si="105"/>
        <v>1063.0333333333333</v>
      </c>
      <c r="AE573" s="3">
        <f t="shared" si="106"/>
        <v>318.45333333333332</v>
      </c>
      <c r="AF573" t="str">
        <f t="shared" si="107"/>
        <v>Regular</v>
      </c>
    </row>
    <row r="574" spans="1:32" x14ac:dyDescent="0.25">
      <c r="A574" t="s">
        <v>7176</v>
      </c>
      <c r="B574" s="1">
        <v>45205</v>
      </c>
      <c r="C574" s="1">
        <v>45212</v>
      </c>
      <c r="D574" s="4">
        <f t="shared" si="96"/>
        <v>7</v>
      </c>
      <c r="E574" s="4" t="str">
        <f>TEXT(Table1[[#This Row],[Order_Date]],"dddd")</f>
        <v>Friday</v>
      </c>
      <c r="F574" s="4">
        <f t="shared" si="97"/>
        <v>10</v>
      </c>
      <c r="G574" t="str">
        <f t="shared" si="100"/>
        <v>October</v>
      </c>
      <c r="H574">
        <f t="shared" si="101"/>
        <v>2023</v>
      </c>
      <c r="I574" t="str">
        <f t="shared" si="102"/>
        <v>2023-Q4</v>
      </c>
      <c r="J574" t="s">
        <v>21</v>
      </c>
      <c r="K574" t="s">
        <v>7177</v>
      </c>
      <c r="L574" t="s">
        <v>7178</v>
      </c>
      <c r="M574" t="s">
        <v>36</v>
      </c>
      <c r="N574" t="s">
        <v>25</v>
      </c>
      <c r="O574" t="s">
        <v>162</v>
      </c>
      <c r="P574" t="s">
        <v>163</v>
      </c>
      <c r="Q574" t="s">
        <v>28</v>
      </c>
      <c r="R574" t="s">
        <v>7179</v>
      </c>
      <c r="S574" t="s">
        <v>30</v>
      </c>
      <c r="T574" t="s">
        <v>31</v>
      </c>
      <c r="U574" t="s">
        <v>7180</v>
      </c>
      <c r="V574" s="3">
        <v>2059.6799999999998</v>
      </c>
      <c r="W574" s="4">
        <v>4</v>
      </c>
      <c r="X574" s="2">
        <v>0.1</v>
      </c>
      <c r="Y574" s="3">
        <v>467.76</v>
      </c>
      <c r="Z574" t="str">
        <f t="shared" si="98"/>
        <v>Normal</v>
      </c>
      <c r="AA574" t="str">
        <f t="shared" si="99"/>
        <v>Medium</v>
      </c>
      <c r="AB574" t="str">
        <f t="shared" si="103"/>
        <v>Low Profit</v>
      </c>
      <c r="AC574" s="3">
        <f t="shared" si="104"/>
        <v>0.22710323933814963</v>
      </c>
      <c r="AD574" s="3">
        <f t="shared" si="105"/>
        <v>514.91999999999996</v>
      </c>
      <c r="AE574" s="3">
        <f t="shared" si="106"/>
        <v>116.94</v>
      </c>
      <c r="AF574" t="str">
        <f t="shared" si="107"/>
        <v>Regular</v>
      </c>
    </row>
    <row r="575" spans="1:32" x14ac:dyDescent="0.25">
      <c r="A575" t="s">
        <v>4470</v>
      </c>
      <c r="B575" s="1">
        <v>45206</v>
      </c>
      <c r="C575" s="1">
        <v>45216</v>
      </c>
      <c r="D575" s="4">
        <f t="shared" si="96"/>
        <v>10</v>
      </c>
      <c r="E575" s="4" t="str">
        <f>TEXT(Table1[[#This Row],[Order_Date]],"dddd")</f>
        <v>Saturday</v>
      </c>
      <c r="F575" s="4">
        <f t="shared" si="97"/>
        <v>10</v>
      </c>
      <c r="G575" t="str">
        <f t="shared" si="100"/>
        <v>October</v>
      </c>
      <c r="H575">
        <f t="shared" si="101"/>
        <v>2023</v>
      </c>
      <c r="I575" t="str">
        <f t="shared" si="102"/>
        <v>2023-Q4</v>
      </c>
      <c r="J575" t="s">
        <v>55</v>
      </c>
      <c r="K575" t="s">
        <v>4471</v>
      </c>
      <c r="L575" t="s">
        <v>4472</v>
      </c>
      <c r="M575" t="s">
        <v>47</v>
      </c>
      <c r="N575" t="s">
        <v>25</v>
      </c>
      <c r="O575" t="s">
        <v>255</v>
      </c>
      <c r="P575" t="s">
        <v>143</v>
      </c>
      <c r="Q575" t="s">
        <v>87</v>
      </c>
      <c r="R575" t="s">
        <v>4473</v>
      </c>
      <c r="S575" t="s">
        <v>30</v>
      </c>
      <c r="T575" t="s">
        <v>68</v>
      </c>
      <c r="U575" t="s">
        <v>4474</v>
      </c>
      <c r="V575" s="3">
        <v>2413.27</v>
      </c>
      <c r="W575" s="4">
        <v>4</v>
      </c>
      <c r="X575" s="2">
        <v>0.3</v>
      </c>
      <c r="Y575" s="3">
        <v>-328.07</v>
      </c>
      <c r="Z575" t="str">
        <f t="shared" si="98"/>
        <v>Normal</v>
      </c>
      <c r="AA575" t="str">
        <f t="shared" si="99"/>
        <v>High</v>
      </c>
      <c r="AB575" t="str">
        <f t="shared" si="103"/>
        <v>Loss</v>
      </c>
      <c r="AC575" s="3">
        <f t="shared" si="104"/>
        <v>-0.13594417533056807</v>
      </c>
      <c r="AD575" s="3">
        <f t="shared" si="105"/>
        <v>603.3175</v>
      </c>
      <c r="AE575" s="3">
        <f t="shared" si="106"/>
        <v>-82.017499999999998</v>
      </c>
      <c r="AF575" t="str">
        <f t="shared" si="107"/>
        <v>Regular</v>
      </c>
    </row>
    <row r="576" spans="1:32" x14ac:dyDescent="0.25">
      <c r="A576" t="s">
        <v>1381</v>
      </c>
      <c r="B576" s="1">
        <v>45206</v>
      </c>
      <c r="C576" s="1">
        <v>45213</v>
      </c>
      <c r="D576" s="4">
        <f t="shared" si="96"/>
        <v>7</v>
      </c>
      <c r="E576" s="4" t="str">
        <f>TEXT(Table1[[#This Row],[Order_Date]],"dddd")</f>
        <v>Saturday</v>
      </c>
      <c r="F576" s="4">
        <f t="shared" si="97"/>
        <v>10</v>
      </c>
      <c r="G576" t="str">
        <f t="shared" si="100"/>
        <v>October</v>
      </c>
      <c r="H576">
        <f t="shared" si="101"/>
        <v>2023</v>
      </c>
      <c r="I576" t="str">
        <f t="shared" si="102"/>
        <v>2023-Q4</v>
      </c>
      <c r="J576" t="s">
        <v>21</v>
      </c>
      <c r="K576" t="s">
        <v>1382</v>
      </c>
      <c r="L576" t="s">
        <v>1383</v>
      </c>
      <c r="M576" t="s">
        <v>36</v>
      </c>
      <c r="N576" t="s">
        <v>25</v>
      </c>
      <c r="O576" t="s">
        <v>201</v>
      </c>
      <c r="P576" t="s">
        <v>113</v>
      </c>
      <c r="Q576" t="s">
        <v>39</v>
      </c>
      <c r="R576" t="s">
        <v>1384</v>
      </c>
      <c r="S576" t="s">
        <v>51</v>
      </c>
      <c r="T576" t="s">
        <v>151</v>
      </c>
      <c r="U576" t="s">
        <v>1385</v>
      </c>
      <c r="V576" s="3">
        <v>199.15</v>
      </c>
      <c r="W576" s="4">
        <v>10</v>
      </c>
      <c r="X576" s="2">
        <v>0.3</v>
      </c>
      <c r="Y576" s="3">
        <v>33.78</v>
      </c>
      <c r="Z576" t="str">
        <f t="shared" si="98"/>
        <v>Normal</v>
      </c>
      <c r="AA576" t="str">
        <f t="shared" si="99"/>
        <v>High</v>
      </c>
      <c r="AB576" t="str">
        <f t="shared" si="103"/>
        <v>Low Profit</v>
      </c>
      <c r="AC576" s="3">
        <f t="shared" si="104"/>
        <v>0.16962088877730355</v>
      </c>
      <c r="AD576" s="3">
        <f t="shared" si="105"/>
        <v>19.914999999999999</v>
      </c>
      <c r="AE576" s="3">
        <f t="shared" si="106"/>
        <v>3.3780000000000001</v>
      </c>
      <c r="AF576" t="str">
        <f t="shared" si="107"/>
        <v>Regular</v>
      </c>
    </row>
    <row r="577" spans="1:32" x14ac:dyDescent="0.25">
      <c r="A577" t="s">
        <v>247</v>
      </c>
      <c r="B577" s="1">
        <v>45206</v>
      </c>
      <c r="C577" s="1">
        <v>45215</v>
      </c>
      <c r="D577" s="4">
        <f t="shared" si="96"/>
        <v>9</v>
      </c>
      <c r="E577" s="4" t="str">
        <f>TEXT(Table1[[#This Row],[Order_Date]],"dddd")</f>
        <v>Saturday</v>
      </c>
      <c r="F577" s="4">
        <f t="shared" si="97"/>
        <v>10</v>
      </c>
      <c r="G577" t="str">
        <f t="shared" si="100"/>
        <v>October</v>
      </c>
      <c r="H577">
        <f t="shared" si="101"/>
        <v>2023</v>
      </c>
      <c r="I577" t="str">
        <f t="shared" si="102"/>
        <v>2023-Q4</v>
      </c>
      <c r="J577" t="s">
        <v>104</v>
      </c>
      <c r="K577" t="s">
        <v>248</v>
      </c>
      <c r="L577" t="s">
        <v>249</v>
      </c>
      <c r="M577" t="s">
        <v>24</v>
      </c>
      <c r="N577" t="s">
        <v>25</v>
      </c>
      <c r="O577" t="s">
        <v>227</v>
      </c>
      <c r="P577" t="s">
        <v>49</v>
      </c>
      <c r="Q577" t="s">
        <v>28</v>
      </c>
      <c r="R577" t="s">
        <v>250</v>
      </c>
      <c r="S577" t="s">
        <v>30</v>
      </c>
      <c r="T577" t="s">
        <v>31</v>
      </c>
      <c r="U577" t="s">
        <v>251</v>
      </c>
      <c r="V577" s="3">
        <v>1907.47</v>
      </c>
      <c r="W577" s="4">
        <v>9</v>
      </c>
      <c r="X577" s="2">
        <v>0.2</v>
      </c>
      <c r="Y577" s="3">
        <v>70.95</v>
      </c>
      <c r="Z577" t="str">
        <f t="shared" si="98"/>
        <v>Normal</v>
      </c>
      <c r="AA577" t="str">
        <f t="shared" si="99"/>
        <v>High</v>
      </c>
      <c r="AB577" t="str">
        <f t="shared" si="103"/>
        <v>Low Profit</v>
      </c>
      <c r="AC577" s="3">
        <f t="shared" si="104"/>
        <v>3.7195866776410638E-2</v>
      </c>
      <c r="AD577" s="3">
        <f t="shared" si="105"/>
        <v>211.94111111111113</v>
      </c>
      <c r="AE577" s="3">
        <f t="shared" si="106"/>
        <v>7.8833333333333337</v>
      </c>
      <c r="AF577" t="str">
        <f t="shared" si="107"/>
        <v>Regular</v>
      </c>
    </row>
    <row r="578" spans="1:32" x14ac:dyDescent="0.25">
      <c r="A578" t="s">
        <v>1444</v>
      </c>
      <c r="B578" s="1">
        <v>45207</v>
      </c>
      <c r="C578" s="1">
        <v>45217</v>
      </c>
      <c r="D578" s="4">
        <f t="shared" ref="D578:D641" si="108">C578-B578</f>
        <v>10</v>
      </c>
      <c r="E578" s="4" t="str">
        <f>TEXT(Table1[[#This Row],[Order_Date]],"dddd")</f>
        <v>Sunday</v>
      </c>
      <c r="F578" s="4">
        <f t="shared" ref="F578:F641" si="109">MONTH(B578)</f>
        <v>10</v>
      </c>
      <c r="G578" t="str">
        <f t="shared" si="100"/>
        <v>October</v>
      </c>
      <c r="H578">
        <f t="shared" si="101"/>
        <v>2023</v>
      </c>
      <c r="I578" t="str">
        <f t="shared" si="102"/>
        <v>2023-Q4</v>
      </c>
      <c r="J578" t="s">
        <v>104</v>
      </c>
      <c r="K578" t="s">
        <v>1445</v>
      </c>
      <c r="L578" t="s">
        <v>1446</v>
      </c>
      <c r="M578" t="s">
        <v>47</v>
      </c>
      <c r="N578" t="s">
        <v>25</v>
      </c>
      <c r="O578" t="s">
        <v>382</v>
      </c>
      <c r="P578" t="s">
        <v>38</v>
      </c>
      <c r="Q578" t="s">
        <v>87</v>
      </c>
      <c r="R578" t="s">
        <v>1447</v>
      </c>
      <c r="S578" t="s">
        <v>30</v>
      </c>
      <c r="T578" t="s">
        <v>82</v>
      </c>
      <c r="U578" t="s">
        <v>1448</v>
      </c>
      <c r="V578" s="3">
        <v>4981.5600000000004</v>
      </c>
      <c r="W578" s="4">
        <v>8</v>
      </c>
      <c r="X578" s="2">
        <v>0.1</v>
      </c>
      <c r="Y578" s="3">
        <v>1236.44</v>
      </c>
      <c r="Z578" t="str">
        <f t="shared" ref="Z578:Z641" si="110">IF(OR(Y578&lt;-800.884,Y578&gt;1030.126),"Outlier","Normal")</f>
        <v>Outlier</v>
      </c>
      <c r="AA578" t="str">
        <f t="shared" ref="AA578:AA641" si="111">IF(X578&lt;10%,"Low",IF(X578&lt;0.2,"Medium","High"))</f>
        <v>Medium</v>
      </c>
      <c r="AB578" t="str">
        <f t="shared" si="103"/>
        <v>High Profit</v>
      </c>
      <c r="AC578" s="3">
        <f t="shared" si="104"/>
        <v>0.24820337404347231</v>
      </c>
      <c r="AD578" s="3">
        <f t="shared" si="105"/>
        <v>622.69500000000005</v>
      </c>
      <c r="AE578" s="3">
        <f t="shared" si="106"/>
        <v>154.55500000000001</v>
      </c>
      <c r="AF578" t="str">
        <f t="shared" si="107"/>
        <v>Regular</v>
      </c>
    </row>
    <row r="579" spans="1:32" x14ac:dyDescent="0.25">
      <c r="A579" t="s">
        <v>2408</v>
      </c>
      <c r="B579" s="1">
        <v>45208</v>
      </c>
      <c r="C579" s="1">
        <v>45214</v>
      </c>
      <c r="D579" s="4">
        <f t="shared" si="108"/>
        <v>6</v>
      </c>
      <c r="E579" s="4" t="str">
        <f>TEXT(Table1[[#This Row],[Order_Date]],"dddd")</f>
        <v>Monday</v>
      </c>
      <c r="F579" s="4">
        <f t="shared" si="109"/>
        <v>10</v>
      </c>
      <c r="G579" t="str">
        <f t="shared" ref="G579:G642" si="112">TEXT(B579,"mmmm")</f>
        <v>October</v>
      </c>
      <c r="H579">
        <f t="shared" ref="H579:H642" si="113">YEAR(B579)</f>
        <v>2023</v>
      </c>
      <c r="I579" t="str">
        <f t="shared" ref="I579:I642" si="114">H579 &amp; "-Q" &amp; INT((MONTH(B579)+2)/3)</f>
        <v>2023-Q4</v>
      </c>
      <c r="J579" t="s">
        <v>44</v>
      </c>
      <c r="K579" t="s">
        <v>2409</v>
      </c>
      <c r="L579" t="s">
        <v>2410</v>
      </c>
      <c r="M579" t="s">
        <v>47</v>
      </c>
      <c r="N579" t="s">
        <v>25</v>
      </c>
      <c r="O579" t="s">
        <v>65</v>
      </c>
      <c r="P579" t="s">
        <v>27</v>
      </c>
      <c r="Q579" t="s">
        <v>39</v>
      </c>
      <c r="R579" t="s">
        <v>2411</v>
      </c>
      <c r="S579" t="s">
        <v>30</v>
      </c>
      <c r="T579" t="s">
        <v>82</v>
      </c>
      <c r="U579" t="s">
        <v>2412</v>
      </c>
      <c r="V579" s="3">
        <v>383.6</v>
      </c>
      <c r="W579" s="4">
        <v>9</v>
      </c>
      <c r="X579" s="2">
        <v>0.2</v>
      </c>
      <c r="Y579" s="3">
        <v>-36.68</v>
      </c>
      <c r="Z579" t="str">
        <f t="shared" si="110"/>
        <v>Normal</v>
      </c>
      <c r="AA579" t="str">
        <f t="shared" si="111"/>
        <v>High</v>
      </c>
      <c r="AB579" t="str">
        <f t="shared" ref="AB579:AB642" si="115">IF(Y579&lt;0, "Loss", IF(Y579&lt;500,"Low Profit", "High Profit"))</f>
        <v>Loss</v>
      </c>
      <c r="AC579" s="3">
        <f t="shared" ref="AC579:AC642" si="116">Y579/V579</f>
        <v>-9.5620437956204368E-2</v>
      </c>
      <c r="AD579" s="3">
        <f t="shared" ref="AD579:AD642" si="117">V579/W579</f>
        <v>42.622222222222227</v>
      </c>
      <c r="AE579" s="3">
        <f t="shared" ref="AE579:AE642" si="118">Y579/W579</f>
        <v>-4.0755555555555558</v>
      </c>
      <c r="AF579" t="str">
        <f t="shared" ref="AF579:AF642" si="119">IF(V579&gt;5000,"High value", "Regular")</f>
        <v>Regular</v>
      </c>
    </row>
    <row r="580" spans="1:32" x14ac:dyDescent="0.25">
      <c r="A580" t="s">
        <v>3993</v>
      </c>
      <c r="B580" s="1">
        <v>45209</v>
      </c>
      <c r="C580" s="1">
        <v>45218</v>
      </c>
      <c r="D580" s="4">
        <f t="shared" si="108"/>
        <v>9</v>
      </c>
      <c r="E580" s="4" t="str">
        <f>TEXT(Table1[[#This Row],[Order_Date]],"dddd")</f>
        <v>Tuesday</v>
      </c>
      <c r="F580" s="4">
        <f t="shared" si="109"/>
        <v>10</v>
      </c>
      <c r="G580" t="str">
        <f t="shared" si="112"/>
        <v>October</v>
      </c>
      <c r="H580">
        <f t="shared" si="113"/>
        <v>2023</v>
      </c>
      <c r="I580" t="str">
        <f t="shared" si="114"/>
        <v>2023-Q4</v>
      </c>
      <c r="J580" t="s">
        <v>21</v>
      </c>
      <c r="K580" t="s">
        <v>3994</v>
      </c>
      <c r="L580" t="s">
        <v>3995</v>
      </c>
      <c r="M580" t="s">
        <v>36</v>
      </c>
      <c r="N580" t="s">
        <v>25</v>
      </c>
      <c r="O580" t="s">
        <v>37</v>
      </c>
      <c r="P580" t="s">
        <v>38</v>
      </c>
      <c r="Q580" t="s">
        <v>28</v>
      </c>
      <c r="R580" t="s">
        <v>3996</v>
      </c>
      <c r="S580" t="s">
        <v>51</v>
      </c>
      <c r="T580" t="s">
        <v>151</v>
      </c>
      <c r="U580" t="s">
        <v>2621</v>
      </c>
      <c r="V580" s="3">
        <v>1272.1500000000001</v>
      </c>
      <c r="W580" s="4">
        <v>4</v>
      </c>
      <c r="X580" s="2">
        <v>0</v>
      </c>
      <c r="Y580" s="3">
        <v>-75.44</v>
      </c>
      <c r="Z580" t="str">
        <f t="shared" si="110"/>
        <v>Normal</v>
      </c>
      <c r="AA580" t="str">
        <f t="shared" si="111"/>
        <v>Low</v>
      </c>
      <c r="AB580" t="str">
        <f t="shared" si="115"/>
        <v>Loss</v>
      </c>
      <c r="AC580" s="3">
        <f t="shared" si="116"/>
        <v>-5.9301183036591591E-2</v>
      </c>
      <c r="AD580" s="3">
        <f t="shared" si="117"/>
        <v>318.03750000000002</v>
      </c>
      <c r="AE580" s="3">
        <f t="shared" si="118"/>
        <v>-18.86</v>
      </c>
      <c r="AF580" t="str">
        <f t="shared" si="119"/>
        <v>Regular</v>
      </c>
    </row>
    <row r="581" spans="1:32" x14ac:dyDescent="0.25">
      <c r="A581" t="s">
        <v>6134</v>
      </c>
      <c r="B581" s="1">
        <v>45210</v>
      </c>
      <c r="C581" s="1">
        <v>45216</v>
      </c>
      <c r="D581" s="4">
        <f t="shared" si="108"/>
        <v>6</v>
      </c>
      <c r="E581" s="4" t="str">
        <f>TEXT(Table1[[#This Row],[Order_Date]],"dddd")</f>
        <v>Wednesday</v>
      </c>
      <c r="F581" s="4">
        <f t="shared" si="109"/>
        <v>10</v>
      </c>
      <c r="G581" t="str">
        <f t="shared" si="112"/>
        <v>October</v>
      </c>
      <c r="H581">
        <f t="shared" si="113"/>
        <v>2023</v>
      </c>
      <c r="I581" t="str">
        <f t="shared" si="114"/>
        <v>2023-Q4</v>
      </c>
      <c r="J581" t="s">
        <v>21</v>
      </c>
      <c r="K581" t="s">
        <v>6135</v>
      </c>
      <c r="L581" t="s">
        <v>6136</v>
      </c>
      <c r="M581" t="s">
        <v>47</v>
      </c>
      <c r="N581" t="s">
        <v>25</v>
      </c>
      <c r="O581" t="s">
        <v>179</v>
      </c>
      <c r="P581" t="s">
        <v>27</v>
      </c>
      <c r="Q581" t="s">
        <v>87</v>
      </c>
      <c r="R581" t="s">
        <v>6137</v>
      </c>
      <c r="S581" t="s">
        <v>51</v>
      </c>
      <c r="T581" t="s">
        <v>94</v>
      </c>
      <c r="U581" t="s">
        <v>6138</v>
      </c>
      <c r="V581" s="3">
        <v>30.85</v>
      </c>
      <c r="W581" s="4">
        <v>3</v>
      </c>
      <c r="X581" s="2">
        <v>0.1</v>
      </c>
      <c r="Y581" s="3">
        <v>-5.59</v>
      </c>
      <c r="Z581" t="str">
        <f t="shared" si="110"/>
        <v>Normal</v>
      </c>
      <c r="AA581" t="str">
        <f t="shared" si="111"/>
        <v>Medium</v>
      </c>
      <c r="AB581" t="str">
        <f t="shared" si="115"/>
        <v>Loss</v>
      </c>
      <c r="AC581" s="3">
        <f t="shared" si="116"/>
        <v>-0.18119935170178281</v>
      </c>
      <c r="AD581" s="3">
        <f t="shared" si="117"/>
        <v>10.283333333333333</v>
      </c>
      <c r="AE581" s="3">
        <f t="shared" si="118"/>
        <v>-1.8633333333333333</v>
      </c>
      <c r="AF581" t="str">
        <f t="shared" si="119"/>
        <v>Regular</v>
      </c>
    </row>
    <row r="582" spans="1:32" x14ac:dyDescent="0.25">
      <c r="A582" t="s">
        <v>214</v>
      </c>
      <c r="B582" s="1">
        <v>45210</v>
      </c>
      <c r="C582" s="1">
        <v>45216</v>
      </c>
      <c r="D582" s="4">
        <f t="shared" si="108"/>
        <v>6</v>
      </c>
      <c r="E582" s="4" t="str">
        <f>TEXT(Table1[[#This Row],[Order_Date]],"dddd")</f>
        <v>Wednesday</v>
      </c>
      <c r="F582" s="4">
        <f t="shared" si="109"/>
        <v>10</v>
      </c>
      <c r="G582" t="str">
        <f t="shared" si="112"/>
        <v>October</v>
      </c>
      <c r="H582">
        <f t="shared" si="113"/>
        <v>2023</v>
      </c>
      <c r="I582" t="str">
        <f t="shared" si="114"/>
        <v>2023-Q4</v>
      </c>
      <c r="J582" t="s">
        <v>44</v>
      </c>
      <c r="K582" t="s">
        <v>215</v>
      </c>
      <c r="L582" t="s">
        <v>216</v>
      </c>
      <c r="M582" t="s">
        <v>47</v>
      </c>
      <c r="N582" t="s">
        <v>25</v>
      </c>
      <c r="O582" t="s">
        <v>190</v>
      </c>
      <c r="P582" t="s">
        <v>120</v>
      </c>
      <c r="Q582" t="s">
        <v>66</v>
      </c>
      <c r="R582" t="s">
        <v>217</v>
      </c>
      <c r="S582" t="s">
        <v>59</v>
      </c>
      <c r="T582" t="s">
        <v>60</v>
      </c>
      <c r="U582" t="s">
        <v>218</v>
      </c>
      <c r="V582" s="3">
        <v>3543.26</v>
      </c>
      <c r="W582" s="4">
        <v>10</v>
      </c>
      <c r="X582" s="2">
        <v>0.1</v>
      </c>
      <c r="Y582" s="3">
        <v>-100.69</v>
      </c>
      <c r="Z582" t="str">
        <f t="shared" si="110"/>
        <v>Normal</v>
      </c>
      <c r="AA582" t="str">
        <f t="shared" si="111"/>
        <v>Medium</v>
      </c>
      <c r="AB582" t="str">
        <f t="shared" si="115"/>
        <v>Loss</v>
      </c>
      <c r="AC582" s="3">
        <f t="shared" si="116"/>
        <v>-2.8417333190338838E-2</v>
      </c>
      <c r="AD582" s="3">
        <f t="shared" si="117"/>
        <v>354.32600000000002</v>
      </c>
      <c r="AE582" s="3">
        <f t="shared" si="118"/>
        <v>-10.068999999999999</v>
      </c>
      <c r="AF582" t="str">
        <f t="shared" si="119"/>
        <v>Regular</v>
      </c>
    </row>
    <row r="583" spans="1:32" x14ac:dyDescent="0.25">
      <c r="A583" t="s">
        <v>4754</v>
      </c>
      <c r="B583" s="1">
        <v>45210</v>
      </c>
      <c r="C583" s="1">
        <v>45220</v>
      </c>
      <c r="D583" s="4">
        <f t="shared" si="108"/>
        <v>10</v>
      </c>
      <c r="E583" s="4" t="str">
        <f>TEXT(Table1[[#This Row],[Order_Date]],"dddd")</f>
        <v>Wednesday</v>
      </c>
      <c r="F583" s="4">
        <f t="shared" si="109"/>
        <v>10</v>
      </c>
      <c r="G583" t="str">
        <f t="shared" si="112"/>
        <v>October</v>
      </c>
      <c r="H583">
        <f t="shared" si="113"/>
        <v>2023</v>
      </c>
      <c r="I583" t="str">
        <f t="shared" si="114"/>
        <v>2023-Q4</v>
      </c>
      <c r="J583" t="s">
        <v>21</v>
      </c>
      <c r="K583" t="s">
        <v>4755</v>
      </c>
      <c r="L583" t="s">
        <v>4756</v>
      </c>
      <c r="M583" t="s">
        <v>24</v>
      </c>
      <c r="N583" t="s">
        <v>25</v>
      </c>
      <c r="O583" t="s">
        <v>37</v>
      </c>
      <c r="P583" t="s">
        <v>38</v>
      </c>
      <c r="Q583" t="s">
        <v>66</v>
      </c>
      <c r="R583" t="s">
        <v>4757</v>
      </c>
      <c r="S583" t="s">
        <v>51</v>
      </c>
      <c r="T583" t="s">
        <v>52</v>
      </c>
      <c r="U583" t="s">
        <v>4758</v>
      </c>
      <c r="V583" s="3">
        <v>4843.46</v>
      </c>
      <c r="W583" s="4">
        <v>6</v>
      </c>
      <c r="X583" s="2">
        <v>0.1</v>
      </c>
      <c r="Y583" s="3">
        <v>-733.61</v>
      </c>
      <c r="Z583" t="str">
        <f t="shared" si="110"/>
        <v>Normal</v>
      </c>
      <c r="AA583" t="str">
        <f t="shared" si="111"/>
        <v>Medium</v>
      </c>
      <c r="AB583" t="str">
        <f t="shared" si="115"/>
        <v>Loss</v>
      </c>
      <c r="AC583" s="3">
        <f t="shared" si="116"/>
        <v>-0.15146403604035133</v>
      </c>
      <c r="AD583" s="3">
        <f t="shared" si="117"/>
        <v>807.24333333333334</v>
      </c>
      <c r="AE583" s="3">
        <f t="shared" si="118"/>
        <v>-122.26833333333333</v>
      </c>
      <c r="AF583" t="str">
        <f t="shared" si="119"/>
        <v>Regular</v>
      </c>
    </row>
    <row r="584" spans="1:32" x14ac:dyDescent="0.25">
      <c r="A584" t="s">
        <v>3826</v>
      </c>
      <c r="B584" s="1">
        <v>45210</v>
      </c>
      <c r="C584" s="1">
        <v>45215</v>
      </c>
      <c r="D584" s="4">
        <f t="shared" si="108"/>
        <v>5</v>
      </c>
      <c r="E584" s="4" t="str">
        <f>TEXT(Table1[[#This Row],[Order_Date]],"dddd")</f>
        <v>Wednesday</v>
      </c>
      <c r="F584" s="4">
        <f t="shared" si="109"/>
        <v>10</v>
      </c>
      <c r="G584" t="str">
        <f t="shared" si="112"/>
        <v>October</v>
      </c>
      <c r="H584">
        <f t="shared" si="113"/>
        <v>2023</v>
      </c>
      <c r="I584" t="str">
        <f t="shared" si="114"/>
        <v>2023-Q4</v>
      </c>
      <c r="J584" t="s">
        <v>55</v>
      </c>
      <c r="K584" t="s">
        <v>3827</v>
      </c>
      <c r="L584" t="s">
        <v>3828</v>
      </c>
      <c r="M584" t="s">
        <v>47</v>
      </c>
      <c r="N584" t="s">
        <v>25</v>
      </c>
      <c r="O584" t="s">
        <v>149</v>
      </c>
      <c r="P584" t="s">
        <v>113</v>
      </c>
      <c r="Q584" t="s">
        <v>87</v>
      </c>
      <c r="R584" t="s">
        <v>3829</v>
      </c>
      <c r="S584" t="s">
        <v>30</v>
      </c>
      <c r="T584" t="s">
        <v>31</v>
      </c>
      <c r="U584" t="s">
        <v>3830</v>
      </c>
      <c r="V584" s="3">
        <v>4107.05</v>
      </c>
      <c r="W584" s="4">
        <v>10</v>
      </c>
      <c r="X584" s="2">
        <v>0.2</v>
      </c>
      <c r="Y584" s="3">
        <v>-387.99</v>
      </c>
      <c r="Z584" t="str">
        <f t="shared" si="110"/>
        <v>Normal</v>
      </c>
      <c r="AA584" t="str">
        <f t="shared" si="111"/>
        <v>High</v>
      </c>
      <c r="AB584" t="str">
        <f t="shared" si="115"/>
        <v>Loss</v>
      </c>
      <c r="AC584" s="3">
        <f t="shared" si="116"/>
        <v>-9.4469266261672E-2</v>
      </c>
      <c r="AD584" s="3">
        <f t="shared" si="117"/>
        <v>410.70500000000004</v>
      </c>
      <c r="AE584" s="3">
        <f t="shared" si="118"/>
        <v>-38.798999999999999</v>
      </c>
      <c r="AF584" t="str">
        <f t="shared" si="119"/>
        <v>Regular</v>
      </c>
    </row>
    <row r="585" spans="1:32" x14ac:dyDescent="0.25">
      <c r="A585" t="s">
        <v>3121</v>
      </c>
      <c r="B585" s="1">
        <v>45210</v>
      </c>
      <c r="C585" s="1">
        <v>45212</v>
      </c>
      <c r="D585" s="4">
        <f t="shared" si="108"/>
        <v>2</v>
      </c>
      <c r="E585" s="4" t="str">
        <f>TEXT(Table1[[#This Row],[Order_Date]],"dddd")</f>
        <v>Wednesday</v>
      </c>
      <c r="F585" s="4">
        <f t="shared" si="109"/>
        <v>10</v>
      </c>
      <c r="G585" t="str">
        <f t="shared" si="112"/>
        <v>October</v>
      </c>
      <c r="H585">
        <f t="shared" si="113"/>
        <v>2023</v>
      </c>
      <c r="I585" t="str">
        <f t="shared" si="114"/>
        <v>2023-Q4</v>
      </c>
      <c r="J585" t="s">
        <v>104</v>
      </c>
      <c r="K585" t="s">
        <v>3122</v>
      </c>
      <c r="L585" t="s">
        <v>3123</v>
      </c>
      <c r="M585" t="s">
        <v>24</v>
      </c>
      <c r="N585" t="s">
        <v>25</v>
      </c>
      <c r="O585" t="s">
        <v>611</v>
      </c>
      <c r="P585" t="s">
        <v>74</v>
      </c>
      <c r="Q585" t="s">
        <v>66</v>
      </c>
      <c r="R585" t="s">
        <v>3124</v>
      </c>
      <c r="S585" t="s">
        <v>30</v>
      </c>
      <c r="T585" t="s">
        <v>68</v>
      </c>
      <c r="U585" t="s">
        <v>3125</v>
      </c>
      <c r="V585" s="3">
        <v>459.39</v>
      </c>
      <c r="W585" s="4">
        <v>10</v>
      </c>
      <c r="X585" s="2">
        <v>0.3</v>
      </c>
      <c r="Y585" s="3">
        <v>28.99</v>
      </c>
      <c r="Z585" t="str">
        <f t="shared" si="110"/>
        <v>Normal</v>
      </c>
      <c r="AA585" t="str">
        <f t="shared" si="111"/>
        <v>High</v>
      </c>
      <c r="AB585" t="str">
        <f t="shared" si="115"/>
        <v>Low Profit</v>
      </c>
      <c r="AC585" s="3">
        <f t="shared" si="116"/>
        <v>6.3105422407975786E-2</v>
      </c>
      <c r="AD585" s="3">
        <f t="shared" si="117"/>
        <v>45.939</v>
      </c>
      <c r="AE585" s="3">
        <f t="shared" si="118"/>
        <v>2.899</v>
      </c>
      <c r="AF585" t="str">
        <f t="shared" si="119"/>
        <v>Regular</v>
      </c>
    </row>
    <row r="586" spans="1:32" x14ac:dyDescent="0.25">
      <c r="A586" t="s">
        <v>2656</v>
      </c>
      <c r="B586" s="1">
        <v>45210</v>
      </c>
      <c r="C586" s="1">
        <v>45216</v>
      </c>
      <c r="D586" s="4">
        <f t="shared" si="108"/>
        <v>6</v>
      </c>
      <c r="E586" s="4" t="str">
        <f>TEXT(Table1[[#This Row],[Order_Date]],"dddd")</f>
        <v>Wednesday</v>
      </c>
      <c r="F586" s="4">
        <f t="shared" si="109"/>
        <v>10</v>
      </c>
      <c r="G586" t="str">
        <f t="shared" si="112"/>
        <v>October</v>
      </c>
      <c r="H586">
        <f t="shared" si="113"/>
        <v>2023</v>
      </c>
      <c r="I586" t="str">
        <f t="shared" si="114"/>
        <v>2023-Q4</v>
      </c>
      <c r="J586" t="s">
        <v>104</v>
      </c>
      <c r="K586" t="s">
        <v>2657</v>
      </c>
      <c r="L586" t="s">
        <v>2658</v>
      </c>
      <c r="M586" t="s">
        <v>24</v>
      </c>
      <c r="N586" t="s">
        <v>25</v>
      </c>
      <c r="O586" t="s">
        <v>382</v>
      </c>
      <c r="P586" t="s">
        <v>38</v>
      </c>
      <c r="Q586" t="s">
        <v>87</v>
      </c>
      <c r="R586" t="s">
        <v>2659</v>
      </c>
      <c r="S586" t="s">
        <v>30</v>
      </c>
      <c r="T586" t="s">
        <v>68</v>
      </c>
      <c r="U586" t="s">
        <v>2660</v>
      </c>
      <c r="V586" s="3">
        <v>3996.25</v>
      </c>
      <c r="W586" s="4">
        <v>5</v>
      </c>
      <c r="X586" s="2">
        <v>0.1</v>
      </c>
      <c r="Y586" s="3">
        <v>780.69</v>
      </c>
      <c r="Z586" t="str">
        <f t="shared" si="110"/>
        <v>Normal</v>
      </c>
      <c r="AA586" t="str">
        <f t="shared" si="111"/>
        <v>Medium</v>
      </c>
      <c r="AB586" t="str">
        <f t="shared" si="115"/>
        <v>High Profit</v>
      </c>
      <c r="AC586" s="3">
        <f t="shared" si="116"/>
        <v>0.19535564591804819</v>
      </c>
      <c r="AD586" s="3">
        <f t="shared" si="117"/>
        <v>799.25</v>
      </c>
      <c r="AE586" s="3">
        <f t="shared" si="118"/>
        <v>156.13800000000001</v>
      </c>
      <c r="AF586" t="str">
        <f t="shared" si="119"/>
        <v>Regular</v>
      </c>
    </row>
    <row r="587" spans="1:32" x14ac:dyDescent="0.25">
      <c r="A587" t="s">
        <v>5521</v>
      </c>
      <c r="B587" s="1">
        <v>45211</v>
      </c>
      <c r="C587" s="1">
        <v>45221</v>
      </c>
      <c r="D587" s="4">
        <f t="shared" si="108"/>
        <v>10</v>
      </c>
      <c r="E587" s="4" t="str">
        <f>TEXT(Table1[[#This Row],[Order_Date]],"dddd")</f>
        <v>Thursday</v>
      </c>
      <c r="F587" s="4">
        <f t="shared" si="109"/>
        <v>10</v>
      </c>
      <c r="G587" t="str">
        <f t="shared" si="112"/>
        <v>October</v>
      </c>
      <c r="H587">
        <f t="shared" si="113"/>
        <v>2023</v>
      </c>
      <c r="I587" t="str">
        <f t="shared" si="114"/>
        <v>2023-Q4</v>
      </c>
      <c r="J587" t="s">
        <v>44</v>
      </c>
      <c r="K587" t="s">
        <v>5522</v>
      </c>
      <c r="L587" t="s">
        <v>5523</v>
      </c>
      <c r="M587" t="s">
        <v>24</v>
      </c>
      <c r="N587" t="s">
        <v>25</v>
      </c>
      <c r="O587" t="s">
        <v>65</v>
      </c>
      <c r="P587" t="s">
        <v>27</v>
      </c>
      <c r="Q587" t="s">
        <v>28</v>
      </c>
      <c r="R587" t="s">
        <v>5524</v>
      </c>
      <c r="S587" t="s">
        <v>51</v>
      </c>
      <c r="T587" t="s">
        <v>108</v>
      </c>
      <c r="U587" t="s">
        <v>5525</v>
      </c>
      <c r="V587" s="3">
        <v>3648.2</v>
      </c>
      <c r="W587" s="4">
        <v>9</v>
      </c>
      <c r="X587" s="2">
        <v>0.2</v>
      </c>
      <c r="Y587" s="3">
        <v>789.16</v>
      </c>
      <c r="Z587" t="str">
        <f t="shared" si="110"/>
        <v>Normal</v>
      </c>
      <c r="AA587" t="str">
        <f t="shared" si="111"/>
        <v>High</v>
      </c>
      <c r="AB587" t="str">
        <f t="shared" si="115"/>
        <v>High Profit</v>
      </c>
      <c r="AC587" s="3">
        <f t="shared" si="116"/>
        <v>0.21631489501672058</v>
      </c>
      <c r="AD587" s="3">
        <f t="shared" si="117"/>
        <v>405.35555555555555</v>
      </c>
      <c r="AE587" s="3">
        <f t="shared" si="118"/>
        <v>87.684444444444438</v>
      </c>
      <c r="AF587" t="str">
        <f t="shared" si="119"/>
        <v>Regular</v>
      </c>
    </row>
    <row r="588" spans="1:32" x14ac:dyDescent="0.25">
      <c r="A588" t="s">
        <v>4391</v>
      </c>
      <c r="B588" s="1">
        <v>45212</v>
      </c>
      <c r="C588" s="1">
        <v>45221</v>
      </c>
      <c r="D588" s="4">
        <f t="shared" si="108"/>
        <v>9</v>
      </c>
      <c r="E588" s="4" t="str">
        <f>TEXT(Table1[[#This Row],[Order_Date]],"dddd")</f>
        <v>Friday</v>
      </c>
      <c r="F588" s="4">
        <f t="shared" si="109"/>
        <v>10</v>
      </c>
      <c r="G588" t="str">
        <f t="shared" si="112"/>
        <v>October</v>
      </c>
      <c r="H588">
        <f t="shared" si="113"/>
        <v>2023</v>
      </c>
      <c r="I588" t="str">
        <f t="shared" si="114"/>
        <v>2023-Q4</v>
      </c>
      <c r="J588" t="s">
        <v>55</v>
      </c>
      <c r="K588" t="s">
        <v>4392</v>
      </c>
      <c r="L588" t="s">
        <v>4393</v>
      </c>
      <c r="M588" t="s">
        <v>36</v>
      </c>
      <c r="N588" t="s">
        <v>25</v>
      </c>
      <c r="O588" t="s">
        <v>201</v>
      </c>
      <c r="P588" t="s">
        <v>113</v>
      </c>
      <c r="Q588" t="s">
        <v>28</v>
      </c>
      <c r="R588" t="s">
        <v>4394</v>
      </c>
      <c r="S588" t="s">
        <v>51</v>
      </c>
      <c r="T588" t="s">
        <v>127</v>
      </c>
      <c r="U588" t="s">
        <v>4395</v>
      </c>
      <c r="V588" s="3">
        <v>3429.4</v>
      </c>
      <c r="W588" s="4">
        <v>7</v>
      </c>
      <c r="X588" s="2">
        <v>0.1</v>
      </c>
      <c r="Y588" s="3">
        <v>846.21</v>
      </c>
      <c r="Z588" t="str">
        <f t="shared" si="110"/>
        <v>Normal</v>
      </c>
      <c r="AA588" t="str">
        <f t="shared" si="111"/>
        <v>Medium</v>
      </c>
      <c r="AB588" t="str">
        <f t="shared" si="115"/>
        <v>High Profit</v>
      </c>
      <c r="AC588" s="3">
        <f t="shared" si="116"/>
        <v>0.24675161835889661</v>
      </c>
      <c r="AD588" s="3">
        <f t="shared" si="117"/>
        <v>489.91428571428571</v>
      </c>
      <c r="AE588" s="3">
        <f t="shared" si="118"/>
        <v>120.88714285714286</v>
      </c>
      <c r="AF588" t="str">
        <f t="shared" si="119"/>
        <v>Regular</v>
      </c>
    </row>
    <row r="589" spans="1:32" x14ac:dyDescent="0.25">
      <c r="A589" t="s">
        <v>614</v>
      </c>
      <c r="B589" s="1">
        <v>45212</v>
      </c>
      <c r="C589" s="1">
        <v>45214</v>
      </c>
      <c r="D589" s="4">
        <f t="shared" si="108"/>
        <v>2</v>
      </c>
      <c r="E589" s="4" t="str">
        <f>TEXT(Table1[[#This Row],[Order_Date]],"dddd")</f>
        <v>Friday</v>
      </c>
      <c r="F589" s="4">
        <f t="shared" si="109"/>
        <v>10</v>
      </c>
      <c r="G589" t="str">
        <f t="shared" si="112"/>
        <v>October</v>
      </c>
      <c r="H589">
        <f t="shared" si="113"/>
        <v>2023</v>
      </c>
      <c r="I589" t="str">
        <f t="shared" si="114"/>
        <v>2023-Q4</v>
      </c>
      <c r="J589" t="s">
        <v>104</v>
      </c>
      <c r="K589" t="s">
        <v>615</v>
      </c>
      <c r="L589" t="s">
        <v>616</v>
      </c>
      <c r="M589" t="s">
        <v>36</v>
      </c>
      <c r="N589" t="s">
        <v>25</v>
      </c>
      <c r="O589" t="s">
        <v>73</v>
      </c>
      <c r="P589" t="s">
        <v>74</v>
      </c>
      <c r="Q589" t="s">
        <v>87</v>
      </c>
      <c r="R589" t="s">
        <v>617</v>
      </c>
      <c r="S589" t="s">
        <v>30</v>
      </c>
      <c r="T589" t="s">
        <v>82</v>
      </c>
      <c r="U589" t="s">
        <v>618</v>
      </c>
      <c r="V589" s="3">
        <v>2839.55</v>
      </c>
      <c r="W589" s="4">
        <v>4</v>
      </c>
      <c r="X589" s="2">
        <v>0.4</v>
      </c>
      <c r="Y589" s="3">
        <v>-238.26</v>
      </c>
      <c r="Z589" t="str">
        <f t="shared" si="110"/>
        <v>Normal</v>
      </c>
      <c r="AA589" t="str">
        <f t="shared" si="111"/>
        <v>High</v>
      </c>
      <c r="AB589" t="str">
        <f t="shared" si="115"/>
        <v>Loss</v>
      </c>
      <c r="AC589" s="3">
        <f t="shared" si="116"/>
        <v>-8.3907661425225821E-2</v>
      </c>
      <c r="AD589" s="3">
        <f t="shared" si="117"/>
        <v>709.88750000000005</v>
      </c>
      <c r="AE589" s="3">
        <f t="shared" si="118"/>
        <v>-59.564999999999998</v>
      </c>
      <c r="AF589" t="str">
        <f t="shared" si="119"/>
        <v>Regular</v>
      </c>
    </row>
    <row r="590" spans="1:32" x14ac:dyDescent="0.25">
      <c r="A590" t="s">
        <v>3578</v>
      </c>
      <c r="B590" s="1">
        <v>45212</v>
      </c>
      <c r="C590" s="1">
        <v>45220</v>
      </c>
      <c r="D590" s="4">
        <f t="shared" si="108"/>
        <v>8</v>
      </c>
      <c r="E590" s="4" t="str">
        <f>TEXT(Table1[[#This Row],[Order_Date]],"dddd")</f>
        <v>Friday</v>
      </c>
      <c r="F590" s="4">
        <f t="shared" si="109"/>
        <v>10</v>
      </c>
      <c r="G590" t="str">
        <f t="shared" si="112"/>
        <v>October</v>
      </c>
      <c r="H590">
        <f t="shared" si="113"/>
        <v>2023</v>
      </c>
      <c r="I590" t="str">
        <f t="shared" si="114"/>
        <v>2023-Q4</v>
      </c>
      <c r="J590" t="s">
        <v>21</v>
      </c>
      <c r="K590" t="s">
        <v>3579</v>
      </c>
      <c r="L590" t="s">
        <v>3580</v>
      </c>
      <c r="M590" t="s">
        <v>24</v>
      </c>
      <c r="N590" t="s">
        <v>25</v>
      </c>
      <c r="O590" t="s">
        <v>113</v>
      </c>
      <c r="P590" t="s">
        <v>113</v>
      </c>
      <c r="Q590" t="s">
        <v>66</v>
      </c>
      <c r="R590" t="s">
        <v>3581</v>
      </c>
      <c r="S590" t="s">
        <v>51</v>
      </c>
      <c r="T590" t="s">
        <v>52</v>
      </c>
      <c r="U590" t="s">
        <v>1809</v>
      </c>
      <c r="V590" s="3">
        <v>28.21</v>
      </c>
      <c r="W590" s="4">
        <v>1</v>
      </c>
      <c r="X590" s="2">
        <v>0.3</v>
      </c>
      <c r="Y590" s="3">
        <v>6.14</v>
      </c>
      <c r="Z590" t="str">
        <f t="shared" si="110"/>
        <v>Normal</v>
      </c>
      <c r="AA590" t="str">
        <f t="shared" si="111"/>
        <v>High</v>
      </c>
      <c r="AB590" t="str">
        <f t="shared" si="115"/>
        <v>Low Profit</v>
      </c>
      <c r="AC590" s="3">
        <f t="shared" si="116"/>
        <v>0.21765331442750796</v>
      </c>
      <c r="AD590" s="3">
        <f t="shared" si="117"/>
        <v>28.21</v>
      </c>
      <c r="AE590" s="3">
        <f t="shared" si="118"/>
        <v>6.14</v>
      </c>
      <c r="AF590" t="str">
        <f t="shared" si="119"/>
        <v>Regular</v>
      </c>
    </row>
    <row r="591" spans="1:32" x14ac:dyDescent="0.25">
      <c r="A591" t="s">
        <v>3523</v>
      </c>
      <c r="B591" s="1">
        <v>45213</v>
      </c>
      <c r="C591" s="1">
        <v>45215</v>
      </c>
      <c r="D591" s="4">
        <f t="shared" si="108"/>
        <v>2</v>
      </c>
      <c r="E591" s="4" t="str">
        <f>TEXT(Table1[[#This Row],[Order_Date]],"dddd")</f>
        <v>Saturday</v>
      </c>
      <c r="F591" s="4">
        <f t="shared" si="109"/>
        <v>10</v>
      </c>
      <c r="G591" t="str">
        <f t="shared" si="112"/>
        <v>October</v>
      </c>
      <c r="H591">
        <f t="shared" si="113"/>
        <v>2023</v>
      </c>
      <c r="I591" t="str">
        <f t="shared" si="114"/>
        <v>2023-Q4</v>
      </c>
      <c r="J591" t="s">
        <v>44</v>
      </c>
      <c r="K591" t="s">
        <v>3524</v>
      </c>
      <c r="L591" t="s">
        <v>3525</v>
      </c>
      <c r="M591" t="s">
        <v>36</v>
      </c>
      <c r="N591" t="s">
        <v>25</v>
      </c>
      <c r="O591" t="s">
        <v>99</v>
      </c>
      <c r="P591" t="s">
        <v>74</v>
      </c>
      <c r="Q591" t="s">
        <v>87</v>
      </c>
      <c r="R591" t="s">
        <v>3526</v>
      </c>
      <c r="S591" t="s">
        <v>59</v>
      </c>
      <c r="T591" t="s">
        <v>303</v>
      </c>
      <c r="U591" t="s">
        <v>3527</v>
      </c>
      <c r="V591" s="3">
        <v>744.9</v>
      </c>
      <c r="W591" s="4">
        <v>2</v>
      </c>
      <c r="X591" s="2">
        <v>0.1</v>
      </c>
      <c r="Y591" s="3">
        <v>-129.06</v>
      </c>
      <c r="Z591" t="str">
        <f t="shared" si="110"/>
        <v>Normal</v>
      </c>
      <c r="AA591" t="str">
        <f t="shared" si="111"/>
        <v>Medium</v>
      </c>
      <c r="AB591" t="str">
        <f t="shared" si="115"/>
        <v>Loss</v>
      </c>
      <c r="AC591" s="3">
        <f t="shared" si="116"/>
        <v>-0.17325815545710835</v>
      </c>
      <c r="AD591" s="3">
        <f t="shared" si="117"/>
        <v>372.45</v>
      </c>
      <c r="AE591" s="3">
        <f t="shared" si="118"/>
        <v>-64.53</v>
      </c>
      <c r="AF591" t="str">
        <f t="shared" si="119"/>
        <v>Regular</v>
      </c>
    </row>
    <row r="592" spans="1:32" x14ac:dyDescent="0.25">
      <c r="A592" t="s">
        <v>5454</v>
      </c>
      <c r="B592" s="1">
        <v>45214</v>
      </c>
      <c r="C592" s="1">
        <v>45223</v>
      </c>
      <c r="D592" s="4">
        <f t="shared" si="108"/>
        <v>9</v>
      </c>
      <c r="E592" s="4" t="str">
        <f>TEXT(Table1[[#This Row],[Order_Date]],"dddd")</f>
        <v>Sunday</v>
      </c>
      <c r="F592" s="4">
        <f t="shared" si="109"/>
        <v>10</v>
      </c>
      <c r="G592" t="str">
        <f t="shared" si="112"/>
        <v>October</v>
      </c>
      <c r="H592">
        <f t="shared" si="113"/>
        <v>2023</v>
      </c>
      <c r="I592" t="str">
        <f t="shared" si="114"/>
        <v>2023-Q4</v>
      </c>
      <c r="J592" t="s">
        <v>55</v>
      </c>
      <c r="K592" t="s">
        <v>5455</v>
      </c>
      <c r="L592" t="s">
        <v>5456</v>
      </c>
      <c r="M592" t="s">
        <v>24</v>
      </c>
      <c r="N592" t="s">
        <v>25</v>
      </c>
      <c r="O592" t="s">
        <v>162</v>
      </c>
      <c r="P592" t="s">
        <v>163</v>
      </c>
      <c r="Q592" t="s">
        <v>39</v>
      </c>
      <c r="R592" t="s">
        <v>5457</v>
      </c>
      <c r="S592" t="s">
        <v>30</v>
      </c>
      <c r="T592" t="s">
        <v>31</v>
      </c>
      <c r="U592" t="s">
        <v>5458</v>
      </c>
      <c r="V592" s="3">
        <v>3429.69</v>
      </c>
      <c r="W592" s="4">
        <v>2</v>
      </c>
      <c r="X592" s="2">
        <v>0</v>
      </c>
      <c r="Y592" s="3">
        <v>567.88</v>
      </c>
      <c r="Z592" t="str">
        <f t="shared" si="110"/>
        <v>Normal</v>
      </c>
      <c r="AA592" t="str">
        <f t="shared" si="111"/>
        <v>Low</v>
      </c>
      <c r="AB592" t="str">
        <f t="shared" si="115"/>
        <v>High Profit</v>
      </c>
      <c r="AC592" s="3">
        <f t="shared" si="116"/>
        <v>0.16557764695934618</v>
      </c>
      <c r="AD592" s="3">
        <f t="shared" si="117"/>
        <v>1714.845</v>
      </c>
      <c r="AE592" s="3">
        <f t="shared" si="118"/>
        <v>283.94</v>
      </c>
      <c r="AF592" t="str">
        <f t="shared" si="119"/>
        <v>Regular</v>
      </c>
    </row>
    <row r="593" spans="1:32" x14ac:dyDescent="0.25">
      <c r="A593" t="s">
        <v>1376</v>
      </c>
      <c r="B593" s="1">
        <v>45214</v>
      </c>
      <c r="C593" s="1">
        <v>45221</v>
      </c>
      <c r="D593" s="4">
        <f t="shared" si="108"/>
        <v>7</v>
      </c>
      <c r="E593" s="4" t="str">
        <f>TEXT(Table1[[#This Row],[Order_Date]],"dddd")</f>
        <v>Sunday</v>
      </c>
      <c r="F593" s="4">
        <f t="shared" si="109"/>
        <v>10</v>
      </c>
      <c r="G593" t="str">
        <f t="shared" si="112"/>
        <v>October</v>
      </c>
      <c r="H593">
        <f t="shared" si="113"/>
        <v>2023</v>
      </c>
      <c r="I593" t="str">
        <f t="shared" si="114"/>
        <v>2023-Q4</v>
      </c>
      <c r="J593" t="s">
        <v>44</v>
      </c>
      <c r="K593" t="s">
        <v>1377</v>
      </c>
      <c r="L593" t="s">
        <v>1378</v>
      </c>
      <c r="M593" t="s">
        <v>47</v>
      </c>
      <c r="N593" t="s">
        <v>25</v>
      </c>
      <c r="O593" t="s">
        <v>149</v>
      </c>
      <c r="P593" t="s">
        <v>113</v>
      </c>
      <c r="Q593" t="s">
        <v>66</v>
      </c>
      <c r="R593" t="s">
        <v>1379</v>
      </c>
      <c r="S593" t="s">
        <v>30</v>
      </c>
      <c r="T593" t="s">
        <v>31</v>
      </c>
      <c r="U593" t="s">
        <v>1380</v>
      </c>
      <c r="V593" s="3">
        <v>2560.02</v>
      </c>
      <c r="W593" s="4">
        <v>4</v>
      </c>
      <c r="X593" s="2">
        <v>0.4</v>
      </c>
      <c r="Y593" s="3">
        <v>239.96</v>
      </c>
      <c r="Z593" t="str">
        <f t="shared" si="110"/>
        <v>Normal</v>
      </c>
      <c r="AA593" t="str">
        <f t="shared" si="111"/>
        <v>High</v>
      </c>
      <c r="AB593" t="str">
        <f t="shared" si="115"/>
        <v>Low Profit</v>
      </c>
      <c r="AC593" s="3">
        <f t="shared" si="116"/>
        <v>9.3733642705916359E-2</v>
      </c>
      <c r="AD593" s="3">
        <f t="shared" si="117"/>
        <v>640.005</v>
      </c>
      <c r="AE593" s="3">
        <f t="shared" si="118"/>
        <v>59.99</v>
      </c>
      <c r="AF593" t="str">
        <f t="shared" si="119"/>
        <v>Regular</v>
      </c>
    </row>
    <row r="594" spans="1:32" x14ac:dyDescent="0.25">
      <c r="A594" t="s">
        <v>5682</v>
      </c>
      <c r="B594" s="1">
        <v>45215</v>
      </c>
      <c r="C594" s="1">
        <v>45217</v>
      </c>
      <c r="D594" s="4">
        <f t="shared" si="108"/>
        <v>2</v>
      </c>
      <c r="E594" s="4" t="str">
        <f>TEXT(Table1[[#This Row],[Order_Date]],"dddd")</f>
        <v>Monday</v>
      </c>
      <c r="F594" s="4">
        <f t="shared" si="109"/>
        <v>10</v>
      </c>
      <c r="G594" t="str">
        <f t="shared" si="112"/>
        <v>October</v>
      </c>
      <c r="H594">
        <f t="shared" si="113"/>
        <v>2023</v>
      </c>
      <c r="I594" t="str">
        <f t="shared" si="114"/>
        <v>2023-Q4</v>
      </c>
      <c r="J594" t="s">
        <v>44</v>
      </c>
      <c r="K594" t="s">
        <v>5683</v>
      </c>
      <c r="L594" t="s">
        <v>5684</v>
      </c>
      <c r="M594" t="s">
        <v>47</v>
      </c>
      <c r="N594" t="s">
        <v>25</v>
      </c>
      <c r="O594" t="s">
        <v>37</v>
      </c>
      <c r="P594" t="s">
        <v>38</v>
      </c>
      <c r="Q594" t="s">
        <v>39</v>
      </c>
      <c r="R594" t="s">
        <v>5685</v>
      </c>
      <c r="S594" t="s">
        <v>51</v>
      </c>
      <c r="T594" t="s">
        <v>127</v>
      </c>
      <c r="U594" t="s">
        <v>5686</v>
      </c>
      <c r="V594" s="3">
        <v>4339.3999999999996</v>
      </c>
      <c r="W594" s="4">
        <v>4</v>
      </c>
      <c r="X594" s="2">
        <v>0.4</v>
      </c>
      <c r="Y594" s="3">
        <v>413.94</v>
      </c>
      <c r="Z594" t="str">
        <f t="shared" si="110"/>
        <v>Normal</v>
      </c>
      <c r="AA594" t="str">
        <f t="shared" si="111"/>
        <v>High</v>
      </c>
      <c r="AB594" t="str">
        <f t="shared" si="115"/>
        <v>Low Profit</v>
      </c>
      <c r="AC594" s="3">
        <f t="shared" si="116"/>
        <v>9.5391067889569997E-2</v>
      </c>
      <c r="AD594" s="3">
        <f t="shared" si="117"/>
        <v>1084.8499999999999</v>
      </c>
      <c r="AE594" s="3">
        <f t="shared" si="118"/>
        <v>103.485</v>
      </c>
      <c r="AF594" t="str">
        <f t="shared" si="119"/>
        <v>Regular</v>
      </c>
    </row>
    <row r="595" spans="1:32" x14ac:dyDescent="0.25">
      <c r="A595" t="s">
        <v>4270</v>
      </c>
      <c r="B595" s="1">
        <v>45215</v>
      </c>
      <c r="C595" s="1">
        <v>45220</v>
      </c>
      <c r="D595" s="4">
        <f t="shared" si="108"/>
        <v>5</v>
      </c>
      <c r="E595" s="4" t="str">
        <f>TEXT(Table1[[#This Row],[Order_Date]],"dddd")</f>
        <v>Monday</v>
      </c>
      <c r="F595" s="4">
        <f t="shared" si="109"/>
        <v>10</v>
      </c>
      <c r="G595" t="str">
        <f t="shared" si="112"/>
        <v>October</v>
      </c>
      <c r="H595">
        <f t="shared" si="113"/>
        <v>2023</v>
      </c>
      <c r="I595" t="str">
        <f t="shared" si="114"/>
        <v>2023-Q4</v>
      </c>
      <c r="J595" t="s">
        <v>21</v>
      </c>
      <c r="K595" t="s">
        <v>4271</v>
      </c>
      <c r="L595" t="s">
        <v>4272</v>
      </c>
      <c r="M595" t="s">
        <v>47</v>
      </c>
      <c r="N595" t="s">
        <v>25</v>
      </c>
      <c r="O595" t="s">
        <v>451</v>
      </c>
      <c r="P595" t="s">
        <v>38</v>
      </c>
      <c r="Q595" t="s">
        <v>87</v>
      </c>
      <c r="R595" t="s">
        <v>4273</v>
      </c>
      <c r="S595" t="s">
        <v>30</v>
      </c>
      <c r="T595" t="s">
        <v>31</v>
      </c>
      <c r="U595" t="s">
        <v>3750</v>
      </c>
      <c r="V595" s="3">
        <v>1881.56</v>
      </c>
      <c r="W595" s="4">
        <v>10</v>
      </c>
      <c r="X595" s="2">
        <v>0.4</v>
      </c>
      <c r="Y595" s="3">
        <v>185.55</v>
      </c>
      <c r="Z595" t="str">
        <f t="shared" si="110"/>
        <v>Normal</v>
      </c>
      <c r="AA595" t="str">
        <f t="shared" si="111"/>
        <v>High</v>
      </c>
      <c r="AB595" t="str">
        <f t="shared" si="115"/>
        <v>Low Profit</v>
      </c>
      <c r="AC595" s="3">
        <f t="shared" si="116"/>
        <v>9.8614979059928998E-2</v>
      </c>
      <c r="AD595" s="3">
        <f t="shared" si="117"/>
        <v>188.15600000000001</v>
      </c>
      <c r="AE595" s="3">
        <f t="shared" si="118"/>
        <v>18.555</v>
      </c>
      <c r="AF595" t="str">
        <f t="shared" si="119"/>
        <v>Regular</v>
      </c>
    </row>
    <row r="596" spans="1:32" x14ac:dyDescent="0.25">
      <c r="A596" t="s">
        <v>5672</v>
      </c>
      <c r="B596" s="1">
        <v>45215</v>
      </c>
      <c r="C596" s="1">
        <v>45216</v>
      </c>
      <c r="D596" s="4">
        <f t="shared" si="108"/>
        <v>1</v>
      </c>
      <c r="E596" s="4" t="str">
        <f>TEXT(Table1[[#This Row],[Order_Date]],"dddd")</f>
        <v>Monday</v>
      </c>
      <c r="F596" s="4">
        <f t="shared" si="109"/>
        <v>10</v>
      </c>
      <c r="G596" t="str">
        <f t="shared" si="112"/>
        <v>October</v>
      </c>
      <c r="H596">
        <f t="shared" si="113"/>
        <v>2023</v>
      </c>
      <c r="I596" t="str">
        <f t="shared" si="114"/>
        <v>2023-Q4</v>
      </c>
      <c r="J596" t="s">
        <v>44</v>
      </c>
      <c r="K596" t="s">
        <v>5673</v>
      </c>
      <c r="L596" t="s">
        <v>5674</v>
      </c>
      <c r="M596" t="s">
        <v>24</v>
      </c>
      <c r="N596" t="s">
        <v>25</v>
      </c>
      <c r="O596" t="s">
        <v>48</v>
      </c>
      <c r="P596" t="s">
        <v>49</v>
      </c>
      <c r="Q596" t="s">
        <v>39</v>
      </c>
      <c r="R596" t="s">
        <v>5675</v>
      </c>
      <c r="S596" t="s">
        <v>59</v>
      </c>
      <c r="T596" t="s">
        <v>303</v>
      </c>
      <c r="U596" t="s">
        <v>5676</v>
      </c>
      <c r="V596" s="3">
        <v>4428.34</v>
      </c>
      <c r="W596" s="4">
        <v>10</v>
      </c>
      <c r="X596" s="2">
        <v>0</v>
      </c>
      <c r="Y596" s="3">
        <v>753.65</v>
      </c>
      <c r="Z596" t="str">
        <f t="shared" si="110"/>
        <v>Normal</v>
      </c>
      <c r="AA596" t="str">
        <f t="shared" si="111"/>
        <v>Low</v>
      </c>
      <c r="AB596" t="str">
        <f t="shared" si="115"/>
        <v>High Profit</v>
      </c>
      <c r="AC596" s="3">
        <f t="shared" si="116"/>
        <v>0.17018792594967866</v>
      </c>
      <c r="AD596" s="3">
        <f t="shared" si="117"/>
        <v>442.834</v>
      </c>
      <c r="AE596" s="3">
        <f t="shared" si="118"/>
        <v>75.364999999999995</v>
      </c>
      <c r="AF596" t="str">
        <f t="shared" si="119"/>
        <v>Regular</v>
      </c>
    </row>
    <row r="597" spans="1:32" x14ac:dyDescent="0.25">
      <c r="A597" t="s">
        <v>4077</v>
      </c>
      <c r="B597" s="1">
        <v>45216</v>
      </c>
      <c r="C597" s="1">
        <v>45225</v>
      </c>
      <c r="D597" s="4">
        <f t="shared" si="108"/>
        <v>9</v>
      </c>
      <c r="E597" s="4" t="str">
        <f>TEXT(Table1[[#This Row],[Order_Date]],"dddd")</f>
        <v>Tuesday</v>
      </c>
      <c r="F597" s="4">
        <f t="shared" si="109"/>
        <v>10</v>
      </c>
      <c r="G597" t="str">
        <f t="shared" si="112"/>
        <v>October</v>
      </c>
      <c r="H597">
        <f t="shared" si="113"/>
        <v>2023</v>
      </c>
      <c r="I597" t="str">
        <f t="shared" si="114"/>
        <v>2023-Q4</v>
      </c>
      <c r="J597" t="s">
        <v>21</v>
      </c>
      <c r="K597" t="s">
        <v>7402</v>
      </c>
      <c r="L597" t="s">
        <v>4078</v>
      </c>
      <c r="M597" t="s">
        <v>24</v>
      </c>
      <c r="N597" t="s">
        <v>25</v>
      </c>
      <c r="O597" t="s">
        <v>26</v>
      </c>
      <c r="P597" t="s">
        <v>27</v>
      </c>
      <c r="Q597" t="s">
        <v>66</v>
      </c>
      <c r="R597" t="s">
        <v>4079</v>
      </c>
      <c r="S597" t="s">
        <v>30</v>
      </c>
      <c r="T597" t="s">
        <v>31</v>
      </c>
      <c r="U597" t="s">
        <v>4080</v>
      </c>
      <c r="V597" s="3">
        <v>861.91</v>
      </c>
      <c r="W597" s="4">
        <v>4</v>
      </c>
      <c r="X597" s="2">
        <v>0.4</v>
      </c>
      <c r="Y597" s="3">
        <v>-75.319999999999993</v>
      </c>
      <c r="Z597" t="str">
        <f t="shared" si="110"/>
        <v>Normal</v>
      </c>
      <c r="AA597" t="str">
        <f t="shared" si="111"/>
        <v>High</v>
      </c>
      <c r="AB597" t="str">
        <f t="shared" si="115"/>
        <v>Loss</v>
      </c>
      <c r="AC597" s="3">
        <f t="shared" si="116"/>
        <v>-8.7387314220742307E-2</v>
      </c>
      <c r="AD597" s="3">
        <f t="shared" si="117"/>
        <v>215.47749999999999</v>
      </c>
      <c r="AE597" s="3">
        <f t="shared" si="118"/>
        <v>-18.829999999999998</v>
      </c>
      <c r="AF597" t="str">
        <f t="shared" si="119"/>
        <v>Regular</v>
      </c>
    </row>
    <row r="598" spans="1:32" x14ac:dyDescent="0.25">
      <c r="A598" t="s">
        <v>4396</v>
      </c>
      <c r="B598" s="1">
        <v>45217</v>
      </c>
      <c r="C598" s="1">
        <v>45226</v>
      </c>
      <c r="D598" s="4">
        <f t="shared" si="108"/>
        <v>9</v>
      </c>
      <c r="E598" s="4" t="str">
        <f>TEXT(Table1[[#This Row],[Order_Date]],"dddd")</f>
        <v>Wednesday</v>
      </c>
      <c r="F598" s="4">
        <f t="shared" si="109"/>
        <v>10</v>
      </c>
      <c r="G598" t="str">
        <f t="shared" si="112"/>
        <v>October</v>
      </c>
      <c r="H598">
        <f t="shared" si="113"/>
        <v>2023</v>
      </c>
      <c r="I598" t="str">
        <f t="shared" si="114"/>
        <v>2023-Q4</v>
      </c>
      <c r="J598" t="s">
        <v>55</v>
      </c>
      <c r="K598" t="s">
        <v>4397</v>
      </c>
      <c r="L598" t="s">
        <v>4398</v>
      </c>
      <c r="M598" t="s">
        <v>36</v>
      </c>
      <c r="N598" t="s">
        <v>25</v>
      </c>
      <c r="O598" t="s">
        <v>65</v>
      </c>
      <c r="P598" t="s">
        <v>27</v>
      </c>
      <c r="Q598" t="s">
        <v>87</v>
      </c>
      <c r="R598" t="s">
        <v>4399</v>
      </c>
      <c r="S598" t="s">
        <v>59</v>
      </c>
      <c r="T598" t="s">
        <v>101</v>
      </c>
      <c r="U598" t="s">
        <v>4400</v>
      </c>
      <c r="V598" s="3">
        <v>1049.1500000000001</v>
      </c>
      <c r="W598" s="4">
        <v>9</v>
      </c>
      <c r="X598" s="2">
        <v>0.3</v>
      </c>
      <c r="Y598" s="3">
        <v>39.81</v>
      </c>
      <c r="Z598" t="str">
        <f t="shared" si="110"/>
        <v>Normal</v>
      </c>
      <c r="AA598" t="str">
        <f t="shared" si="111"/>
        <v>High</v>
      </c>
      <c r="AB598" t="str">
        <f t="shared" si="115"/>
        <v>Low Profit</v>
      </c>
      <c r="AC598" s="3">
        <f t="shared" si="116"/>
        <v>3.7945003097745796E-2</v>
      </c>
      <c r="AD598" s="3">
        <f t="shared" si="117"/>
        <v>116.57222222222224</v>
      </c>
      <c r="AE598" s="3">
        <f t="shared" si="118"/>
        <v>4.4233333333333338</v>
      </c>
      <c r="AF598" t="str">
        <f t="shared" si="119"/>
        <v>Regular</v>
      </c>
    </row>
    <row r="599" spans="1:32" x14ac:dyDescent="0.25">
      <c r="A599" t="s">
        <v>4769</v>
      </c>
      <c r="B599" s="1">
        <v>45217</v>
      </c>
      <c r="C599" s="1">
        <v>45226</v>
      </c>
      <c r="D599" s="4">
        <f t="shared" si="108"/>
        <v>9</v>
      </c>
      <c r="E599" s="4" t="str">
        <f>TEXT(Table1[[#This Row],[Order_Date]],"dddd")</f>
        <v>Wednesday</v>
      </c>
      <c r="F599" s="4">
        <f t="shared" si="109"/>
        <v>10</v>
      </c>
      <c r="G599" t="str">
        <f t="shared" si="112"/>
        <v>October</v>
      </c>
      <c r="H599">
        <f t="shared" si="113"/>
        <v>2023</v>
      </c>
      <c r="I599" t="str">
        <f t="shared" si="114"/>
        <v>2023-Q4</v>
      </c>
      <c r="J599" t="s">
        <v>21</v>
      </c>
      <c r="K599" t="s">
        <v>4770</v>
      </c>
      <c r="L599" t="s">
        <v>4771</v>
      </c>
      <c r="M599" t="s">
        <v>36</v>
      </c>
      <c r="N599" t="s">
        <v>25</v>
      </c>
      <c r="O599" t="s">
        <v>113</v>
      </c>
      <c r="P599" t="s">
        <v>113</v>
      </c>
      <c r="Q599" t="s">
        <v>39</v>
      </c>
      <c r="R599" t="s">
        <v>4772</v>
      </c>
      <c r="S599" t="s">
        <v>30</v>
      </c>
      <c r="T599" t="s">
        <v>68</v>
      </c>
      <c r="U599" t="s">
        <v>4773</v>
      </c>
      <c r="V599" s="3">
        <v>1207.96</v>
      </c>
      <c r="W599" s="4">
        <v>3</v>
      </c>
      <c r="X599" s="2">
        <v>0.3</v>
      </c>
      <c r="Y599" s="3">
        <v>322.99</v>
      </c>
      <c r="Z599" t="str">
        <f t="shared" si="110"/>
        <v>Normal</v>
      </c>
      <c r="AA599" t="str">
        <f t="shared" si="111"/>
        <v>High</v>
      </c>
      <c r="AB599" t="str">
        <f t="shared" si="115"/>
        <v>Low Profit</v>
      </c>
      <c r="AC599" s="3">
        <f t="shared" si="116"/>
        <v>0.26738468161197393</v>
      </c>
      <c r="AD599" s="3">
        <f t="shared" si="117"/>
        <v>402.65333333333336</v>
      </c>
      <c r="AE599" s="3">
        <f t="shared" si="118"/>
        <v>107.66333333333334</v>
      </c>
      <c r="AF599" t="str">
        <f t="shared" si="119"/>
        <v>Regular</v>
      </c>
    </row>
    <row r="600" spans="1:32" x14ac:dyDescent="0.25">
      <c r="A600" t="s">
        <v>2035</v>
      </c>
      <c r="B600" s="1">
        <v>45217</v>
      </c>
      <c r="C600" s="1">
        <v>45227</v>
      </c>
      <c r="D600" s="4">
        <f t="shared" si="108"/>
        <v>10</v>
      </c>
      <c r="E600" s="4" t="str">
        <f>TEXT(Table1[[#This Row],[Order_Date]],"dddd")</f>
        <v>Wednesday</v>
      </c>
      <c r="F600" s="4">
        <f t="shared" si="109"/>
        <v>10</v>
      </c>
      <c r="G600" t="str">
        <f t="shared" si="112"/>
        <v>October</v>
      </c>
      <c r="H600">
        <f t="shared" si="113"/>
        <v>2023</v>
      </c>
      <c r="I600" t="str">
        <f t="shared" si="114"/>
        <v>2023-Q4</v>
      </c>
      <c r="J600" t="s">
        <v>55</v>
      </c>
      <c r="K600" t="s">
        <v>2036</v>
      </c>
      <c r="L600" t="s">
        <v>2037</v>
      </c>
      <c r="M600" t="s">
        <v>47</v>
      </c>
      <c r="N600" t="s">
        <v>25</v>
      </c>
      <c r="O600" t="s">
        <v>382</v>
      </c>
      <c r="P600" t="s">
        <v>38</v>
      </c>
      <c r="Q600" t="s">
        <v>28</v>
      </c>
      <c r="R600" t="s">
        <v>2038</v>
      </c>
      <c r="S600" t="s">
        <v>30</v>
      </c>
      <c r="T600" t="s">
        <v>31</v>
      </c>
      <c r="U600" t="s">
        <v>2039</v>
      </c>
      <c r="V600" s="3">
        <v>3059.97</v>
      </c>
      <c r="W600" s="4">
        <v>3</v>
      </c>
      <c r="X600" s="2">
        <v>0</v>
      </c>
      <c r="Y600" s="3">
        <v>27.78</v>
      </c>
      <c r="Z600" t="str">
        <f t="shared" si="110"/>
        <v>Normal</v>
      </c>
      <c r="AA600" t="str">
        <f t="shared" si="111"/>
        <v>Low</v>
      </c>
      <c r="AB600" t="str">
        <f t="shared" si="115"/>
        <v>Low Profit</v>
      </c>
      <c r="AC600" s="3">
        <f t="shared" si="116"/>
        <v>9.0785203776507627E-3</v>
      </c>
      <c r="AD600" s="3">
        <f t="shared" si="117"/>
        <v>1019.9899999999999</v>
      </c>
      <c r="AE600" s="3">
        <f t="shared" si="118"/>
        <v>9.26</v>
      </c>
      <c r="AF600" t="str">
        <f t="shared" si="119"/>
        <v>Regular</v>
      </c>
    </row>
    <row r="601" spans="1:32" x14ac:dyDescent="0.25">
      <c r="A601" t="s">
        <v>2172</v>
      </c>
      <c r="B601" s="1">
        <v>45218</v>
      </c>
      <c r="C601" s="1">
        <v>45227</v>
      </c>
      <c r="D601" s="4">
        <f t="shared" si="108"/>
        <v>9</v>
      </c>
      <c r="E601" s="4" t="str">
        <f>TEXT(Table1[[#This Row],[Order_Date]],"dddd")</f>
        <v>Thursday</v>
      </c>
      <c r="F601" s="4">
        <f t="shared" si="109"/>
        <v>10</v>
      </c>
      <c r="G601" t="str">
        <f t="shared" si="112"/>
        <v>October</v>
      </c>
      <c r="H601">
        <f t="shared" si="113"/>
        <v>2023</v>
      </c>
      <c r="I601" t="str">
        <f t="shared" si="114"/>
        <v>2023-Q4</v>
      </c>
      <c r="J601" t="s">
        <v>44</v>
      </c>
      <c r="K601" t="s">
        <v>2173</v>
      </c>
      <c r="L601" t="s">
        <v>2174</v>
      </c>
      <c r="M601" t="s">
        <v>24</v>
      </c>
      <c r="N601" t="s">
        <v>25</v>
      </c>
      <c r="O601" t="s">
        <v>201</v>
      </c>
      <c r="P601" t="s">
        <v>113</v>
      </c>
      <c r="Q601" t="s">
        <v>28</v>
      </c>
      <c r="R601" t="s">
        <v>2175</v>
      </c>
      <c r="S601" t="s">
        <v>51</v>
      </c>
      <c r="T601" t="s">
        <v>151</v>
      </c>
      <c r="U601" t="s">
        <v>2176</v>
      </c>
      <c r="V601" s="3">
        <v>3345.5</v>
      </c>
      <c r="W601" s="4">
        <v>8</v>
      </c>
      <c r="X601" s="2">
        <v>0.1</v>
      </c>
      <c r="Y601" s="3">
        <v>607.29999999999995</v>
      </c>
      <c r="Z601" t="str">
        <f t="shared" si="110"/>
        <v>Normal</v>
      </c>
      <c r="AA601" t="str">
        <f t="shared" si="111"/>
        <v>Medium</v>
      </c>
      <c r="AB601" t="str">
        <f t="shared" si="115"/>
        <v>High Profit</v>
      </c>
      <c r="AC601" s="3">
        <f t="shared" si="116"/>
        <v>0.18152742489911822</v>
      </c>
      <c r="AD601" s="3">
        <f t="shared" si="117"/>
        <v>418.1875</v>
      </c>
      <c r="AE601" s="3">
        <f t="shared" si="118"/>
        <v>75.912499999999994</v>
      </c>
      <c r="AF601" t="str">
        <f t="shared" si="119"/>
        <v>Regular</v>
      </c>
    </row>
    <row r="602" spans="1:32" x14ac:dyDescent="0.25">
      <c r="A602" t="s">
        <v>1760</v>
      </c>
      <c r="B602" s="1">
        <v>45218</v>
      </c>
      <c r="C602" s="1">
        <v>45228</v>
      </c>
      <c r="D602" s="4">
        <f t="shared" si="108"/>
        <v>10</v>
      </c>
      <c r="E602" s="4" t="str">
        <f>TEXT(Table1[[#This Row],[Order_Date]],"dddd")</f>
        <v>Thursday</v>
      </c>
      <c r="F602" s="4">
        <f t="shared" si="109"/>
        <v>10</v>
      </c>
      <c r="G602" t="str">
        <f t="shared" si="112"/>
        <v>October</v>
      </c>
      <c r="H602">
        <f t="shared" si="113"/>
        <v>2023</v>
      </c>
      <c r="I602" t="str">
        <f t="shared" si="114"/>
        <v>2023-Q4</v>
      </c>
      <c r="J602" t="s">
        <v>104</v>
      </c>
      <c r="K602" t="s">
        <v>1761</v>
      </c>
      <c r="L602" t="s">
        <v>1762</v>
      </c>
      <c r="M602" t="s">
        <v>36</v>
      </c>
      <c r="N602" t="s">
        <v>25</v>
      </c>
      <c r="O602" t="s">
        <v>162</v>
      </c>
      <c r="P602" t="s">
        <v>163</v>
      </c>
      <c r="Q602" t="s">
        <v>87</v>
      </c>
      <c r="R602" t="s">
        <v>1763</v>
      </c>
      <c r="S602" t="s">
        <v>30</v>
      </c>
      <c r="T602" t="s">
        <v>41</v>
      </c>
      <c r="U602" t="s">
        <v>1764</v>
      </c>
      <c r="V602" s="3">
        <v>1345.28</v>
      </c>
      <c r="W602" s="4">
        <v>8</v>
      </c>
      <c r="X602" s="2">
        <v>0.1</v>
      </c>
      <c r="Y602" s="3">
        <v>372.12</v>
      </c>
      <c r="Z602" t="str">
        <f t="shared" si="110"/>
        <v>Normal</v>
      </c>
      <c r="AA602" t="str">
        <f t="shared" si="111"/>
        <v>Medium</v>
      </c>
      <c r="AB602" t="str">
        <f t="shared" si="115"/>
        <v>Low Profit</v>
      </c>
      <c r="AC602" s="3">
        <f t="shared" si="116"/>
        <v>0.27661156041864893</v>
      </c>
      <c r="AD602" s="3">
        <f t="shared" si="117"/>
        <v>168.16</v>
      </c>
      <c r="AE602" s="3">
        <f t="shared" si="118"/>
        <v>46.515000000000001</v>
      </c>
      <c r="AF602" t="str">
        <f t="shared" si="119"/>
        <v>Regular</v>
      </c>
    </row>
    <row r="603" spans="1:32" x14ac:dyDescent="0.25">
      <c r="A603" t="s">
        <v>5389</v>
      </c>
      <c r="B603" s="1">
        <v>45218</v>
      </c>
      <c r="C603" s="1">
        <v>45226</v>
      </c>
      <c r="D603" s="4">
        <f t="shared" si="108"/>
        <v>8</v>
      </c>
      <c r="E603" s="4" t="str">
        <f>TEXT(Table1[[#This Row],[Order_Date]],"dddd")</f>
        <v>Thursday</v>
      </c>
      <c r="F603" s="4">
        <f t="shared" si="109"/>
        <v>10</v>
      </c>
      <c r="G603" t="str">
        <f t="shared" si="112"/>
        <v>October</v>
      </c>
      <c r="H603">
        <f t="shared" si="113"/>
        <v>2023</v>
      </c>
      <c r="I603" t="str">
        <f t="shared" si="114"/>
        <v>2023-Q4</v>
      </c>
      <c r="J603" t="s">
        <v>55</v>
      </c>
      <c r="K603" t="s">
        <v>5390</v>
      </c>
      <c r="L603" t="s">
        <v>5391</v>
      </c>
      <c r="M603" t="s">
        <v>24</v>
      </c>
      <c r="N603" t="s">
        <v>25</v>
      </c>
      <c r="O603" t="s">
        <v>382</v>
      </c>
      <c r="P603" t="s">
        <v>38</v>
      </c>
      <c r="Q603" t="s">
        <v>66</v>
      </c>
      <c r="R603" t="s">
        <v>5392</v>
      </c>
      <c r="S603" t="s">
        <v>59</v>
      </c>
      <c r="T603" t="s">
        <v>101</v>
      </c>
      <c r="U603" t="s">
        <v>5393</v>
      </c>
      <c r="V603" s="3">
        <v>4699.5</v>
      </c>
      <c r="W603" s="4">
        <v>6</v>
      </c>
      <c r="X603" s="2">
        <v>0.4</v>
      </c>
      <c r="Y603" s="3">
        <v>1279.9100000000001</v>
      </c>
      <c r="Z603" t="str">
        <f t="shared" si="110"/>
        <v>Outlier</v>
      </c>
      <c r="AA603" t="str">
        <f t="shared" si="111"/>
        <v>High</v>
      </c>
      <c r="AB603" t="str">
        <f t="shared" si="115"/>
        <v>High Profit</v>
      </c>
      <c r="AC603" s="3">
        <f t="shared" si="116"/>
        <v>0.27235025002659857</v>
      </c>
      <c r="AD603" s="3">
        <f t="shared" si="117"/>
        <v>783.25</v>
      </c>
      <c r="AE603" s="3">
        <f t="shared" si="118"/>
        <v>213.31833333333336</v>
      </c>
      <c r="AF603" t="str">
        <f t="shared" si="119"/>
        <v>Regular</v>
      </c>
    </row>
    <row r="604" spans="1:32" x14ac:dyDescent="0.25">
      <c r="A604" t="s">
        <v>4849</v>
      </c>
      <c r="B604" s="1">
        <v>45219</v>
      </c>
      <c r="C604" s="1">
        <v>45222</v>
      </c>
      <c r="D604" s="4">
        <f t="shared" si="108"/>
        <v>3</v>
      </c>
      <c r="E604" s="4" t="str">
        <f>TEXT(Table1[[#This Row],[Order_Date]],"dddd")</f>
        <v>Friday</v>
      </c>
      <c r="F604" s="4">
        <f t="shared" si="109"/>
        <v>10</v>
      </c>
      <c r="G604" t="str">
        <f t="shared" si="112"/>
        <v>October</v>
      </c>
      <c r="H604">
        <f t="shared" si="113"/>
        <v>2023</v>
      </c>
      <c r="I604" t="str">
        <f t="shared" si="114"/>
        <v>2023-Q4</v>
      </c>
      <c r="J604" t="s">
        <v>44</v>
      </c>
      <c r="K604" t="s">
        <v>4850</v>
      </c>
      <c r="L604" t="s">
        <v>4851</v>
      </c>
      <c r="M604" t="s">
        <v>47</v>
      </c>
      <c r="N604" t="s">
        <v>25</v>
      </c>
      <c r="O604" t="s">
        <v>65</v>
      </c>
      <c r="P604" t="s">
        <v>27</v>
      </c>
      <c r="Q604" t="s">
        <v>28</v>
      </c>
      <c r="R604" t="s">
        <v>4852</v>
      </c>
      <c r="S604" t="s">
        <v>59</v>
      </c>
      <c r="T604" t="s">
        <v>303</v>
      </c>
      <c r="U604" t="s">
        <v>4853</v>
      </c>
      <c r="V604" s="3">
        <v>4205.09</v>
      </c>
      <c r="W604" s="4">
        <v>6</v>
      </c>
      <c r="X604" s="2">
        <v>0.1</v>
      </c>
      <c r="Y604" s="3">
        <v>326.39999999999998</v>
      </c>
      <c r="Z604" t="str">
        <f t="shared" si="110"/>
        <v>Normal</v>
      </c>
      <c r="AA604" t="str">
        <f t="shared" si="111"/>
        <v>Medium</v>
      </c>
      <c r="AB604" t="str">
        <f t="shared" si="115"/>
        <v>Low Profit</v>
      </c>
      <c r="AC604" s="3">
        <f t="shared" si="116"/>
        <v>7.7620217403194691E-2</v>
      </c>
      <c r="AD604" s="3">
        <f t="shared" si="117"/>
        <v>700.84833333333336</v>
      </c>
      <c r="AE604" s="3">
        <f t="shared" si="118"/>
        <v>54.4</v>
      </c>
      <c r="AF604" t="str">
        <f t="shared" si="119"/>
        <v>Regular</v>
      </c>
    </row>
    <row r="605" spans="1:32" x14ac:dyDescent="0.25">
      <c r="A605" t="s">
        <v>664</v>
      </c>
      <c r="B605" s="1">
        <v>45219</v>
      </c>
      <c r="C605" s="1">
        <v>45226</v>
      </c>
      <c r="D605" s="4">
        <f t="shared" si="108"/>
        <v>7</v>
      </c>
      <c r="E605" s="4" t="str">
        <f>TEXT(Table1[[#This Row],[Order_Date]],"dddd")</f>
        <v>Friday</v>
      </c>
      <c r="F605" s="4">
        <f t="shared" si="109"/>
        <v>10</v>
      </c>
      <c r="G605" t="str">
        <f t="shared" si="112"/>
        <v>October</v>
      </c>
      <c r="H605">
        <f t="shared" si="113"/>
        <v>2023</v>
      </c>
      <c r="I605" t="str">
        <f t="shared" si="114"/>
        <v>2023-Q4</v>
      </c>
      <c r="J605" t="s">
        <v>104</v>
      </c>
      <c r="K605" t="s">
        <v>665</v>
      </c>
      <c r="L605" t="s">
        <v>666</v>
      </c>
      <c r="M605" t="s">
        <v>24</v>
      </c>
      <c r="N605" t="s">
        <v>25</v>
      </c>
      <c r="O605" t="s">
        <v>142</v>
      </c>
      <c r="P605" t="s">
        <v>143</v>
      </c>
      <c r="Q605" t="s">
        <v>39</v>
      </c>
      <c r="R605" t="s">
        <v>667</v>
      </c>
      <c r="S605" t="s">
        <v>51</v>
      </c>
      <c r="T605" t="s">
        <v>94</v>
      </c>
      <c r="U605" t="s">
        <v>668</v>
      </c>
      <c r="V605" s="3">
        <v>1675.62</v>
      </c>
      <c r="W605" s="4">
        <v>9</v>
      </c>
      <c r="X605" s="2">
        <v>0.1</v>
      </c>
      <c r="Y605" s="3">
        <v>-325.66000000000003</v>
      </c>
      <c r="Z605" t="str">
        <f t="shared" si="110"/>
        <v>Normal</v>
      </c>
      <c r="AA605" t="str">
        <f t="shared" si="111"/>
        <v>Medium</v>
      </c>
      <c r="AB605" t="str">
        <f t="shared" si="115"/>
        <v>Loss</v>
      </c>
      <c r="AC605" s="3">
        <f t="shared" si="116"/>
        <v>-0.19435194137095527</v>
      </c>
      <c r="AD605" s="3">
        <f t="shared" si="117"/>
        <v>186.17999999999998</v>
      </c>
      <c r="AE605" s="3">
        <f t="shared" si="118"/>
        <v>-36.184444444444445</v>
      </c>
      <c r="AF605" t="str">
        <f t="shared" si="119"/>
        <v>Regular</v>
      </c>
    </row>
    <row r="606" spans="1:32" x14ac:dyDescent="0.25">
      <c r="A606" t="s">
        <v>4198</v>
      </c>
      <c r="B606" s="1">
        <v>45219</v>
      </c>
      <c r="C606" s="1">
        <v>45222</v>
      </c>
      <c r="D606" s="4">
        <f t="shared" si="108"/>
        <v>3</v>
      </c>
      <c r="E606" s="4" t="str">
        <f>TEXT(Table1[[#This Row],[Order_Date]],"dddd")</f>
        <v>Friday</v>
      </c>
      <c r="F606" s="4">
        <f t="shared" si="109"/>
        <v>10</v>
      </c>
      <c r="G606" t="str">
        <f t="shared" si="112"/>
        <v>October</v>
      </c>
      <c r="H606">
        <f t="shared" si="113"/>
        <v>2023</v>
      </c>
      <c r="I606" t="str">
        <f t="shared" si="114"/>
        <v>2023-Q4</v>
      </c>
      <c r="J606" t="s">
        <v>44</v>
      </c>
      <c r="K606" t="s">
        <v>4199</v>
      </c>
      <c r="L606" t="s">
        <v>4200</v>
      </c>
      <c r="M606" t="s">
        <v>24</v>
      </c>
      <c r="N606" t="s">
        <v>25</v>
      </c>
      <c r="O606" t="s">
        <v>113</v>
      </c>
      <c r="P606" t="s">
        <v>113</v>
      </c>
      <c r="Q606" t="s">
        <v>66</v>
      </c>
      <c r="R606" t="s">
        <v>4201</v>
      </c>
      <c r="S606" t="s">
        <v>59</v>
      </c>
      <c r="T606" t="s">
        <v>303</v>
      </c>
      <c r="U606" t="s">
        <v>4202</v>
      </c>
      <c r="V606" s="3">
        <v>3724.6</v>
      </c>
      <c r="W606" s="4">
        <v>5</v>
      </c>
      <c r="X606" s="2">
        <v>0.4</v>
      </c>
      <c r="Y606" s="3">
        <v>12.8</v>
      </c>
      <c r="Z606" t="str">
        <f t="shared" si="110"/>
        <v>Normal</v>
      </c>
      <c r="AA606" t="str">
        <f t="shared" si="111"/>
        <v>High</v>
      </c>
      <c r="AB606" t="str">
        <f t="shared" si="115"/>
        <v>Low Profit</v>
      </c>
      <c r="AC606" s="3">
        <f t="shared" si="116"/>
        <v>3.4366106427535844E-3</v>
      </c>
      <c r="AD606" s="3">
        <f t="shared" si="117"/>
        <v>744.92</v>
      </c>
      <c r="AE606" s="3">
        <f t="shared" si="118"/>
        <v>2.56</v>
      </c>
      <c r="AF606" t="str">
        <f t="shared" si="119"/>
        <v>Regular</v>
      </c>
    </row>
    <row r="607" spans="1:32" x14ac:dyDescent="0.25">
      <c r="A607" t="s">
        <v>2810</v>
      </c>
      <c r="B607" s="1">
        <v>45220</v>
      </c>
      <c r="C607" s="1">
        <v>45222</v>
      </c>
      <c r="D607" s="4">
        <f t="shared" si="108"/>
        <v>2</v>
      </c>
      <c r="E607" s="4" t="str">
        <f>TEXT(Table1[[#This Row],[Order_Date]],"dddd")</f>
        <v>Saturday</v>
      </c>
      <c r="F607" s="4">
        <f t="shared" si="109"/>
        <v>10</v>
      </c>
      <c r="G607" t="str">
        <f t="shared" si="112"/>
        <v>October</v>
      </c>
      <c r="H607">
        <f t="shared" si="113"/>
        <v>2023</v>
      </c>
      <c r="I607" t="str">
        <f t="shared" si="114"/>
        <v>2023-Q4</v>
      </c>
      <c r="J607" t="s">
        <v>55</v>
      </c>
      <c r="K607" t="s">
        <v>2811</v>
      </c>
      <c r="L607" t="s">
        <v>2812</v>
      </c>
      <c r="M607" t="s">
        <v>36</v>
      </c>
      <c r="N607" t="s">
        <v>25</v>
      </c>
      <c r="O607" t="s">
        <v>611</v>
      </c>
      <c r="P607" t="s">
        <v>74</v>
      </c>
      <c r="Q607" t="s">
        <v>39</v>
      </c>
      <c r="R607" t="s">
        <v>2813</v>
      </c>
      <c r="S607" t="s">
        <v>51</v>
      </c>
      <c r="T607" t="s">
        <v>94</v>
      </c>
      <c r="U607" t="s">
        <v>2814</v>
      </c>
      <c r="V607" s="3">
        <v>549.32000000000005</v>
      </c>
      <c r="W607" s="4">
        <v>7</v>
      </c>
      <c r="X607" s="2">
        <v>0.3</v>
      </c>
      <c r="Y607" s="3">
        <v>-23.86</v>
      </c>
      <c r="Z607" t="str">
        <f t="shared" si="110"/>
        <v>Normal</v>
      </c>
      <c r="AA607" t="str">
        <f t="shared" si="111"/>
        <v>High</v>
      </c>
      <c r="AB607" t="str">
        <f t="shared" si="115"/>
        <v>Loss</v>
      </c>
      <c r="AC607" s="3">
        <f t="shared" si="116"/>
        <v>-4.3435520279618431E-2</v>
      </c>
      <c r="AD607" s="3">
        <f t="shared" si="117"/>
        <v>78.474285714285728</v>
      </c>
      <c r="AE607" s="3">
        <f t="shared" si="118"/>
        <v>-3.4085714285714284</v>
      </c>
      <c r="AF607" t="str">
        <f t="shared" si="119"/>
        <v>Regular</v>
      </c>
    </row>
    <row r="608" spans="1:32" x14ac:dyDescent="0.25">
      <c r="A608" t="s">
        <v>314</v>
      </c>
      <c r="B608" s="1">
        <v>45221</v>
      </c>
      <c r="C608" s="1">
        <v>45231</v>
      </c>
      <c r="D608" s="4">
        <f t="shared" si="108"/>
        <v>10</v>
      </c>
      <c r="E608" s="4" t="str">
        <f>TEXT(Table1[[#This Row],[Order_Date]],"dddd")</f>
        <v>Sunday</v>
      </c>
      <c r="F608" s="4">
        <f t="shared" si="109"/>
        <v>10</v>
      </c>
      <c r="G608" t="str">
        <f t="shared" si="112"/>
        <v>October</v>
      </c>
      <c r="H608">
        <f t="shared" si="113"/>
        <v>2023</v>
      </c>
      <c r="I608" t="str">
        <f t="shared" si="114"/>
        <v>2023-Q4</v>
      </c>
      <c r="J608" t="s">
        <v>21</v>
      </c>
      <c r="K608" t="s">
        <v>315</v>
      </c>
      <c r="L608" t="s">
        <v>316</v>
      </c>
      <c r="M608" t="s">
        <v>24</v>
      </c>
      <c r="N608" t="s">
        <v>25</v>
      </c>
      <c r="O608" t="s">
        <v>73</v>
      </c>
      <c r="P608" t="s">
        <v>74</v>
      </c>
      <c r="Q608" t="s">
        <v>28</v>
      </c>
      <c r="R608" t="s">
        <v>317</v>
      </c>
      <c r="S608" t="s">
        <v>30</v>
      </c>
      <c r="T608" t="s">
        <v>82</v>
      </c>
      <c r="U608" t="s">
        <v>318</v>
      </c>
      <c r="V608" s="3">
        <v>521.38</v>
      </c>
      <c r="W608" s="4">
        <v>9</v>
      </c>
      <c r="X608" s="2">
        <v>0.1</v>
      </c>
      <c r="Y608" s="3">
        <v>89.26</v>
      </c>
      <c r="Z608" t="str">
        <f t="shared" si="110"/>
        <v>Normal</v>
      </c>
      <c r="AA608" t="str">
        <f t="shared" si="111"/>
        <v>Medium</v>
      </c>
      <c r="AB608" t="str">
        <f t="shared" si="115"/>
        <v>Low Profit</v>
      </c>
      <c r="AC608" s="3">
        <f t="shared" si="116"/>
        <v>0.17119950899535849</v>
      </c>
      <c r="AD608" s="3">
        <f t="shared" si="117"/>
        <v>57.931111111111107</v>
      </c>
      <c r="AE608" s="3">
        <f t="shared" si="118"/>
        <v>9.9177777777777791</v>
      </c>
      <c r="AF608" t="str">
        <f t="shared" si="119"/>
        <v>Regular</v>
      </c>
    </row>
    <row r="609" spans="1:32" x14ac:dyDescent="0.25">
      <c r="A609" t="s">
        <v>523</v>
      </c>
      <c r="B609" s="1">
        <v>45222</v>
      </c>
      <c r="C609" s="1">
        <v>45228</v>
      </c>
      <c r="D609" s="4">
        <f t="shared" si="108"/>
        <v>6</v>
      </c>
      <c r="E609" s="4" t="str">
        <f>TEXT(Table1[[#This Row],[Order_Date]],"dddd")</f>
        <v>Monday</v>
      </c>
      <c r="F609" s="4">
        <f t="shared" si="109"/>
        <v>10</v>
      </c>
      <c r="G609" t="str">
        <f t="shared" si="112"/>
        <v>October</v>
      </c>
      <c r="H609">
        <f t="shared" si="113"/>
        <v>2023</v>
      </c>
      <c r="I609" t="str">
        <f t="shared" si="114"/>
        <v>2023-Q4</v>
      </c>
      <c r="J609" t="s">
        <v>55</v>
      </c>
      <c r="K609" t="s">
        <v>524</v>
      </c>
      <c r="L609" t="s">
        <v>525</v>
      </c>
      <c r="M609" t="s">
        <v>47</v>
      </c>
      <c r="N609" t="s">
        <v>25</v>
      </c>
      <c r="O609" t="s">
        <v>201</v>
      </c>
      <c r="P609" t="s">
        <v>113</v>
      </c>
      <c r="Q609" t="s">
        <v>28</v>
      </c>
      <c r="R609" t="s">
        <v>526</v>
      </c>
      <c r="S609" t="s">
        <v>30</v>
      </c>
      <c r="T609" t="s">
        <v>82</v>
      </c>
      <c r="U609" t="s">
        <v>527</v>
      </c>
      <c r="V609" s="3">
        <v>309.66000000000003</v>
      </c>
      <c r="W609" s="4">
        <v>6</v>
      </c>
      <c r="X609" s="2">
        <v>0.1</v>
      </c>
      <c r="Y609" s="3">
        <v>46.65</v>
      </c>
      <c r="Z609" t="str">
        <f t="shared" si="110"/>
        <v>Normal</v>
      </c>
      <c r="AA609" t="str">
        <f t="shared" si="111"/>
        <v>Medium</v>
      </c>
      <c r="AB609" t="str">
        <f t="shared" si="115"/>
        <v>Low Profit</v>
      </c>
      <c r="AC609" s="3">
        <f t="shared" si="116"/>
        <v>0.15064909901181939</v>
      </c>
      <c r="AD609" s="3">
        <f t="shared" si="117"/>
        <v>51.610000000000007</v>
      </c>
      <c r="AE609" s="3">
        <f t="shared" si="118"/>
        <v>7.7749999999999995</v>
      </c>
      <c r="AF609" t="str">
        <f t="shared" si="119"/>
        <v>Regular</v>
      </c>
    </row>
    <row r="610" spans="1:32" x14ac:dyDescent="0.25">
      <c r="A610" t="s">
        <v>1459</v>
      </c>
      <c r="B610" s="1">
        <v>45222</v>
      </c>
      <c r="C610" s="1">
        <v>45229</v>
      </c>
      <c r="D610" s="4">
        <f t="shared" si="108"/>
        <v>7</v>
      </c>
      <c r="E610" s="4" t="str">
        <f>TEXT(Table1[[#This Row],[Order_Date]],"dddd")</f>
        <v>Monday</v>
      </c>
      <c r="F610" s="4">
        <f t="shared" si="109"/>
        <v>10</v>
      </c>
      <c r="G610" t="str">
        <f t="shared" si="112"/>
        <v>October</v>
      </c>
      <c r="H610">
        <f t="shared" si="113"/>
        <v>2023</v>
      </c>
      <c r="I610" t="str">
        <f t="shared" si="114"/>
        <v>2023-Q4</v>
      </c>
      <c r="J610" t="s">
        <v>21</v>
      </c>
      <c r="K610" t="s">
        <v>1460</v>
      </c>
      <c r="L610" t="s">
        <v>1461</v>
      </c>
      <c r="M610" t="s">
        <v>24</v>
      </c>
      <c r="N610" t="s">
        <v>25</v>
      </c>
      <c r="O610" t="s">
        <v>451</v>
      </c>
      <c r="P610" t="s">
        <v>38</v>
      </c>
      <c r="Q610" t="s">
        <v>39</v>
      </c>
      <c r="R610" t="s">
        <v>1462</v>
      </c>
      <c r="S610" t="s">
        <v>30</v>
      </c>
      <c r="T610" t="s">
        <v>68</v>
      </c>
      <c r="U610" t="s">
        <v>1463</v>
      </c>
      <c r="V610" s="3">
        <v>1982.61</v>
      </c>
      <c r="W610" s="4">
        <v>9</v>
      </c>
      <c r="X610" s="2">
        <v>0.3</v>
      </c>
      <c r="Y610" s="3">
        <v>-83.34</v>
      </c>
      <c r="Z610" t="str">
        <f t="shared" si="110"/>
        <v>Normal</v>
      </c>
      <c r="AA610" t="str">
        <f t="shared" si="111"/>
        <v>High</v>
      </c>
      <c r="AB610" t="str">
        <f t="shared" si="115"/>
        <v>Loss</v>
      </c>
      <c r="AC610" s="3">
        <f t="shared" si="116"/>
        <v>-4.2035498660856145E-2</v>
      </c>
      <c r="AD610" s="3">
        <f t="shared" si="117"/>
        <v>220.29</v>
      </c>
      <c r="AE610" s="3">
        <f t="shared" si="118"/>
        <v>-9.26</v>
      </c>
      <c r="AF610" t="str">
        <f t="shared" si="119"/>
        <v>Regular</v>
      </c>
    </row>
    <row r="611" spans="1:32" x14ac:dyDescent="0.25">
      <c r="A611" t="s">
        <v>6708</v>
      </c>
      <c r="B611" s="1">
        <v>45223</v>
      </c>
      <c r="C611" s="1">
        <v>45230</v>
      </c>
      <c r="D611" s="4">
        <f t="shared" si="108"/>
        <v>7</v>
      </c>
      <c r="E611" s="4" t="str">
        <f>TEXT(Table1[[#This Row],[Order_Date]],"dddd")</f>
        <v>Tuesday</v>
      </c>
      <c r="F611" s="4">
        <f t="shared" si="109"/>
        <v>10</v>
      </c>
      <c r="G611" t="str">
        <f t="shared" si="112"/>
        <v>October</v>
      </c>
      <c r="H611">
        <f t="shared" si="113"/>
        <v>2023</v>
      </c>
      <c r="I611" t="str">
        <f t="shared" si="114"/>
        <v>2023-Q4</v>
      </c>
      <c r="J611" t="s">
        <v>55</v>
      </c>
      <c r="K611" t="s">
        <v>6709</v>
      </c>
      <c r="L611" t="s">
        <v>6710</v>
      </c>
      <c r="M611" t="s">
        <v>24</v>
      </c>
      <c r="N611" t="s">
        <v>25</v>
      </c>
      <c r="O611" t="s">
        <v>26</v>
      </c>
      <c r="P611" t="s">
        <v>27</v>
      </c>
      <c r="Q611" t="s">
        <v>39</v>
      </c>
      <c r="R611" t="s">
        <v>6711</v>
      </c>
      <c r="S611" t="s">
        <v>30</v>
      </c>
      <c r="T611" t="s">
        <v>41</v>
      </c>
      <c r="U611" t="s">
        <v>6712</v>
      </c>
      <c r="V611" s="3">
        <v>3417.5</v>
      </c>
      <c r="W611" s="4">
        <v>8</v>
      </c>
      <c r="X611" s="2">
        <v>0</v>
      </c>
      <c r="Y611" s="3">
        <v>738.12</v>
      </c>
      <c r="Z611" t="str">
        <f t="shared" si="110"/>
        <v>Normal</v>
      </c>
      <c r="AA611" t="str">
        <f t="shared" si="111"/>
        <v>Low</v>
      </c>
      <c r="AB611" t="str">
        <f t="shared" si="115"/>
        <v>High Profit</v>
      </c>
      <c r="AC611" s="3">
        <f t="shared" si="116"/>
        <v>0.21598244330651062</v>
      </c>
      <c r="AD611" s="3">
        <f t="shared" si="117"/>
        <v>427.1875</v>
      </c>
      <c r="AE611" s="3">
        <f t="shared" si="118"/>
        <v>92.265000000000001</v>
      </c>
      <c r="AF611" t="str">
        <f t="shared" si="119"/>
        <v>Regular</v>
      </c>
    </row>
    <row r="612" spans="1:32" x14ac:dyDescent="0.25">
      <c r="A612" t="s">
        <v>7122</v>
      </c>
      <c r="B612" s="1">
        <v>45223</v>
      </c>
      <c r="C612" s="1">
        <v>45226</v>
      </c>
      <c r="D612" s="4">
        <f t="shared" si="108"/>
        <v>3</v>
      </c>
      <c r="E612" s="4" t="str">
        <f>TEXT(Table1[[#This Row],[Order_Date]],"dddd")</f>
        <v>Tuesday</v>
      </c>
      <c r="F612" s="4">
        <f t="shared" si="109"/>
        <v>10</v>
      </c>
      <c r="G612" t="str">
        <f t="shared" si="112"/>
        <v>October</v>
      </c>
      <c r="H612">
        <f t="shared" si="113"/>
        <v>2023</v>
      </c>
      <c r="I612" t="str">
        <f t="shared" si="114"/>
        <v>2023-Q4</v>
      </c>
      <c r="J612" t="s">
        <v>55</v>
      </c>
      <c r="K612" t="s">
        <v>7123</v>
      </c>
      <c r="L612" t="s">
        <v>7124</v>
      </c>
      <c r="M612" t="s">
        <v>47</v>
      </c>
      <c r="N612" t="s">
        <v>25</v>
      </c>
      <c r="O612" t="s">
        <v>113</v>
      </c>
      <c r="P612" t="s">
        <v>113</v>
      </c>
      <c r="Q612" t="s">
        <v>39</v>
      </c>
      <c r="R612" t="s">
        <v>7125</v>
      </c>
      <c r="S612" t="s">
        <v>59</v>
      </c>
      <c r="T612" t="s">
        <v>303</v>
      </c>
      <c r="U612" t="s">
        <v>901</v>
      </c>
      <c r="V612" s="3">
        <v>3894.4</v>
      </c>
      <c r="W612" s="4">
        <v>10</v>
      </c>
      <c r="X612" s="2">
        <v>0.1</v>
      </c>
      <c r="Y612" s="3">
        <v>915.85</v>
      </c>
      <c r="Z612" t="str">
        <f t="shared" si="110"/>
        <v>Normal</v>
      </c>
      <c r="AA612" t="str">
        <f t="shared" si="111"/>
        <v>Medium</v>
      </c>
      <c r="AB612" t="str">
        <f t="shared" si="115"/>
        <v>High Profit</v>
      </c>
      <c r="AC612" s="3">
        <f t="shared" si="116"/>
        <v>0.23517101479046837</v>
      </c>
      <c r="AD612" s="3">
        <f t="shared" si="117"/>
        <v>389.44</v>
      </c>
      <c r="AE612" s="3">
        <f t="shared" si="118"/>
        <v>91.585000000000008</v>
      </c>
      <c r="AF612" t="str">
        <f t="shared" si="119"/>
        <v>Regular</v>
      </c>
    </row>
    <row r="613" spans="1:32" x14ac:dyDescent="0.25">
      <c r="A613" t="s">
        <v>3638</v>
      </c>
      <c r="B613" s="1">
        <v>45223</v>
      </c>
      <c r="C613" s="1">
        <v>45230</v>
      </c>
      <c r="D613" s="4">
        <f t="shared" si="108"/>
        <v>7</v>
      </c>
      <c r="E613" s="4" t="str">
        <f>TEXT(Table1[[#This Row],[Order_Date]],"dddd")</f>
        <v>Tuesday</v>
      </c>
      <c r="F613" s="4">
        <f t="shared" si="109"/>
        <v>10</v>
      </c>
      <c r="G613" t="str">
        <f t="shared" si="112"/>
        <v>October</v>
      </c>
      <c r="H613">
        <f t="shared" si="113"/>
        <v>2023</v>
      </c>
      <c r="I613" t="str">
        <f t="shared" si="114"/>
        <v>2023-Q4</v>
      </c>
      <c r="J613" t="s">
        <v>55</v>
      </c>
      <c r="K613" t="s">
        <v>3639</v>
      </c>
      <c r="L613" t="s">
        <v>3640</v>
      </c>
      <c r="M613" t="s">
        <v>36</v>
      </c>
      <c r="N613" t="s">
        <v>25</v>
      </c>
      <c r="O613" t="s">
        <v>244</v>
      </c>
      <c r="P613" t="s">
        <v>163</v>
      </c>
      <c r="Q613" t="s">
        <v>66</v>
      </c>
      <c r="R613" t="s">
        <v>3641</v>
      </c>
      <c r="S613" t="s">
        <v>51</v>
      </c>
      <c r="T613" t="s">
        <v>108</v>
      </c>
      <c r="U613" t="s">
        <v>3642</v>
      </c>
      <c r="V613" s="3">
        <v>2034.1</v>
      </c>
      <c r="W613" s="4">
        <v>5</v>
      </c>
      <c r="X613" s="2">
        <v>0.4</v>
      </c>
      <c r="Y613" s="3">
        <v>36.03</v>
      </c>
      <c r="Z613" t="str">
        <f t="shared" si="110"/>
        <v>Normal</v>
      </c>
      <c r="AA613" t="str">
        <f t="shared" si="111"/>
        <v>High</v>
      </c>
      <c r="AB613" t="str">
        <f t="shared" si="115"/>
        <v>Low Profit</v>
      </c>
      <c r="AC613" s="3">
        <f t="shared" si="116"/>
        <v>1.7712993461481738E-2</v>
      </c>
      <c r="AD613" s="3">
        <f t="shared" si="117"/>
        <v>406.82</v>
      </c>
      <c r="AE613" s="3">
        <f t="shared" si="118"/>
        <v>7.2060000000000004</v>
      </c>
      <c r="AF613" t="str">
        <f t="shared" si="119"/>
        <v>Regular</v>
      </c>
    </row>
    <row r="614" spans="1:32" x14ac:dyDescent="0.25">
      <c r="A614" t="s">
        <v>1859</v>
      </c>
      <c r="B614" s="1">
        <v>45224</v>
      </c>
      <c r="C614" s="1">
        <v>45225</v>
      </c>
      <c r="D614" s="4">
        <f t="shared" si="108"/>
        <v>1</v>
      </c>
      <c r="E614" s="4" t="str">
        <f>TEXT(Table1[[#This Row],[Order_Date]],"dddd")</f>
        <v>Wednesday</v>
      </c>
      <c r="F614" s="4">
        <f t="shared" si="109"/>
        <v>10</v>
      </c>
      <c r="G614" t="str">
        <f t="shared" si="112"/>
        <v>October</v>
      </c>
      <c r="H614">
        <f t="shared" si="113"/>
        <v>2023</v>
      </c>
      <c r="I614" t="str">
        <f t="shared" si="114"/>
        <v>2023-Q4</v>
      </c>
      <c r="J614" t="s">
        <v>21</v>
      </c>
      <c r="K614" t="s">
        <v>1860</v>
      </c>
      <c r="L614" t="s">
        <v>1861</v>
      </c>
      <c r="M614" t="s">
        <v>36</v>
      </c>
      <c r="N614" t="s">
        <v>25</v>
      </c>
      <c r="O614" t="s">
        <v>73</v>
      </c>
      <c r="P614" t="s">
        <v>74</v>
      </c>
      <c r="Q614" t="s">
        <v>39</v>
      </c>
      <c r="R614" t="s">
        <v>1862</v>
      </c>
      <c r="S614" t="s">
        <v>59</v>
      </c>
      <c r="T614" t="s">
        <v>101</v>
      </c>
      <c r="U614" t="s">
        <v>941</v>
      </c>
      <c r="V614" s="3">
        <v>687.1</v>
      </c>
      <c r="W614" s="4">
        <v>9</v>
      </c>
      <c r="X614" s="2">
        <v>0.1</v>
      </c>
      <c r="Y614" s="3">
        <v>-33.99</v>
      </c>
      <c r="Z614" t="str">
        <f t="shared" si="110"/>
        <v>Normal</v>
      </c>
      <c r="AA614" t="str">
        <f t="shared" si="111"/>
        <v>Medium</v>
      </c>
      <c r="AB614" t="str">
        <f t="shared" si="115"/>
        <v>Loss</v>
      </c>
      <c r="AC614" s="3">
        <f t="shared" si="116"/>
        <v>-4.9468781836704993E-2</v>
      </c>
      <c r="AD614" s="3">
        <f t="shared" si="117"/>
        <v>76.344444444444449</v>
      </c>
      <c r="AE614" s="3">
        <f t="shared" si="118"/>
        <v>-3.7766666666666668</v>
      </c>
      <c r="AF614" t="str">
        <f t="shared" si="119"/>
        <v>Regular</v>
      </c>
    </row>
    <row r="615" spans="1:32" x14ac:dyDescent="0.25">
      <c r="A615" t="s">
        <v>5692</v>
      </c>
      <c r="B615" s="1">
        <v>45224</v>
      </c>
      <c r="C615" s="1">
        <v>45234</v>
      </c>
      <c r="D615" s="4">
        <f t="shared" si="108"/>
        <v>10</v>
      </c>
      <c r="E615" s="4" t="str">
        <f>TEXT(Table1[[#This Row],[Order_Date]],"dddd")</f>
        <v>Wednesday</v>
      </c>
      <c r="F615" s="4">
        <f t="shared" si="109"/>
        <v>10</v>
      </c>
      <c r="G615" t="str">
        <f t="shared" si="112"/>
        <v>October</v>
      </c>
      <c r="H615">
        <f t="shared" si="113"/>
        <v>2023</v>
      </c>
      <c r="I615" t="str">
        <f t="shared" si="114"/>
        <v>2023-Q4</v>
      </c>
      <c r="J615" t="s">
        <v>55</v>
      </c>
      <c r="K615" t="s">
        <v>5693</v>
      </c>
      <c r="L615" t="s">
        <v>5694</v>
      </c>
      <c r="M615" t="s">
        <v>36</v>
      </c>
      <c r="N615" t="s">
        <v>25</v>
      </c>
      <c r="O615" t="s">
        <v>142</v>
      </c>
      <c r="P615" t="s">
        <v>143</v>
      </c>
      <c r="Q615" t="s">
        <v>28</v>
      </c>
      <c r="R615" t="s">
        <v>5695</v>
      </c>
      <c r="S615" t="s">
        <v>59</v>
      </c>
      <c r="T615" t="s">
        <v>101</v>
      </c>
      <c r="U615" t="s">
        <v>5696</v>
      </c>
      <c r="V615" s="3">
        <v>715.36</v>
      </c>
      <c r="W615" s="4">
        <v>9</v>
      </c>
      <c r="X615" s="2">
        <v>0.2</v>
      </c>
      <c r="Y615" s="3">
        <v>-73.11</v>
      </c>
      <c r="Z615" t="str">
        <f t="shared" si="110"/>
        <v>Normal</v>
      </c>
      <c r="AA615" t="str">
        <f t="shared" si="111"/>
        <v>High</v>
      </c>
      <c r="AB615" t="str">
        <f t="shared" si="115"/>
        <v>Loss</v>
      </c>
      <c r="AC615" s="3">
        <f t="shared" si="116"/>
        <v>-0.10220029076269291</v>
      </c>
      <c r="AD615" s="3">
        <f t="shared" si="117"/>
        <v>79.484444444444449</v>
      </c>
      <c r="AE615" s="3">
        <f t="shared" si="118"/>
        <v>-8.1233333333333331</v>
      </c>
      <c r="AF615" t="str">
        <f t="shared" si="119"/>
        <v>Regular</v>
      </c>
    </row>
    <row r="616" spans="1:32" x14ac:dyDescent="0.25">
      <c r="A616" t="s">
        <v>6827</v>
      </c>
      <c r="B616" s="1">
        <v>45224</v>
      </c>
      <c r="C616" s="1">
        <v>45234</v>
      </c>
      <c r="D616" s="4">
        <f t="shared" si="108"/>
        <v>10</v>
      </c>
      <c r="E616" s="4" t="str">
        <f>TEXT(Table1[[#This Row],[Order_Date]],"dddd")</f>
        <v>Wednesday</v>
      </c>
      <c r="F616" s="4">
        <f t="shared" si="109"/>
        <v>10</v>
      </c>
      <c r="G616" t="str">
        <f t="shared" si="112"/>
        <v>October</v>
      </c>
      <c r="H616">
        <f t="shared" si="113"/>
        <v>2023</v>
      </c>
      <c r="I616" t="str">
        <f t="shared" si="114"/>
        <v>2023-Q4</v>
      </c>
      <c r="J616" t="s">
        <v>104</v>
      </c>
      <c r="K616" t="s">
        <v>6828</v>
      </c>
      <c r="L616" t="s">
        <v>6829</v>
      </c>
      <c r="M616" t="s">
        <v>36</v>
      </c>
      <c r="N616" t="s">
        <v>25</v>
      </c>
      <c r="O616" t="s">
        <v>99</v>
      </c>
      <c r="P616" t="s">
        <v>74</v>
      </c>
      <c r="Q616" t="s">
        <v>39</v>
      </c>
      <c r="R616" t="s">
        <v>6830</v>
      </c>
      <c r="S616" t="s">
        <v>51</v>
      </c>
      <c r="T616" t="s">
        <v>108</v>
      </c>
      <c r="U616" t="s">
        <v>6831</v>
      </c>
      <c r="V616" s="3">
        <v>1929.99</v>
      </c>
      <c r="W616" s="4">
        <v>2</v>
      </c>
      <c r="X616" s="2">
        <v>0.4</v>
      </c>
      <c r="Y616" s="3">
        <v>-101.13</v>
      </c>
      <c r="Z616" t="str">
        <f t="shared" si="110"/>
        <v>Normal</v>
      </c>
      <c r="AA616" t="str">
        <f t="shared" si="111"/>
        <v>High</v>
      </c>
      <c r="AB616" t="str">
        <f t="shared" si="115"/>
        <v>Loss</v>
      </c>
      <c r="AC616" s="3">
        <f t="shared" si="116"/>
        <v>-5.239923522919808E-2</v>
      </c>
      <c r="AD616" s="3">
        <f t="shared" si="117"/>
        <v>964.995</v>
      </c>
      <c r="AE616" s="3">
        <f t="shared" si="118"/>
        <v>-50.564999999999998</v>
      </c>
      <c r="AF616" t="str">
        <f t="shared" si="119"/>
        <v>Regular</v>
      </c>
    </row>
    <row r="617" spans="1:32" x14ac:dyDescent="0.25">
      <c r="A617" t="s">
        <v>1081</v>
      </c>
      <c r="B617" s="1">
        <v>45226</v>
      </c>
      <c r="C617" s="1">
        <v>45232</v>
      </c>
      <c r="D617" s="4">
        <f t="shared" si="108"/>
        <v>6</v>
      </c>
      <c r="E617" s="4" t="str">
        <f>TEXT(Table1[[#This Row],[Order_Date]],"dddd")</f>
        <v>Friday</v>
      </c>
      <c r="F617" s="4">
        <f t="shared" si="109"/>
        <v>10</v>
      </c>
      <c r="G617" t="str">
        <f t="shared" si="112"/>
        <v>October</v>
      </c>
      <c r="H617">
        <f t="shared" si="113"/>
        <v>2023</v>
      </c>
      <c r="I617" t="str">
        <f t="shared" si="114"/>
        <v>2023-Q4</v>
      </c>
      <c r="J617" t="s">
        <v>21</v>
      </c>
      <c r="K617" t="s">
        <v>1082</v>
      </c>
      <c r="L617" t="s">
        <v>1083</v>
      </c>
      <c r="M617" t="s">
        <v>36</v>
      </c>
      <c r="N617" t="s">
        <v>25</v>
      </c>
      <c r="O617" t="s">
        <v>233</v>
      </c>
      <c r="P617" t="s">
        <v>163</v>
      </c>
      <c r="Q617" t="s">
        <v>28</v>
      </c>
      <c r="R617" t="s">
        <v>1084</v>
      </c>
      <c r="S617" t="s">
        <v>30</v>
      </c>
      <c r="T617" t="s">
        <v>31</v>
      </c>
      <c r="U617" t="s">
        <v>1085</v>
      </c>
      <c r="V617" s="3">
        <v>2404.48</v>
      </c>
      <c r="W617" s="4">
        <v>5</v>
      </c>
      <c r="X617" s="2">
        <v>0.4</v>
      </c>
      <c r="Y617" s="3">
        <v>310.19</v>
      </c>
      <c r="Z617" t="str">
        <f t="shared" si="110"/>
        <v>Normal</v>
      </c>
      <c r="AA617" t="str">
        <f t="shared" si="111"/>
        <v>High</v>
      </c>
      <c r="AB617" t="str">
        <f t="shared" si="115"/>
        <v>Low Profit</v>
      </c>
      <c r="AC617" s="3">
        <f t="shared" si="116"/>
        <v>0.12900502395528346</v>
      </c>
      <c r="AD617" s="3">
        <f t="shared" si="117"/>
        <v>480.89600000000002</v>
      </c>
      <c r="AE617" s="3">
        <f t="shared" si="118"/>
        <v>62.037999999999997</v>
      </c>
      <c r="AF617" t="str">
        <f t="shared" si="119"/>
        <v>Regular</v>
      </c>
    </row>
    <row r="618" spans="1:32" x14ac:dyDescent="0.25">
      <c r="A618" t="s">
        <v>6951</v>
      </c>
      <c r="B618" s="1">
        <v>45226</v>
      </c>
      <c r="C618" s="1">
        <v>45234</v>
      </c>
      <c r="D618" s="4">
        <f t="shared" si="108"/>
        <v>8</v>
      </c>
      <c r="E618" s="4" t="str">
        <f>TEXT(Table1[[#This Row],[Order_Date]],"dddd")</f>
        <v>Friday</v>
      </c>
      <c r="F618" s="4">
        <f t="shared" si="109"/>
        <v>10</v>
      </c>
      <c r="G618" t="str">
        <f t="shared" si="112"/>
        <v>October</v>
      </c>
      <c r="H618">
        <f t="shared" si="113"/>
        <v>2023</v>
      </c>
      <c r="I618" t="str">
        <f t="shared" si="114"/>
        <v>2023-Q4</v>
      </c>
      <c r="J618" t="s">
        <v>55</v>
      </c>
      <c r="K618" t="s">
        <v>6952</v>
      </c>
      <c r="L618" t="s">
        <v>6953</v>
      </c>
      <c r="M618" t="s">
        <v>24</v>
      </c>
      <c r="N618" t="s">
        <v>25</v>
      </c>
      <c r="O618" t="s">
        <v>113</v>
      </c>
      <c r="P618" t="s">
        <v>113</v>
      </c>
      <c r="Q618" t="s">
        <v>87</v>
      </c>
      <c r="R618" t="s">
        <v>6954</v>
      </c>
      <c r="S618" t="s">
        <v>30</v>
      </c>
      <c r="T618" t="s">
        <v>31</v>
      </c>
      <c r="U618" t="s">
        <v>6955</v>
      </c>
      <c r="V618" s="3">
        <v>833.51</v>
      </c>
      <c r="W618" s="4">
        <v>9</v>
      </c>
      <c r="X618" s="2">
        <v>0.2</v>
      </c>
      <c r="Y618" s="3">
        <v>151.1</v>
      </c>
      <c r="Z618" t="str">
        <f t="shared" si="110"/>
        <v>Normal</v>
      </c>
      <c r="AA618" t="str">
        <f t="shared" si="111"/>
        <v>High</v>
      </c>
      <c r="AB618" t="str">
        <f t="shared" si="115"/>
        <v>Low Profit</v>
      </c>
      <c r="AC618" s="3">
        <f t="shared" si="116"/>
        <v>0.18128156830751879</v>
      </c>
      <c r="AD618" s="3">
        <f t="shared" si="117"/>
        <v>92.612222222222215</v>
      </c>
      <c r="AE618" s="3">
        <f t="shared" si="118"/>
        <v>16.788888888888888</v>
      </c>
      <c r="AF618" t="str">
        <f t="shared" si="119"/>
        <v>Regular</v>
      </c>
    </row>
    <row r="619" spans="1:32" x14ac:dyDescent="0.25">
      <c r="A619" t="s">
        <v>619</v>
      </c>
      <c r="B619" s="1">
        <v>45227</v>
      </c>
      <c r="C619" s="1">
        <v>45231</v>
      </c>
      <c r="D619" s="4">
        <f t="shared" si="108"/>
        <v>4</v>
      </c>
      <c r="E619" s="4" t="str">
        <f>TEXT(Table1[[#This Row],[Order_Date]],"dddd")</f>
        <v>Saturday</v>
      </c>
      <c r="F619" s="4">
        <f t="shared" si="109"/>
        <v>10</v>
      </c>
      <c r="G619" t="str">
        <f t="shared" si="112"/>
        <v>October</v>
      </c>
      <c r="H619">
        <f t="shared" si="113"/>
        <v>2023</v>
      </c>
      <c r="I619" t="str">
        <f t="shared" si="114"/>
        <v>2023-Q4</v>
      </c>
      <c r="J619" t="s">
        <v>55</v>
      </c>
      <c r="K619" t="s">
        <v>620</v>
      </c>
      <c r="L619" t="s">
        <v>621</v>
      </c>
      <c r="M619" t="s">
        <v>36</v>
      </c>
      <c r="N619" t="s">
        <v>25</v>
      </c>
      <c r="O619" t="s">
        <v>26</v>
      </c>
      <c r="P619" t="s">
        <v>27</v>
      </c>
      <c r="Q619" t="s">
        <v>39</v>
      </c>
      <c r="R619" t="s">
        <v>622</v>
      </c>
      <c r="S619" t="s">
        <v>30</v>
      </c>
      <c r="T619" t="s">
        <v>41</v>
      </c>
      <c r="U619" t="s">
        <v>623</v>
      </c>
      <c r="V619" s="3">
        <v>3825.05</v>
      </c>
      <c r="W619" s="4">
        <v>1</v>
      </c>
      <c r="X619" s="2">
        <v>0.2</v>
      </c>
      <c r="Y619" s="3">
        <v>1052.27</v>
      </c>
      <c r="Z619" t="str">
        <f t="shared" si="110"/>
        <v>Outlier</v>
      </c>
      <c r="AA619" t="str">
        <f t="shared" si="111"/>
        <v>High</v>
      </c>
      <c r="AB619" t="str">
        <f t="shared" si="115"/>
        <v>High Profit</v>
      </c>
      <c r="AC619" s="3">
        <f t="shared" si="116"/>
        <v>0.27509967189971374</v>
      </c>
      <c r="AD619" s="3">
        <f t="shared" si="117"/>
        <v>3825.05</v>
      </c>
      <c r="AE619" s="3">
        <f t="shared" si="118"/>
        <v>1052.27</v>
      </c>
      <c r="AF619" t="str">
        <f t="shared" si="119"/>
        <v>Regular</v>
      </c>
    </row>
    <row r="620" spans="1:32" x14ac:dyDescent="0.25">
      <c r="A620" t="s">
        <v>1765</v>
      </c>
      <c r="B620" s="1">
        <v>45227</v>
      </c>
      <c r="C620" s="1">
        <v>45236</v>
      </c>
      <c r="D620" s="4">
        <f t="shared" si="108"/>
        <v>9</v>
      </c>
      <c r="E620" s="4" t="str">
        <f>TEXT(Table1[[#This Row],[Order_Date]],"dddd")</f>
        <v>Saturday</v>
      </c>
      <c r="F620" s="4">
        <f t="shared" si="109"/>
        <v>10</v>
      </c>
      <c r="G620" t="str">
        <f t="shared" si="112"/>
        <v>October</v>
      </c>
      <c r="H620">
        <f t="shared" si="113"/>
        <v>2023</v>
      </c>
      <c r="I620" t="str">
        <f t="shared" si="114"/>
        <v>2023-Q4</v>
      </c>
      <c r="J620" t="s">
        <v>44</v>
      </c>
      <c r="K620" t="s">
        <v>1766</v>
      </c>
      <c r="L620" t="s">
        <v>1767</v>
      </c>
      <c r="M620" t="s">
        <v>24</v>
      </c>
      <c r="N620" t="s">
        <v>25</v>
      </c>
      <c r="O620" t="s">
        <v>113</v>
      </c>
      <c r="P620" t="s">
        <v>113</v>
      </c>
      <c r="Q620" t="s">
        <v>66</v>
      </c>
      <c r="R620" t="s">
        <v>1768</v>
      </c>
      <c r="S620" t="s">
        <v>59</v>
      </c>
      <c r="T620" t="s">
        <v>277</v>
      </c>
      <c r="U620" t="s">
        <v>1769</v>
      </c>
      <c r="V620" s="3">
        <v>3972.56</v>
      </c>
      <c r="W620" s="4">
        <v>8</v>
      </c>
      <c r="X620" s="2">
        <v>0.3</v>
      </c>
      <c r="Y620" s="3">
        <v>959.09</v>
      </c>
      <c r="Z620" t="str">
        <f t="shared" si="110"/>
        <v>Normal</v>
      </c>
      <c r="AA620" t="str">
        <f t="shared" si="111"/>
        <v>High</v>
      </c>
      <c r="AB620" t="str">
        <f t="shared" si="115"/>
        <v>High Profit</v>
      </c>
      <c r="AC620" s="3">
        <f t="shared" si="116"/>
        <v>0.24142870088809232</v>
      </c>
      <c r="AD620" s="3">
        <f t="shared" si="117"/>
        <v>496.57</v>
      </c>
      <c r="AE620" s="3">
        <f t="shared" si="118"/>
        <v>119.88625</v>
      </c>
      <c r="AF620" t="str">
        <f t="shared" si="119"/>
        <v>Regular</v>
      </c>
    </row>
    <row r="621" spans="1:32" x14ac:dyDescent="0.25">
      <c r="A621" t="s">
        <v>2855</v>
      </c>
      <c r="B621" s="1">
        <v>45227</v>
      </c>
      <c r="C621" s="1">
        <v>45229</v>
      </c>
      <c r="D621" s="4">
        <f t="shared" si="108"/>
        <v>2</v>
      </c>
      <c r="E621" s="4" t="str">
        <f>TEXT(Table1[[#This Row],[Order_Date]],"dddd")</f>
        <v>Saturday</v>
      </c>
      <c r="F621" s="4">
        <f t="shared" si="109"/>
        <v>10</v>
      </c>
      <c r="G621" t="str">
        <f t="shared" si="112"/>
        <v>October</v>
      </c>
      <c r="H621">
        <f t="shared" si="113"/>
        <v>2023</v>
      </c>
      <c r="I621" t="str">
        <f t="shared" si="114"/>
        <v>2023-Q4</v>
      </c>
      <c r="J621" t="s">
        <v>55</v>
      </c>
      <c r="K621" t="s">
        <v>2856</v>
      </c>
      <c r="L621" t="s">
        <v>2857</v>
      </c>
      <c r="M621" t="s">
        <v>47</v>
      </c>
      <c r="N621" t="s">
        <v>25</v>
      </c>
      <c r="O621" t="s">
        <v>48</v>
      </c>
      <c r="P621" t="s">
        <v>49</v>
      </c>
      <c r="Q621" t="s">
        <v>87</v>
      </c>
      <c r="R621" t="s">
        <v>2858</v>
      </c>
      <c r="S621" t="s">
        <v>30</v>
      </c>
      <c r="T621" t="s">
        <v>68</v>
      </c>
      <c r="U621" t="s">
        <v>2859</v>
      </c>
      <c r="V621" s="3">
        <v>4309.82</v>
      </c>
      <c r="W621" s="4">
        <v>6</v>
      </c>
      <c r="X621" s="2">
        <v>0.4</v>
      </c>
      <c r="Y621" s="3">
        <v>825.67</v>
      </c>
      <c r="Z621" t="str">
        <f t="shared" si="110"/>
        <v>Normal</v>
      </c>
      <c r="AA621" t="str">
        <f t="shared" si="111"/>
        <v>High</v>
      </c>
      <c r="AB621" t="str">
        <f t="shared" si="115"/>
        <v>High Profit</v>
      </c>
      <c r="AC621" s="3">
        <f t="shared" si="116"/>
        <v>0.19157876663062495</v>
      </c>
      <c r="AD621" s="3">
        <f t="shared" si="117"/>
        <v>718.30333333333328</v>
      </c>
      <c r="AE621" s="3">
        <f t="shared" si="118"/>
        <v>137.61166666666665</v>
      </c>
      <c r="AF621" t="str">
        <f t="shared" si="119"/>
        <v>Regular</v>
      </c>
    </row>
    <row r="622" spans="1:32" x14ac:dyDescent="0.25">
      <c r="A622" t="s">
        <v>3190</v>
      </c>
      <c r="B622" s="1">
        <v>45228</v>
      </c>
      <c r="C622" s="1">
        <v>45233</v>
      </c>
      <c r="D622" s="4">
        <f t="shared" si="108"/>
        <v>5</v>
      </c>
      <c r="E622" s="4" t="str">
        <f>TEXT(Table1[[#This Row],[Order_Date]],"dddd")</f>
        <v>Sunday</v>
      </c>
      <c r="F622" s="4">
        <f t="shared" si="109"/>
        <v>10</v>
      </c>
      <c r="G622" t="str">
        <f t="shared" si="112"/>
        <v>October</v>
      </c>
      <c r="H622">
        <f t="shared" si="113"/>
        <v>2023</v>
      </c>
      <c r="I622" t="str">
        <f t="shared" si="114"/>
        <v>2023-Q4</v>
      </c>
      <c r="J622" t="s">
        <v>44</v>
      </c>
      <c r="K622" t="s">
        <v>3191</v>
      </c>
      <c r="L622" t="s">
        <v>3192</v>
      </c>
      <c r="M622" t="s">
        <v>36</v>
      </c>
      <c r="N622" t="s">
        <v>25</v>
      </c>
      <c r="O622" t="s">
        <v>227</v>
      </c>
      <c r="P622" t="s">
        <v>49</v>
      </c>
      <c r="Q622" t="s">
        <v>39</v>
      </c>
      <c r="R622" t="s">
        <v>3193</v>
      </c>
      <c r="S622" t="s">
        <v>30</v>
      </c>
      <c r="T622" t="s">
        <v>41</v>
      </c>
      <c r="U622" t="s">
        <v>3194</v>
      </c>
      <c r="V622" s="3">
        <v>2524.46</v>
      </c>
      <c r="W622" s="4">
        <v>2</v>
      </c>
      <c r="X622" s="2">
        <v>0</v>
      </c>
      <c r="Y622" s="3">
        <v>338.68</v>
      </c>
      <c r="Z622" t="str">
        <f t="shared" si="110"/>
        <v>Normal</v>
      </c>
      <c r="AA622" t="str">
        <f t="shared" si="111"/>
        <v>Low</v>
      </c>
      <c r="AB622" t="str">
        <f t="shared" si="115"/>
        <v>Low Profit</v>
      </c>
      <c r="AC622" s="3">
        <f t="shared" si="116"/>
        <v>0.13415938458125698</v>
      </c>
      <c r="AD622" s="3">
        <f t="shared" si="117"/>
        <v>1262.23</v>
      </c>
      <c r="AE622" s="3">
        <f t="shared" si="118"/>
        <v>169.34</v>
      </c>
      <c r="AF622" t="str">
        <f t="shared" si="119"/>
        <v>Regular</v>
      </c>
    </row>
    <row r="623" spans="1:32" x14ac:dyDescent="0.25">
      <c r="A623" t="s">
        <v>5337</v>
      </c>
      <c r="B623" s="1">
        <v>45228</v>
      </c>
      <c r="C623" s="1">
        <v>45237</v>
      </c>
      <c r="D623" s="4">
        <f t="shared" si="108"/>
        <v>9</v>
      </c>
      <c r="E623" s="4" t="str">
        <f>TEXT(Table1[[#This Row],[Order_Date]],"dddd")</f>
        <v>Sunday</v>
      </c>
      <c r="F623" s="4">
        <f t="shared" si="109"/>
        <v>10</v>
      </c>
      <c r="G623" t="str">
        <f t="shared" si="112"/>
        <v>October</v>
      </c>
      <c r="H623">
        <f t="shared" si="113"/>
        <v>2023</v>
      </c>
      <c r="I623" t="str">
        <f t="shared" si="114"/>
        <v>2023-Q4</v>
      </c>
      <c r="J623" t="s">
        <v>44</v>
      </c>
      <c r="K623" t="s">
        <v>5338</v>
      </c>
      <c r="L623" t="s">
        <v>5339</v>
      </c>
      <c r="M623" t="s">
        <v>36</v>
      </c>
      <c r="N623" t="s">
        <v>25</v>
      </c>
      <c r="O623" t="s">
        <v>382</v>
      </c>
      <c r="P623" t="s">
        <v>38</v>
      </c>
      <c r="Q623" t="s">
        <v>39</v>
      </c>
      <c r="R623" t="s">
        <v>5340</v>
      </c>
      <c r="S623" t="s">
        <v>30</v>
      </c>
      <c r="T623" t="s">
        <v>31</v>
      </c>
      <c r="U623" t="s">
        <v>5341</v>
      </c>
      <c r="V623" s="3">
        <v>860.26</v>
      </c>
      <c r="W623" s="4">
        <v>1</v>
      </c>
      <c r="X623" s="2">
        <v>0.4</v>
      </c>
      <c r="Y623" s="3">
        <v>167.26</v>
      </c>
      <c r="Z623" t="str">
        <f t="shared" si="110"/>
        <v>Normal</v>
      </c>
      <c r="AA623" t="str">
        <f t="shared" si="111"/>
        <v>High</v>
      </c>
      <c r="AB623" t="str">
        <f t="shared" si="115"/>
        <v>Low Profit</v>
      </c>
      <c r="AC623" s="3">
        <f t="shared" si="116"/>
        <v>0.19442959105386742</v>
      </c>
      <c r="AD623" s="3">
        <f t="shared" si="117"/>
        <v>860.26</v>
      </c>
      <c r="AE623" s="3">
        <f t="shared" si="118"/>
        <v>167.26</v>
      </c>
      <c r="AF623" t="str">
        <f t="shared" si="119"/>
        <v>Regular</v>
      </c>
    </row>
    <row r="624" spans="1:32" x14ac:dyDescent="0.25">
      <c r="A624" t="s">
        <v>4975</v>
      </c>
      <c r="B624" s="1">
        <v>45229</v>
      </c>
      <c r="C624" s="1">
        <v>45237</v>
      </c>
      <c r="D624" s="4">
        <f t="shared" si="108"/>
        <v>8</v>
      </c>
      <c r="E624" s="4" t="str">
        <f>TEXT(Table1[[#This Row],[Order_Date]],"dddd")</f>
        <v>Monday</v>
      </c>
      <c r="F624" s="4">
        <f t="shared" si="109"/>
        <v>10</v>
      </c>
      <c r="G624" t="str">
        <f t="shared" si="112"/>
        <v>October</v>
      </c>
      <c r="H624">
        <f t="shared" si="113"/>
        <v>2023</v>
      </c>
      <c r="I624" t="str">
        <f t="shared" si="114"/>
        <v>2023-Q4</v>
      </c>
      <c r="J624" t="s">
        <v>104</v>
      </c>
      <c r="K624" t="s">
        <v>4976</v>
      </c>
      <c r="L624" t="s">
        <v>4977</v>
      </c>
      <c r="M624" t="s">
        <v>47</v>
      </c>
      <c r="N624" t="s">
        <v>25</v>
      </c>
      <c r="O624" t="s">
        <v>113</v>
      </c>
      <c r="P624" t="s">
        <v>113</v>
      </c>
      <c r="Q624" t="s">
        <v>87</v>
      </c>
      <c r="R624" t="s">
        <v>4978</v>
      </c>
      <c r="S624" t="s">
        <v>30</v>
      </c>
      <c r="T624" t="s">
        <v>68</v>
      </c>
      <c r="U624" t="s">
        <v>4979</v>
      </c>
      <c r="V624" s="3">
        <v>1270.93</v>
      </c>
      <c r="W624" s="4">
        <v>6</v>
      </c>
      <c r="X624" s="2">
        <v>0.2</v>
      </c>
      <c r="Y624" s="3">
        <v>-14</v>
      </c>
      <c r="Z624" t="str">
        <f t="shared" si="110"/>
        <v>Normal</v>
      </c>
      <c r="AA624" t="str">
        <f t="shared" si="111"/>
        <v>High</v>
      </c>
      <c r="AB624" t="str">
        <f t="shared" si="115"/>
        <v>Loss</v>
      </c>
      <c r="AC624" s="3">
        <f t="shared" si="116"/>
        <v>-1.1015555538070546E-2</v>
      </c>
      <c r="AD624" s="3">
        <f t="shared" si="117"/>
        <v>211.82166666666669</v>
      </c>
      <c r="AE624" s="3">
        <f t="shared" si="118"/>
        <v>-2.3333333333333335</v>
      </c>
      <c r="AF624" t="str">
        <f t="shared" si="119"/>
        <v>Regular</v>
      </c>
    </row>
    <row r="625" spans="1:32" x14ac:dyDescent="0.25">
      <c r="A625" t="s">
        <v>2006</v>
      </c>
      <c r="B625" s="1">
        <v>45230</v>
      </c>
      <c r="C625" s="1">
        <v>45234</v>
      </c>
      <c r="D625" s="4">
        <f t="shared" si="108"/>
        <v>4</v>
      </c>
      <c r="E625" s="4" t="str">
        <f>TEXT(Table1[[#This Row],[Order_Date]],"dddd")</f>
        <v>Tuesday</v>
      </c>
      <c r="F625" s="4">
        <f t="shared" si="109"/>
        <v>10</v>
      </c>
      <c r="G625" t="str">
        <f t="shared" si="112"/>
        <v>October</v>
      </c>
      <c r="H625">
        <f t="shared" si="113"/>
        <v>2023</v>
      </c>
      <c r="I625" t="str">
        <f t="shared" si="114"/>
        <v>2023-Q4</v>
      </c>
      <c r="J625" t="s">
        <v>21</v>
      </c>
      <c r="K625" t="s">
        <v>2007</v>
      </c>
      <c r="L625" t="s">
        <v>2008</v>
      </c>
      <c r="M625" t="s">
        <v>24</v>
      </c>
      <c r="N625" t="s">
        <v>25</v>
      </c>
      <c r="O625" t="s">
        <v>73</v>
      </c>
      <c r="P625" t="s">
        <v>74</v>
      </c>
      <c r="Q625" t="s">
        <v>66</v>
      </c>
      <c r="R625" t="s">
        <v>2009</v>
      </c>
      <c r="S625" t="s">
        <v>59</v>
      </c>
      <c r="T625" t="s">
        <v>60</v>
      </c>
      <c r="U625" t="s">
        <v>2010</v>
      </c>
      <c r="V625" s="3">
        <v>378.03</v>
      </c>
      <c r="W625" s="4">
        <v>6</v>
      </c>
      <c r="X625" s="2">
        <v>0.3</v>
      </c>
      <c r="Y625" s="3">
        <v>96.53</v>
      </c>
      <c r="Z625" t="str">
        <f t="shared" si="110"/>
        <v>Normal</v>
      </c>
      <c r="AA625" t="str">
        <f t="shared" si="111"/>
        <v>High</v>
      </c>
      <c r="AB625" t="str">
        <f t="shared" si="115"/>
        <v>Low Profit</v>
      </c>
      <c r="AC625" s="3">
        <f t="shared" si="116"/>
        <v>0.25535010448906176</v>
      </c>
      <c r="AD625" s="3">
        <f t="shared" si="117"/>
        <v>63.004999999999995</v>
      </c>
      <c r="AE625" s="3">
        <f t="shared" si="118"/>
        <v>16.088333333333335</v>
      </c>
      <c r="AF625" t="str">
        <f t="shared" si="119"/>
        <v>Regular</v>
      </c>
    </row>
    <row r="626" spans="1:32" x14ac:dyDescent="0.25">
      <c r="A626" t="s">
        <v>1558</v>
      </c>
      <c r="B626" s="1">
        <v>45230</v>
      </c>
      <c r="C626" s="1">
        <v>45233</v>
      </c>
      <c r="D626" s="4">
        <f t="shared" si="108"/>
        <v>3</v>
      </c>
      <c r="E626" s="4" t="str">
        <f>TEXT(Table1[[#This Row],[Order_Date]],"dddd")</f>
        <v>Tuesday</v>
      </c>
      <c r="F626" s="4">
        <f t="shared" si="109"/>
        <v>10</v>
      </c>
      <c r="G626" t="str">
        <f t="shared" si="112"/>
        <v>October</v>
      </c>
      <c r="H626">
        <f t="shared" si="113"/>
        <v>2023</v>
      </c>
      <c r="I626" t="str">
        <f t="shared" si="114"/>
        <v>2023-Q4</v>
      </c>
      <c r="J626" t="s">
        <v>55</v>
      </c>
      <c r="K626" t="s">
        <v>1559</v>
      </c>
      <c r="L626" t="s">
        <v>1560</v>
      </c>
      <c r="M626" t="s">
        <v>47</v>
      </c>
      <c r="N626" t="s">
        <v>25</v>
      </c>
      <c r="O626" t="s">
        <v>142</v>
      </c>
      <c r="P626" t="s">
        <v>143</v>
      </c>
      <c r="Q626" t="s">
        <v>28</v>
      </c>
      <c r="R626" t="s">
        <v>1561</v>
      </c>
      <c r="S626" t="s">
        <v>59</v>
      </c>
      <c r="T626" t="s">
        <v>60</v>
      </c>
      <c r="U626" t="s">
        <v>1562</v>
      </c>
      <c r="V626" s="3">
        <v>1190.1600000000001</v>
      </c>
      <c r="W626" s="4">
        <v>6</v>
      </c>
      <c r="X626" s="2">
        <v>0.3</v>
      </c>
      <c r="Y626" s="3">
        <v>343.03</v>
      </c>
      <c r="Z626" t="str">
        <f t="shared" si="110"/>
        <v>Normal</v>
      </c>
      <c r="AA626" t="str">
        <f t="shared" si="111"/>
        <v>High</v>
      </c>
      <c r="AB626" t="str">
        <f t="shared" si="115"/>
        <v>Low Profit</v>
      </c>
      <c r="AC626" s="3">
        <f t="shared" si="116"/>
        <v>0.28822175169725073</v>
      </c>
      <c r="AD626" s="3">
        <f t="shared" si="117"/>
        <v>198.36</v>
      </c>
      <c r="AE626" s="3">
        <f t="shared" si="118"/>
        <v>57.17166666666666</v>
      </c>
      <c r="AF626" t="str">
        <f t="shared" si="119"/>
        <v>Regular</v>
      </c>
    </row>
    <row r="627" spans="1:32" x14ac:dyDescent="0.25">
      <c r="A627" t="s">
        <v>2162</v>
      </c>
      <c r="B627" s="1">
        <v>45231</v>
      </c>
      <c r="C627" s="1">
        <v>45238</v>
      </c>
      <c r="D627" s="4">
        <f t="shared" si="108"/>
        <v>7</v>
      </c>
      <c r="E627" s="4" t="str">
        <f>TEXT(Table1[[#This Row],[Order_Date]],"dddd")</f>
        <v>Wednesday</v>
      </c>
      <c r="F627" s="4">
        <f t="shared" si="109"/>
        <v>11</v>
      </c>
      <c r="G627" t="str">
        <f t="shared" si="112"/>
        <v>November</v>
      </c>
      <c r="H627">
        <f t="shared" si="113"/>
        <v>2023</v>
      </c>
      <c r="I627" t="str">
        <f t="shared" si="114"/>
        <v>2023-Q4</v>
      </c>
      <c r="J627" t="s">
        <v>44</v>
      </c>
      <c r="K627" t="s">
        <v>2163</v>
      </c>
      <c r="L627" t="s">
        <v>2164</v>
      </c>
      <c r="M627" t="s">
        <v>47</v>
      </c>
      <c r="N627" t="s">
        <v>25</v>
      </c>
      <c r="O627" t="s">
        <v>233</v>
      </c>
      <c r="P627" t="s">
        <v>163</v>
      </c>
      <c r="Q627" t="s">
        <v>66</v>
      </c>
      <c r="R627" t="s">
        <v>2165</v>
      </c>
      <c r="S627" t="s">
        <v>51</v>
      </c>
      <c r="T627" t="s">
        <v>52</v>
      </c>
      <c r="U627" t="s">
        <v>2166</v>
      </c>
      <c r="V627" s="3">
        <v>3818.23</v>
      </c>
      <c r="W627" s="4">
        <v>9</v>
      </c>
      <c r="X627" s="2">
        <v>0</v>
      </c>
      <c r="Y627" s="3">
        <v>40.06</v>
      </c>
      <c r="Z627" t="str">
        <f t="shared" si="110"/>
        <v>Normal</v>
      </c>
      <c r="AA627" t="str">
        <f t="shared" si="111"/>
        <v>Low</v>
      </c>
      <c r="AB627" t="str">
        <f t="shared" si="115"/>
        <v>Low Profit</v>
      </c>
      <c r="AC627" s="3">
        <f t="shared" si="116"/>
        <v>1.049177236572967E-2</v>
      </c>
      <c r="AD627" s="3">
        <f t="shared" si="117"/>
        <v>424.2477777777778</v>
      </c>
      <c r="AE627" s="3">
        <f t="shared" si="118"/>
        <v>4.4511111111111115</v>
      </c>
      <c r="AF627" t="str">
        <f t="shared" si="119"/>
        <v>Regular</v>
      </c>
    </row>
    <row r="628" spans="1:32" x14ac:dyDescent="0.25">
      <c r="A628" t="s">
        <v>1076</v>
      </c>
      <c r="B628" s="1">
        <v>45231</v>
      </c>
      <c r="C628" s="1">
        <v>45241</v>
      </c>
      <c r="D628" s="4">
        <f t="shared" si="108"/>
        <v>10</v>
      </c>
      <c r="E628" s="4" t="str">
        <f>TEXT(Table1[[#This Row],[Order_Date]],"dddd")</f>
        <v>Wednesday</v>
      </c>
      <c r="F628" s="4">
        <f t="shared" si="109"/>
        <v>11</v>
      </c>
      <c r="G628" t="str">
        <f t="shared" si="112"/>
        <v>November</v>
      </c>
      <c r="H628">
        <f t="shared" si="113"/>
        <v>2023</v>
      </c>
      <c r="I628" t="str">
        <f t="shared" si="114"/>
        <v>2023-Q4</v>
      </c>
      <c r="J628" t="s">
        <v>21</v>
      </c>
      <c r="K628" t="s">
        <v>1077</v>
      </c>
      <c r="L628" t="s">
        <v>1078</v>
      </c>
      <c r="M628" t="s">
        <v>24</v>
      </c>
      <c r="N628" t="s">
        <v>25</v>
      </c>
      <c r="O628" t="s">
        <v>73</v>
      </c>
      <c r="P628" t="s">
        <v>74</v>
      </c>
      <c r="Q628" t="s">
        <v>87</v>
      </c>
      <c r="R628" t="s">
        <v>1079</v>
      </c>
      <c r="S628" t="s">
        <v>59</v>
      </c>
      <c r="T628" t="s">
        <v>101</v>
      </c>
      <c r="U628" t="s">
        <v>1080</v>
      </c>
      <c r="V628" s="3">
        <v>4990.04</v>
      </c>
      <c r="W628" s="4">
        <v>1</v>
      </c>
      <c r="X628" s="2">
        <v>0.4</v>
      </c>
      <c r="Y628" s="3">
        <v>915.29</v>
      </c>
      <c r="Z628" t="str">
        <f t="shared" si="110"/>
        <v>Normal</v>
      </c>
      <c r="AA628" t="str">
        <f t="shared" si="111"/>
        <v>High</v>
      </c>
      <c r="AB628" t="str">
        <f t="shared" si="115"/>
        <v>High Profit</v>
      </c>
      <c r="AC628" s="3">
        <f t="shared" si="116"/>
        <v>0.18342337937170844</v>
      </c>
      <c r="AD628" s="3">
        <f t="shared" si="117"/>
        <v>4990.04</v>
      </c>
      <c r="AE628" s="3">
        <f t="shared" si="118"/>
        <v>915.29</v>
      </c>
      <c r="AF628" t="str">
        <f t="shared" si="119"/>
        <v>Regular</v>
      </c>
    </row>
    <row r="629" spans="1:32" x14ac:dyDescent="0.25">
      <c r="A629" t="s">
        <v>6767</v>
      </c>
      <c r="B629" s="1">
        <v>45232</v>
      </c>
      <c r="C629" s="1">
        <v>45237</v>
      </c>
      <c r="D629" s="4">
        <f t="shared" si="108"/>
        <v>5</v>
      </c>
      <c r="E629" s="4" t="str">
        <f>TEXT(Table1[[#This Row],[Order_Date]],"dddd")</f>
        <v>Thursday</v>
      </c>
      <c r="F629" s="4">
        <f t="shared" si="109"/>
        <v>11</v>
      </c>
      <c r="G629" t="str">
        <f t="shared" si="112"/>
        <v>November</v>
      </c>
      <c r="H629">
        <f t="shared" si="113"/>
        <v>2023</v>
      </c>
      <c r="I629" t="str">
        <f t="shared" si="114"/>
        <v>2023-Q4</v>
      </c>
      <c r="J629" t="s">
        <v>44</v>
      </c>
      <c r="K629" t="s">
        <v>6768</v>
      </c>
      <c r="L629" t="s">
        <v>6769</v>
      </c>
      <c r="M629" t="s">
        <v>47</v>
      </c>
      <c r="N629" t="s">
        <v>25</v>
      </c>
      <c r="O629" t="s">
        <v>119</v>
      </c>
      <c r="P629" t="s">
        <v>120</v>
      </c>
      <c r="Q629" t="s">
        <v>66</v>
      </c>
      <c r="R629" t="s">
        <v>6770</v>
      </c>
      <c r="S629" t="s">
        <v>30</v>
      </c>
      <c r="T629" t="s">
        <v>82</v>
      </c>
      <c r="U629" t="s">
        <v>6771</v>
      </c>
      <c r="V629" s="3">
        <v>2889.26</v>
      </c>
      <c r="W629" s="4">
        <v>9</v>
      </c>
      <c r="X629" s="2">
        <v>0</v>
      </c>
      <c r="Y629" s="3">
        <v>-221.59</v>
      </c>
      <c r="Z629" t="str">
        <f t="shared" si="110"/>
        <v>Normal</v>
      </c>
      <c r="AA629" t="str">
        <f t="shared" si="111"/>
        <v>Low</v>
      </c>
      <c r="AB629" t="str">
        <f t="shared" si="115"/>
        <v>Loss</v>
      </c>
      <c r="AC629" s="3">
        <f t="shared" si="116"/>
        <v>-7.6694378491378404E-2</v>
      </c>
      <c r="AD629" s="3">
        <f t="shared" si="117"/>
        <v>321.0288888888889</v>
      </c>
      <c r="AE629" s="3">
        <f t="shared" si="118"/>
        <v>-24.621111111111112</v>
      </c>
      <c r="AF629" t="str">
        <f t="shared" si="119"/>
        <v>Regular</v>
      </c>
    </row>
    <row r="630" spans="1:32" x14ac:dyDescent="0.25">
      <c r="A630" t="s">
        <v>4007</v>
      </c>
      <c r="B630" s="1">
        <v>45232</v>
      </c>
      <c r="C630" s="1">
        <v>45238</v>
      </c>
      <c r="D630" s="4">
        <f t="shared" si="108"/>
        <v>6</v>
      </c>
      <c r="E630" s="4" t="str">
        <f>TEXT(Table1[[#This Row],[Order_Date]],"dddd")</f>
        <v>Thursday</v>
      </c>
      <c r="F630" s="4">
        <f t="shared" si="109"/>
        <v>11</v>
      </c>
      <c r="G630" t="str">
        <f t="shared" si="112"/>
        <v>November</v>
      </c>
      <c r="H630">
        <f t="shared" si="113"/>
        <v>2023</v>
      </c>
      <c r="I630" t="str">
        <f t="shared" si="114"/>
        <v>2023-Q4</v>
      </c>
      <c r="J630" t="s">
        <v>104</v>
      </c>
      <c r="K630" t="s">
        <v>4008</v>
      </c>
      <c r="L630" t="s">
        <v>4009</v>
      </c>
      <c r="M630" t="s">
        <v>47</v>
      </c>
      <c r="N630" t="s">
        <v>25</v>
      </c>
      <c r="O630" t="s">
        <v>149</v>
      </c>
      <c r="P630" t="s">
        <v>113</v>
      </c>
      <c r="Q630" t="s">
        <v>28</v>
      </c>
      <c r="R630" t="s">
        <v>4010</v>
      </c>
      <c r="S630" t="s">
        <v>59</v>
      </c>
      <c r="T630" t="s">
        <v>303</v>
      </c>
      <c r="U630" t="s">
        <v>4011</v>
      </c>
      <c r="V630" s="3">
        <v>4114.95</v>
      </c>
      <c r="W630" s="4">
        <v>7</v>
      </c>
      <c r="X630" s="2">
        <v>0.1</v>
      </c>
      <c r="Y630" s="3">
        <v>941.9</v>
      </c>
      <c r="Z630" t="str">
        <f t="shared" si="110"/>
        <v>Normal</v>
      </c>
      <c r="AA630" t="str">
        <f t="shared" si="111"/>
        <v>Medium</v>
      </c>
      <c r="AB630" t="str">
        <f t="shared" si="115"/>
        <v>High Profit</v>
      </c>
      <c r="AC630" s="3">
        <f t="shared" si="116"/>
        <v>0.22889707043827995</v>
      </c>
      <c r="AD630" s="3">
        <f t="shared" si="117"/>
        <v>587.85</v>
      </c>
      <c r="AE630" s="3">
        <f t="shared" si="118"/>
        <v>134.55714285714285</v>
      </c>
      <c r="AF630" t="str">
        <f t="shared" si="119"/>
        <v>Regular</v>
      </c>
    </row>
    <row r="631" spans="1:32" x14ac:dyDescent="0.25">
      <c r="A631" t="s">
        <v>4372</v>
      </c>
      <c r="B631" s="1">
        <v>45233</v>
      </c>
      <c r="C631" s="1">
        <v>45240</v>
      </c>
      <c r="D631" s="4">
        <f t="shared" si="108"/>
        <v>7</v>
      </c>
      <c r="E631" s="4" t="str">
        <f>TEXT(Table1[[#This Row],[Order_Date]],"dddd")</f>
        <v>Friday</v>
      </c>
      <c r="F631" s="4">
        <f t="shared" si="109"/>
        <v>11</v>
      </c>
      <c r="G631" t="str">
        <f t="shared" si="112"/>
        <v>November</v>
      </c>
      <c r="H631">
        <f t="shared" si="113"/>
        <v>2023</v>
      </c>
      <c r="I631" t="str">
        <f t="shared" si="114"/>
        <v>2023-Q4</v>
      </c>
      <c r="J631" t="s">
        <v>55</v>
      </c>
      <c r="K631" t="s">
        <v>4373</v>
      </c>
      <c r="L631" t="s">
        <v>4374</v>
      </c>
      <c r="M631" t="s">
        <v>24</v>
      </c>
      <c r="N631" t="s">
        <v>25</v>
      </c>
      <c r="O631" t="s">
        <v>37</v>
      </c>
      <c r="P631" t="s">
        <v>38</v>
      </c>
      <c r="Q631" t="s">
        <v>66</v>
      </c>
      <c r="R631" t="s">
        <v>4375</v>
      </c>
      <c r="S631" t="s">
        <v>30</v>
      </c>
      <c r="T631" t="s">
        <v>41</v>
      </c>
      <c r="U631" t="s">
        <v>4376</v>
      </c>
      <c r="V631" s="3">
        <v>1636</v>
      </c>
      <c r="W631" s="4">
        <v>2</v>
      </c>
      <c r="X631" s="2">
        <v>0.2</v>
      </c>
      <c r="Y631" s="3">
        <v>418.88</v>
      </c>
      <c r="Z631" t="str">
        <f t="shared" si="110"/>
        <v>Normal</v>
      </c>
      <c r="AA631" t="str">
        <f t="shared" si="111"/>
        <v>High</v>
      </c>
      <c r="AB631" t="str">
        <f t="shared" si="115"/>
        <v>Low Profit</v>
      </c>
      <c r="AC631" s="3">
        <f t="shared" si="116"/>
        <v>0.25603911980440097</v>
      </c>
      <c r="AD631" s="3">
        <f t="shared" si="117"/>
        <v>818</v>
      </c>
      <c r="AE631" s="3">
        <f t="shared" si="118"/>
        <v>209.44</v>
      </c>
      <c r="AF631" t="str">
        <f t="shared" si="119"/>
        <v>Regular</v>
      </c>
    </row>
    <row r="632" spans="1:32" x14ac:dyDescent="0.25">
      <c r="A632" t="s">
        <v>1658</v>
      </c>
      <c r="B632" s="1">
        <v>45233</v>
      </c>
      <c r="C632" s="1">
        <v>45241</v>
      </c>
      <c r="D632" s="4">
        <f t="shared" si="108"/>
        <v>8</v>
      </c>
      <c r="E632" s="4" t="str">
        <f>TEXT(Table1[[#This Row],[Order_Date]],"dddd")</f>
        <v>Friday</v>
      </c>
      <c r="F632" s="4">
        <f t="shared" si="109"/>
        <v>11</v>
      </c>
      <c r="G632" t="str">
        <f t="shared" si="112"/>
        <v>November</v>
      </c>
      <c r="H632">
        <f t="shared" si="113"/>
        <v>2023</v>
      </c>
      <c r="I632" t="str">
        <f t="shared" si="114"/>
        <v>2023-Q4</v>
      </c>
      <c r="J632" t="s">
        <v>55</v>
      </c>
      <c r="K632" t="s">
        <v>1659</v>
      </c>
      <c r="L632" t="s">
        <v>1660</v>
      </c>
      <c r="M632" t="s">
        <v>36</v>
      </c>
      <c r="N632" t="s">
        <v>25</v>
      </c>
      <c r="O632" t="s">
        <v>611</v>
      </c>
      <c r="P632" t="s">
        <v>74</v>
      </c>
      <c r="Q632" t="s">
        <v>66</v>
      </c>
      <c r="R632" t="s">
        <v>1661</v>
      </c>
      <c r="S632" t="s">
        <v>51</v>
      </c>
      <c r="T632" t="s">
        <v>52</v>
      </c>
      <c r="U632" t="s">
        <v>1662</v>
      </c>
      <c r="V632" s="3">
        <v>1894.03</v>
      </c>
      <c r="W632" s="4">
        <v>3</v>
      </c>
      <c r="X632" s="2">
        <v>0.1</v>
      </c>
      <c r="Y632" s="3">
        <v>0.38</v>
      </c>
      <c r="Z632" t="str">
        <f t="shared" si="110"/>
        <v>Normal</v>
      </c>
      <c r="AA632" t="str">
        <f t="shared" si="111"/>
        <v>Medium</v>
      </c>
      <c r="AB632" t="str">
        <f t="shared" si="115"/>
        <v>Low Profit</v>
      </c>
      <c r="AC632" s="3">
        <f t="shared" si="116"/>
        <v>2.0063040184157589E-4</v>
      </c>
      <c r="AD632" s="3">
        <f t="shared" si="117"/>
        <v>631.34333333333336</v>
      </c>
      <c r="AE632" s="3">
        <f t="shared" si="118"/>
        <v>0.12666666666666668</v>
      </c>
      <c r="AF632" t="str">
        <f t="shared" si="119"/>
        <v>Regular</v>
      </c>
    </row>
    <row r="633" spans="1:32" x14ac:dyDescent="0.25">
      <c r="A633" t="s">
        <v>2815</v>
      </c>
      <c r="B633" s="1">
        <v>45235</v>
      </c>
      <c r="C633" s="1">
        <v>45245</v>
      </c>
      <c r="D633" s="4">
        <f t="shared" si="108"/>
        <v>10</v>
      </c>
      <c r="E633" s="4" t="str">
        <f>TEXT(Table1[[#This Row],[Order_Date]],"dddd")</f>
        <v>Sunday</v>
      </c>
      <c r="F633" s="4">
        <f t="shared" si="109"/>
        <v>11</v>
      </c>
      <c r="G633" t="str">
        <f t="shared" si="112"/>
        <v>November</v>
      </c>
      <c r="H633">
        <f t="shared" si="113"/>
        <v>2023</v>
      </c>
      <c r="I633" t="str">
        <f t="shared" si="114"/>
        <v>2023-Q4</v>
      </c>
      <c r="J633" t="s">
        <v>55</v>
      </c>
      <c r="K633" t="s">
        <v>2816</v>
      </c>
      <c r="L633" t="s">
        <v>2817</v>
      </c>
      <c r="M633" t="s">
        <v>24</v>
      </c>
      <c r="N633" t="s">
        <v>25</v>
      </c>
      <c r="O633" t="s">
        <v>255</v>
      </c>
      <c r="P633" t="s">
        <v>143</v>
      </c>
      <c r="Q633" t="s">
        <v>39</v>
      </c>
      <c r="R633" t="s">
        <v>2818</v>
      </c>
      <c r="S633" t="s">
        <v>59</v>
      </c>
      <c r="T633" t="s">
        <v>60</v>
      </c>
      <c r="U633" t="s">
        <v>2819</v>
      </c>
      <c r="V633" s="3">
        <v>566.04999999999995</v>
      </c>
      <c r="W633" s="4">
        <v>10</v>
      </c>
      <c r="X633" s="2">
        <v>0.2</v>
      </c>
      <c r="Y633" s="3">
        <v>-32.78</v>
      </c>
      <c r="Z633" t="str">
        <f t="shared" si="110"/>
        <v>Normal</v>
      </c>
      <c r="AA633" t="str">
        <f t="shared" si="111"/>
        <v>High</v>
      </c>
      <c r="AB633" t="str">
        <f t="shared" si="115"/>
        <v>Loss</v>
      </c>
      <c r="AC633" s="3">
        <f t="shared" si="116"/>
        <v>-5.7910078614963348E-2</v>
      </c>
      <c r="AD633" s="3">
        <f t="shared" si="117"/>
        <v>56.604999999999997</v>
      </c>
      <c r="AE633" s="3">
        <f t="shared" si="118"/>
        <v>-3.278</v>
      </c>
      <c r="AF633" t="str">
        <f t="shared" si="119"/>
        <v>Regular</v>
      </c>
    </row>
    <row r="634" spans="1:32" x14ac:dyDescent="0.25">
      <c r="A634" t="s">
        <v>3083</v>
      </c>
      <c r="B634" s="1">
        <v>45235</v>
      </c>
      <c r="C634" s="1">
        <v>45241</v>
      </c>
      <c r="D634" s="4">
        <f t="shared" si="108"/>
        <v>6</v>
      </c>
      <c r="E634" s="4" t="str">
        <f>TEXT(Table1[[#This Row],[Order_Date]],"dddd")</f>
        <v>Sunday</v>
      </c>
      <c r="F634" s="4">
        <f t="shared" si="109"/>
        <v>11</v>
      </c>
      <c r="G634" t="str">
        <f t="shared" si="112"/>
        <v>November</v>
      </c>
      <c r="H634">
        <f t="shared" si="113"/>
        <v>2023</v>
      </c>
      <c r="I634" t="str">
        <f t="shared" si="114"/>
        <v>2023-Q4</v>
      </c>
      <c r="J634" t="s">
        <v>55</v>
      </c>
      <c r="K634" t="s">
        <v>3084</v>
      </c>
      <c r="L634" t="s">
        <v>3085</v>
      </c>
      <c r="M634" t="s">
        <v>47</v>
      </c>
      <c r="N634" t="s">
        <v>25</v>
      </c>
      <c r="O634" t="s">
        <v>162</v>
      </c>
      <c r="P634" t="s">
        <v>163</v>
      </c>
      <c r="Q634" t="s">
        <v>28</v>
      </c>
      <c r="R634" t="s">
        <v>3086</v>
      </c>
      <c r="S634" t="s">
        <v>51</v>
      </c>
      <c r="T634" t="s">
        <v>52</v>
      </c>
      <c r="U634" t="s">
        <v>3087</v>
      </c>
      <c r="V634" s="3">
        <v>3231.58</v>
      </c>
      <c r="W634" s="4">
        <v>5</v>
      </c>
      <c r="X634" s="2">
        <v>0.2</v>
      </c>
      <c r="Y634" s="3">
        <v>-388.96</v>
      </c>
      <c r="Z634" t="str">
        <f t="shared" si="110"/>
        <v>Normal</v>
      </c>
      <c r="AA634" t="str">
        <f t="shared" si="111"/>
        <v>High</v>
      </c>
      <c r="AB634" t="str">
        <f t="shared" si="115"/>
        <v>Loss</v>
      </c>
      <c r="AC634" s="3">
        <f t="shared" si="116"/>
        <v>-0.1203621757777929</v>
      </c>
      <c r="AD634" s="3">
        <f t="shared" si="117"/>
        <v>646.31600000000003</v>
      </c>
      <c r="AE634" s="3">
        <f t="shared" si="118"/>
        <v>-77.792000000000002</v>
      </c>
      <c r="AF634" t="str">
        <f t="shared" si="119"/>
        <v>Regular</v>
      </c>
    </row>
    <row r="635" spans="1:32" x14ac:dyDescent="0.25">
      <c r="A635" t="s">
        <v>3801</v>
      </c>
      <c r="B635" s="1">
        <v>45235</v>
      </c>
      <c r="C635" s="1">
        <v>45238</v>
      </c>
      <c r="D635" s="4">
        <f t="shared" si="108"/>
        <v>3</v>
      </c>
      <c r="E635" s="4" t="str">
        <f>TEXT(Table1[[#This Row],[Order_Date]],"dddd")</f>
        <v>Sunday</v>
      </c>
      <c r="F635" s="4">
        <f t="shared" si="109"/>
        <v>11</v>
      </c>
      <c r="G635" t="str">
        <f t="shared" si="112"/>
        <v>November</v>
      </c>
      <c r="H635">
        <f t="shared" si="113"/>
        <v>2023</v>
      </c>
      <c r="I635" t="str">
        <f t="shared" si="114"/>
        <v>2023-Q4</v>
      </c>
      <c r="J635" t="s">
        <v>55</v>
      </c>
      <c r="K635" t="s">
        <v>3802</v>
      </c>
      <c r="L635" t="s">
        <v>3803</v>
      </c>
      <c r="M635" t="s">
        <v>24</v>
      </c>
      <c r="N635" t="s">
        <v>25</v>
      </c>
      <c r="O635" t="s">
        <v>227</v>
      </c>
      <c r="P635" t="s">
        <v>49</v>
      </c>
      <c r="Q635" t="s">
        <v>66</v>
      </c>
      <c r="R635" t="s">
        <v>3804</v>
      </c>
      <c r="S635" t="s">
        <v>30</v>
      </c>
      <c r="T635" t="s">
        <v>68</v>
      </c>
      <c r="U635" t="s">
        <v>3805</v>
      </c>
      <c r="V635" s="3">
        <v>2650.14</v>
      </c>
      <c r="W635" s="4">
        <v>2</v>
      </c>
      <c r="X635" s="2">
        <v>0.3</v>
      </c>
      <c r="Y635" s="3">
        <v>786.37</v>
      </c>
      <c r="Z635" t="str">
        <f t="shared" si="110"/>
        <v>Normal</v>
      </c>
      <c r="AA635" t="str">
        <f t="shared" si="111"/>
        <v>High</v>
      </c>
      <c r="AB635" t="str">
        <f t="shared" si="115"/>
        <v>High Profit</v>
      </c>
      <c r="AC635" s="3">
        <f t="shared" si="116"/>
        <v>0.29672772004497877</v>
      </c>
      <c r="AD635" s="3">
        <f t="shared" si="117"/>
        <v>1325.07</v>
      </c>
      <c r="AE635" s="3">
        <f t="shared" si="118"/>
        <v>393.185</v>
      </c>
      <c r="AF635" t="str">
        <f t="shared" si="119"/>
        <v>Regular</v>
      </c>
    </row>
    <row r="636" spans="1:32" x14ac:dyDescent="0.25">
      <c r="A636" t="s">
        <v>405</v>
      </c>
      <c r="B636" s="1">
        <v>45236</v>
      </c>
      <c r="C636" s="1">
        <v>45238</v>
      </c>
      <c r="D636" s="4">
        <f t="shared" si="108"/>
        <v>2</v>
      </c>
      <c r="E636" s="4" t="str">
        <f>TEXT(Table1[[#This Row],[Order_Date]],"dddd")</f>
        <v>Monday</v>
      </c>
      <c r="F636" s="4">
        <f t="shared" si="109"/>
        <v>11</v>
      </c>
      <c r="G636" t="str">
        <f t="shared" si="112"/>
        <v>November</v>
      </c>
      <c r="H636">
        <f t="shared" si="113"/>
        <v>2023</v>
      </c>
      <c r="I636" t="str">
        <f t="shared" si="114"/>
        <v>2023-Q4</v>
      </c>
      <c r="J636" t="s">
        <v>104</v>
      </c>
      <c r="K636" t="s">
        <v>406</v>
      </c>
      <c r="L636" t="s">
        <v>407</v>
      </c>
      <c r="M636" t="s">
        <v>36</v>
      </c>
      <c r="N636" t="s">
        <v>25</v>
      </c>
      <c r="O636" t="s">
        <v>26</v>
      </c>
      <c r="P636" t="s">
        <v>27</v>
      </c>
      <c r="Q636" t="s">
        <v>87</v>
      </c>
      <c r="R636" t="s">
        <v>408</v>
      </c>
      <c r="S636" t="s">
        <v>59</v>
      </c>
      <c r="T636" t="s">
        <v>303</v>
      </c>
      <c r="U636" t="s">
        <v>409</v>
      </c>
      <c r="V636" s="3">
        <v>3031.5</v>
      </c>
      <c r="W636" s="4">
        <v>3</v>
      </c>
      <c r="X636" s="2">
        <v>0.3</v>
      </c>
      <c r="Y636" s="3">
        <v>760.31</v>
      </c>
      <c r="Z636" t="str">
        <f t="shared" si="110"/>
        <v>Normal</v>
      </c>
      <c r="AA636" t="str">
        <f t="shared" si="111"/>
        <v>High</v>
      </c>
      <c r="AB636" t="str">
        <f t="shared" si="115"/>
        <v>High Profit</v>
      </c>
      <c r="AC636" s="3">
        <f t="shared" si="116"/>
        <v>0.25080323272307437</v>
      </c>
      <c r="AD636" s="3">
        <f t="shared" si="117"/>
        <v>1010.5</v>
      </c>
      <c r="AE636" s="3">
        <f t="shared" si="118"/>
        <v>253.43666666666664</v>
      </c>
      <c r="AF636" t="str">
        <f t="shared" si="119"/>
        <v>Regular</v>
      </c>
    </row>
    <row r="637" spans="1:32" x14ac:dyDescent="0.25">
      <c r="A637" t="s">
        <v>2403</v>
      </c>
      <c r="B637" s="1">
        <v>45236</v>
      </c>
      <c r="C637" s="1">
        <v>45243</v>
      </c>
      <c r="D637" s="4">
        <f t="shared" si="108"/>
        <v>7</v>
      </c>
      <c r="E637" s="4" t="str">
        <f>TEXT(Table1[[#This Row],[Order_Date]],"dddd")</f>
        <v>Monday</v>
      </c>
      <c r="F637" s="4">
        <f t="shared" si="109"/>
        <v>11</v>
      </c>
      <c r="G637" t="str">
        <f t="shared" si="112"/>
        <v>November</v>
      </c>
      <c r="H637">
        <f t="shared" si="113"/>
        <v>2023</v>
      </c>
      <c r="I637" t="str">
        <f t="shared" si="114"/>
        <v>2023-Q4</v>
      </c>
      <c r="J637" t="s">
        <v>21</v>
      </c>
      <c r="K637" t="s">
        <v>2404</v>
      </c>
      <c r="L637" t="s">
        <v>2405</v>
      </c>
      <c r="M637" t="s">
        <v>36</v>
      </c>
      <c r="N637" t="s">
        <v>25</v>
      </c>
      <c r="O637" t="s">
        <v>149</v>
      </c>
      <c r="P637" t="s">
        <v>113</v>
      </c>
      <c r="Q637" t="s">
        <v>28</v>
      </c>
      <c r="R637" t="s">
        <v>2406</v>
      </c>
      <c r="S637" t="s">
        <v>59</v>
      </c>
      <c r="T637" t="s">
        <v>101</v>
      </c>
      <c r="U637" t="s">
        <v>2407</v>
      </c>
      <c r="V637" s="3">
        <v>802.16</v>
      </c>
      <c r="W637" s="4">
        <v>3</v>
      </c>
      <c r="X637" s="2">
        <v>0.4</v>
      </c>
      <c r="Y637" s="3">
        <v>-69.680000000000007</v>
      </c>
      <c r="Z637" t="str">
        <f t="shared" si="110"/>
        <v>Normal</v>
      </c>
      <c r="AA637" t="str">
        <f t="shared" si="111"/>
        <v>High</v>
      </c>
      <c r="AB637" t="str">
        <f t="shared" si="115"/>
        <v>Loss</v>
      </c>
      <c r="AC637" s="3">
        <f t="shared" si="116"/>
        <v>-8.6865463249227101E-2</v>
      </c>
      <c r="AD637" s="3">
        <f t="shared" si="117"/>
        <v>267.38666666666666</v>
      </c>
      <c r="AE637" s="3">
        <f t="shared" si="118"/>
        <v>-23.22666666666667</v>
      </c>
      <c r="AF637" t="str">
        <f t="shared" si="119"/>
        <v>Regular</v>
      </c>
    </row>
    <row r="638" spans="1:32" x14ac:dyDescent="0.25">
      <c r="A638" t="s">
        <v>7126</v>
      </c>
      <c r="B638" s="1">
        <v>45236</v>
      </c>
      <c r="C638" s="1">
        <v>45246</v>
      </c>
      <c r="D638" s="4">
        <f t="shared" si="108"/>
        <v>10</v>
      </c>
      <c r="E638" s="4" t="str">
        <f>TEXT(Table1[[#This Row],[Order_Date]],"dddd")</f>
        <v>Monday</v>
      </c>
      <c r="F638" s="4">
        <f t="shared" si="109"/>
        <v>11</v>
      </c>
      <c r="G638" t="str">
        <f t="shared" si="112"/>
        <v>November</v>
      </c>
      <c r="H638">
        <f t="shared" si="113"/>
        <v>2023</v>
      </c>
      <c r="I638" t="str">
        <f t="shared" si="114"/>
        <v>2023-Q4</v>
      </c>
      <c r="J638" t="s">
        <v>55</v>
      </c>
      <c r="K638" t="s">
        <v>7127</v>
      </c>
      <c r="L638" t="s">
        <v>7128</v>
      </c>
      <c r="M638" t="s">
        <v>36</v>
      </c>
      <c r="N638" t="s">
        <v>25</v>
      </c>
      <c r="O638" t="s">
        <v>48</v>
      </c>
      <c r="P638" t="s">
        <v>49</v>
      </c>
      <c r="Q638" t="s">
        <v>66</v>
      </c>
      <c r="R638" t="s">
        <v>7129</v>
      </c>
      <c r="S638" t="s">
        <v>30</v>
      </c>
      <c r="T638" t="s">
        <v>41</v>
      </c>
      <c r="U638" t="s">
        <v>7130</v>
      </c>
      <c r="V638" s="3">
        <v>4207.68</v>
      </c>
      <c r="W638" s="4">
        <v>3</v>
      </c>
      <c r="X638" s="2">
        <v>0</v>
      </c>
      <c r="Y638" s="3">
        <v>-501.21</v>
      </c>
      <c r="Z638" t="str">
        <f t="shared" si="110"/>
        <v>Normal</v>
      </c>
      <c r="AA638" t="str">
        <f t="shared" si="111"/>
        <v>Low</v>
      </c>
      <c r="AB638" t="str">
        <f t="shared" si="115"/>
        <v>Loss</v>
      </c>
      <c r="AC638" s="3">
        <f t="shared" si="116"/>
        <v>-0.11911789869952086</v>
      </c>
      <c r="AD638" s="3">
        <f t="shared" si="117"/>
        <v>1402.5600000000002</v>
      </c>
      <c r="AE638" s="3">
        <f t="shared" si="118"/>
        <v>-167.07</v>
      </c>
      <c r="AF638" t="str">
        <f t="shared" si="119"/>
        <v>Regular</v>
      </c>
    </row>
    <row r="639" spans="1:32" x14ac:dyDescent="0.25">
      <c r="A639" t="s">
        <v>1011</v>
      </c>
      <c r="B639" s="1">
        <v>45237</v>
      </c>
      <c r="C639" s="1">
        <v>45239</v>
      </c>
      <c r="D639" s="4">
        <f t="shared" si="108"/>
        <v>2</v>
      </c>
      <c r="E639" s="4" t="str">
        <f>TEXT(Table1[[#This Row],[Order_Date]],"dddd")</f>
        <v>Tuesday</v>
      </c>
      <c r="F639" s="4">
        <f t="shared" si="109"/>
        <v>11</v>
      </c>
      <c r="G639" t="str">
        <f t="shared" si="112"/>
        <v>November</v>
      </c>
      <c r="H639">
        <f t="shared" si="113"/>
        <v>2023</v>
      </c>
      <c r="I639" t="str">
        <f t="shared" si="114"/>
        <v>2023-Q4</v>
      </c>
      <c r="J639" t="s">
        <v>104</v>
      </c>
      <c r="K639" t="s">
        <v>1012</v>
      </c>
      <c r="L639" t="s">
        <v>1013</v>
      </c>
      <c r="M639" t="s">
        <v>47</v>
      </c>
      <c r="N639" t="s">
        <v>25</v>
      </c>
      <c r="O639" t="s">
        <v>233</v>
      </c>
      <c r="P639" t="s">
        <v>163</v>
      </c>
      <c r="Q639" t="s">
        <v>66</v>
      </c>
      <c r="R639" t="s">
        <v>1014</v>
      </c>
      <c r="S639" t="s">
        <v>59</v>
      </c>
      <c r="T639" t="s">
        <v>60</v>
      </c>
      <c r="U639" t="s">
        <v>1015</v>
      </c>
      <c r="V639" s="3">
        <v>4716.38</v>
      </c>
      <c r="W639" s="4">
        <v>3</v>
      </c>
      <c r="X639" s="2">
        <v>0.1</v>
      </c>
      <c r="Y639" s="3">
        <v>-679.32</v>
      </c>
      <c r="Z639" t="str">
        <f t="shared" si="110"/>
        <v>Normal</v>
      </c>
      <c r="AA639" t="str">
        <f t="shared" si="111"/>
        <v>Medium</v>
      </c>
      <c r="AB639" t="str">
        <f t="shared" si="115"/>
        <v>Loss</v>
      </c>
      <c r="AC639" s="3">
        <f t="shared" si="116"/>
        <v>-0.1440341957179023</v>
      </c>
      <c r="AD639" s="3">
        <f t="shared" si="117"/>
        <v>1572.1266666666668</v>
      </c>
      <c r="AE639" s="3">
        <f t="shared" si="118"/>
        <v>-226.44000000000003</v>
      </c>
      <c r="AF639" t="str">
        <f t="shared" si="119"/>
        <v>Regular</v>
      </c>
    </row>
    <row r="640" spans="1:32" x14ac:dyDescent="0.25">
      <c r="A640" t="s">
        <v>2482</v>
      </c>
      <c r="B640" s="1">
        <v>45237</v>
      </c>
      <c r="C640" s="1">
        <v>45247</v>
      </c>
      <c r="D640" s="4">
        <f t="shared" si="108"/>
        <v>10</v>
      </c>
      <c r="E640" s="4" t="str">
        <f>TEXT(Table1[[#This Row],[Order_Date]],"dddd")</f>
        <v>Tuesday</v>
      </c>
      <c r="F640" s="4">
        <f t="shared" si="109"/>
        <v>11</v>
      </c>
      <c r="G640" t="str">
        <f t="shared" si="112"/>
        <v>November</v>
      </c>
      <c r="H640">
        <f t="shared" si="113"/>
        <v>2023</v>
      </c>
      <c r="I640" t="str">
        <f t="shared" si="114"/>
        <v>2023-Q4</v>
      </c>
      <c r="J640" t="s">
        <v>21</v>
      </c>
      <c r="K640" t="s">
        <v>2483</v>
      </c>
      <c r="L640" t="s">
        <v>2484</v>
      </c>
      <c r="M640" t="s">
        <v>36</v>
      </c>
      <c r="N640" t="s">
        <v>25</v>
      </c>
      <c r="O640" t="s">
        <v>511</v>
      </c>
      <c r="P640" t="s">
        <v>120</v>
      </c>
      <c r="Q640" t="s">
        <v>28</v>
      </c>
      <c r="R640" t="s">
        <v>2485</v>
      </c>
      <c r="S640" t="s">
        <v>51</v>
      </c>
      <c r="T640" t="s">
        <v>108</v>
      </c>
      <c r="U640" t="s">
        <v>2300</v>
      </c>
      <c r="V640" s="3">
        <v>1943.38</v>
      </c>
      <c r="W640" s="4">
        <v>7</v>
      </c>
      <c r="X640" s="2">
        <v>0.3</v>
      </c>
      <c r="Y640" s="3">
        <v>288.02</v>
      </c>
      <c r="Z640" t="str">
        <f t="shared" si="110"/>
        <v>Normal</v>
      </c>
      <c r="AA640" t="str">
        <f t="shared" si="111"/>
        <v>High</v>
      </c>
      <c r="AB640" t="str">
        <f t="shared" si="115"/>
        <v>Low Profit</v>
      </c>
      <c r="AC640" s="3">
        <f t="shared" si="116"/>
        <v>0.14820570346509687</v>
      </c>
      <c r="AD640" s="3">
        <f t="shared" si="117"/>
        <v>277.62571428571431</v>
      </c>
      <c r="AE640" s="3">
        <f t="shared" si="118"/>
        <v>41.145714285714284</v>
      </c>
      <c r="AF640" t="str">
        <f t="shared" si="119"/>
        <v>Regular</v>
      </c>
    </row>
    <row r="641" spans="1:32" x14ac:dyDescent="0.25">
      <c r="A641" t="s">
        <v>3831</v>
      </c>
      <c r="B641" s="1">
        <v>45237</v>
      </c>
      <c r="C641" s="1">
        <v>45240</v>
      </c>
      <c r="D641" s="4">
        <f t="shared" si="108"/>
        <v>3</v>
      </c>
      <c r="E641" s="4" t="str">
        <f>TEXT(Table1[[#This Row],[Order_Date]],"dddd")</f>
        <v>Tuesday</v>
      </c>
      <c r="F641" s="4">
        <f t="shared" si="109"/>
        <v>11</v>
      </c>
      <c r="G641" t="str">
        <f t="shared" si="112"/>
        <v>November</v>
      </c>
      <c r="H641">
        <f t="shared" si="113"/>
        <v>2023</v>
      </c>
      <c r="I641" t="str">
        <f t="shared" si="114"/>
        <v>2023-Q4</v>
      </c>
      <c r="J641" t="s">
        <v>21</v>
      </c>
      <c r="K641" t="s">
        <v>3832</v>
      </c>
      <c r="L641" t="s">
        <v>3833</v>
      </c>
      <c r="M641" t="s">
        <v>24</v>
      </c>
      <c r="N641" t="s">
        <v>25</v>
      </c>
      <c r="O641" t="s">
        <v>255</v>
      </c>
      <c r="P641" t="s">
        <v>143</v>
      </c>
      <c r="Q641" t="s">
        <v>28</v>
      </c>
      <c r="R641" t="s">
        <v>3834</v>
      </c>
      <c r="S641" t="s">
        <v>51</v>
      </c>
      <c r="T641" t="s">
        <v>127</v>
      </c>
      <c r="U641" t="s">
        <v>3835</v>
      </c>
      <c r="V641" s="3">
        <v>4140.09</v>
      </c>
      <c r="W641" s="4">
        <v>1</v>
      </c>
      <c r="X641" s="2">
        <v>0.3</v>
      </c>
      <c r="Y641" s="3">
        <v>556.85</v>
      </c>
      <c r="Z641" t="str">
        <f t="shared" si="110"/>
        <v>Normal</v>
      </c>
      <c r="AA641" t="str">
        <f t="shared" si="111"/>
        <v>High</v>
      </c>
      <c r="AB641" t="str">
        <f t="shared" si="115"/>
        <v>High Profit</v>
      </c>
      <c r="AC641" s="3">
        <f t="shared" si="116"/>
        <v>0.13450190696337519</v>
      </c>
      <c r="AD641" s="3">
        <f t="shared" si="117"/>
        <v>4140.09</v>
      </c>
      <c r="AE641" s="3">
        <f t="shared" si="118"/>
        <v>556.85</v>
      </c>
      <c r="AF641" t="str">
        <f t="shared" si="119"/>
        <v>Regular</v>
      </c>
    </row>
    <row r="642" spans="1:32" x14ac:dyDescent="0.25">
      <c r="A642" t="s">
        <v>3851</v>
      </c>
      <c r="B642" s="1">
        <v>45237</v>
      </c>
      <c r="C642" s="1">
        <v>45243</v>
      </c>
      <c r="D642" s="4">
        <f t="shared" ref="D642:D705" si="120">C642-B642</f>
        <v>6</v>
      </c>
      <c r="E642" s="4" t="str">
        <f>TEXT(Table1[[#This Row],[Order_Date]],"dddd")</f>
        <v>Tuesday</v>
      </c>
      <c r="F642" s="4">
        <f t="shared" ref="F642:F705" si="121">MONTH(B642)</f>
        <v>11</v>
      </c>
      <c r="G642" t="str">
        <f t="shared" si="112"/>
        <v>November</v>
      </c>
      <c r="H642">
        <f t="shared" si="113"/>
        <v>2023</v>
      </c>
      <c r="I642" t="str">
        <f t="shared" si="114"/>
        <v>2023-Q4</v>
      </c>
      <c r="J642" t="s">
        <v>44</v>
      </c>
      <c r="K642" t="s">
        <v>3852</v>
      </c>
      <c r="L642" t="s">
        <v>3853</v>
      </c>
      <c r="M642" t="s">
        <v>36</v>
      </c>
      <c r="N642" t="s">
        <v>25</v>
      </c>
      <c r="O642" t="s">
        <v>190</v>
      </c>
      <c r="P642" t="s">
        <v>120</v>
      </c>
      <c r="Q642" t="s">
        <v>28</v>
      </c>
      <c r="R642" t="s">
        <v>3854</v>
      </c>
      <c r="S642" t="s">
        <v>30</v>
      </c>
      <c r="T642" t="s">
        <v>31</v>
      </c>
      <c r="U642" t="s">
        <v>3855</v>
      </c>
      <c r="V642" s="3">
        <v>4467.05</v>
      </c>
      <c r="W642" s="4">
        <v>4</v>
      </c>
      <c r="X642" s="2">
        <v>0</v>
      </c>
      <c r="Y642" s="3">
        <v>888.7</v>
      </c>
      <c r="Z642" t="str">
        <f t="shared" ref="Z642:Z705" si="122">IF(OR(Y642&lt;-800.884,Y642&gt;1030.126),"Outlier","Normal")</f>
        <v>Normal</v>
      </c>
      <c r="AA642" t="str">
        <f t="shared" ref="AA642:AA705" si="123">IF(X642&lt;10%,"Low",IF(X642&lt;0.2,"Medium","High"))</f>
        <v>Low</v>
      </c>
      <c r="AB642" t="str">
        <f t="shared" si="115"/>
        <v>High Profit</v>
      </c>
      <c r="AC642" s="3">
        <f t="shared" si="116"/>
        <v>0.19894561287650686</v>
      </c>
      <c r="AD642" s="3">
        <f t="shared" si="117"/>
        <v>1116.7625</v>
      </c>
      <c r="AE642" s="3">
        <f t="shared" si="118"/>
        <v>222.17500000000001</v>
      </c>
      <c r="AF642" t="str">
        <f t="shared" si="119"/>
        <v>Regular</v>
      </c>
    </row>
    <row r="643" spans="1:32" x14ac:dyDescent="0.25">
      <c r="A643" t="s">
        <v>469</v>
      </c>
      <c r="B643" s="1">
        <v>45237</v>
      </c>
      <c r="C643" s="1">
        <v>45246</v>
      </c>
      <c r="D643" s="4">
        <f t="shared" si="120"/>
        <v>9</v>
      </c>
      <c r="E643" s="4" t="str">
        <f>TEXT(Table1[[#This Row],[Order_Date]],"dddd")</f>
        <v>Tuesday</v>
      </c>
      <c r="F643" s="4">
        <f t="shared" si="121"/>
        <v>11</v>
      </c>
      <c r="G643" t="str">
        <f t="shared" ref="G643:G706" si="124">TEXT(B643,"mmmm")</f>
        <v>November</v>
      </c>
      <c r="H643">
        <f t="shared" ref="H643:H706" si="125">YEAR(B643)</f>
        <v>2023</v>
      </c>
      <c r="I643" t="str">
        <f t="shared" ref="I643:I706" si="126">H643 &amp; "-Q" &amp; INT((MONTH(B643)+2)/3)</f>
        <v>2023-Q4</v>
      </c>
      <c r="J643" t="s">
        <v>21</v>
      </c>
      <c r="K643" t="s">
        <v>470</v>
      </c>
      <c r="L643" t="s">
        <v>471</v>
      </c>
      <c r="M643" t="s">
        <v>24</v>
      </c>
      <c r="N643" t="s">
        <v>25</v>
      </c>
      <c r="O643" t="s">
        <v>244</v>
      </c>
      <c r="P643" t="s">
        <v>163</v>
      </c>
      <c r="Q643" t="s">
        <v>66</v>
      </c>
      <c r="R643" t="s">
        <v>472</v>
      </c>
      <c r="S643" t="s">
        <v>30</v>
      </c>
      <c r="T643" t="s">
        <v>31</v>
      </c>
      <c r="U643" t="s">
        <v>473</v>
      </c>
      <c r="V643" s="3">
        <v>3455.81</v>
      </c>
      <c r="W643" s="4">
        <v>1</v>
      </c>
      <c r="X643" s="2">
        <v>0.1</v>
      </c>
      <c r="Y643" s="3">
        <v>715.04</v>
      </c>
      <c r="Z643" t="str">
        <f t="shared" si="122"/>
        <v>Normal</v>
      </c>
      <c r="AA643" t="str">
        <f t="shared" si="123"/>
        <v>Medium</v>
      </c>
      <c r="AB643" t="str">
        <f t="shared" ref="AB643:AB706" si="127">IF(Y643&lt;0, "Loss", IF(Y643&lt;500,"Low Profit", "High Profit"))</f>
        <v>High Profit</v>
      </c>
      <c r="AC643" s="3">
        <f t="shared" ref="AC643:AC706" si="128">Y643/V643</f>
        <v>0.20690952338236188</v>
      </c>
      <c r="AD643" s="3">
        <f t="shared" ref="AD643:AD706" si="129">V643/W643</f>
        <v>3455.81</v>
      </c>
      <c r="AE643" s="3">
        <f t="shared" ref="AE643:AE706" si="130">Y643/W643</f>
        <v>715.04</v>
      </c>
      <c r="AF643" t="str">
        <f t="shared" ref="AF643:AF706" si="131">IF(V643&gt;5000,"High value", "Regular")</f>
        <v>Regular</v>
      </c>
    </row>
    <row r="644" spans="1:32" x14ac:dyDescent="0.25">
      <c r="A644" t="s">
        <v>4485</v>
      </c>
      <c r="B644" s="1">
        <v>45238</v>
      </c>
      <c r="C644" s="1">
        <v>45248</v>
      </c>
      <c r="D644" s="4">
        <f t="shared" si="120"/>
        <v>10</v>
      </c>
      <c r="E644" s="4" t="str">
        <f>TEXT(Table1[[#This Row],[Order_Date]],"dddd")</f>
        <v>Wednesday</v>
      </c>
      <c r="F644" s="4">
        <f t="shared" si="121"/>
        <v>11</v>
      </c>
      <c r="G644" t="str">
        <f t="shared" si="124"/>
        <v>November</v>
      </c>
      <c r="H644">
        <f t="shared" si="125"/>
        <v>2023</v>
      </c>
      <c r="I644" t="str">
        <f t="shared" si="126"/>
        <v>2023-Q4</v>
      </c>
      <c r="J644" t="s">
        <v>104</v>
      </c>
      <c r="K644" t="s">
        <v>4486</v>
      </c>
      <c r="L644" t="s">
        <v>4487</v>
      </c>
      <c r="M644" t="s">
        <v>24</v>
      </c>
      <c r="N644" t="s">
        <v>25</v>
      </c>
      <c r="O644" t="s">
        <v>73</v>
      </c>
      <c r="P644" t="s">
        <v>74</v>
      </c>
      <c r="Q644" t="s">
        <v>87</v>
      </c>
      <c r="R644" t="s">
        <v>4488</v>
      </c>
      <c r="S644" t="s">
        <v>30</v>
      </c>
      <c r="T644" t="s">
        <v>82</v>
      </c>
      <c r="U644" t="s">
        <v>4489</v>
      </c>
      <c r="V644" s="3">
        <v>3991.5</v>
      </c>
      <c r="W644" s="4">
        <v>6</v>
      </c>
      <c r="X644" s="2">
        <v>0.4</v>
      </c>
      <c r="Y644" s="3">
        <v>780.77</v>
      </c>
      <c r="Z644" t="str">
        <f t="shared" si="122"/>
        <v>Normal</v>
      </c>
      <c r="AA644" t="str">
        <f t="shared" si="123"/>
        <v>High</v>
      </c>
      <c r="AB644" t="str">
        <f t="shared" si="127"/>
        <v>High Profit</v>
      </c>
      <c r="AC644" s="3">
        <f t="shared" si="128"/>
        <v>0.19560816735563072</v>
      </c>
      <c r="AD644" s="3">
        <f t="shared" si="129"/>
        <v>665.25</v>
      </c>
      <c r="AE644" s="3">
        <f t="shared" si="130"/>
        <v>130.12833333333333</v>
      </c>
      <c r="AF644" t="str">
        <f t="shared" si="131"/>
        <v>Regular</v>
      </c>
    </row>
    <row r="645" spans="1:32" x14ac:dyDescent="0.25">
      <c r="A645" t="s">
        <v>873</v>
      </c>
      <c r="B645" s="1">
        <v>45239</v>
      </c>
      <c r="C645" s="1">
        <v>45249</v>
      </c>
      <c r="D645" s="4">
        <f t="shared" si="120"/>
        <v>10</v>
      </c>
      <c r="E645" s="4" t="str">
        <f>TEXT(Table1[[#This Row],[Order_Date]],"dddd")</f>
        <v>Thursday</v>
      </c>
      <c r="F645" s="4">
        <f t="shared" si="121"/>
        <v>11</v>
      </c>
      <c r="G645" t="str">
        <f t="shared" si="124"/>
        <v>November</v>
      </c>
      <c r="H645">
        <f t="shared" si="125"/>
        <v>2023</v>
      </c>
      <c r="I645" t="str">
        <f t="shared" si="126"/>
        <v>2023-Q4</v>
      </c>
      <c r="J645" t="s">
        <v>21</v>
      </c>
      <c r="K645" t="s">
        <v>874</v>
      </c>
      <c r="L645" t="s">
        <v>875</v>
      </c>
      <c r="M645" t="s">
        <v>36</v>
      </c>
      <c r="N645" t="s">
        <v>25</v>
      </c>
      <c r="O645" t="s">
        <v>511</v>
      </c>
      <c r="P645" t="s">
        <v>120</v>
      </c>
      <c r="Q645" t="s">
        <v>28</v>
      </c>
      <c r="R645" t="s">
        <v>876</v>
      </c>
      <c r="S645" t="s">
        <v>30</v>
      </c>
      <c r="T645" t="s">
        <v>68</v>
      </c>
      <c r="U645" t="s">
        <v>877</v>
      </c>
      <c r="V645" s="3">
        <v>3226.91</v>
      </c>
      <c r="W645" s="4">
        <v>7</v>
      </c>
      <c r="X645" s="2">
        <v>0.4</v>
      </c>
      <c r="Y645" s="3">
        <v>-92.3</v>
      </c>
      <c r="Z645" t="str">
        <f t="shared" si="122"/>
        <v>Normal</v>
      </c>
      <c r="AA645" t="str">
        <f t="shared" si="123"/>
        <v>High</v>
      </c>
      <c r="AB645" t="str">
        <f t="shared" si="127"/>
        <v>Loss</v>
      </c>
      <c r="AC645" s="3">
        <f t="shared" si="128"/>
        <v>-2.8603214840203166E-2</v>
      </c>
      <c r="AD645" s="3">
        <f t="shared" si="129"/>
        <v>460.98714285714283</v>
      </c>
      <c r="AE645" s="3">
        <f t="shared" si="130"/>
        <v>-13.185714285714285</v>
      </c>
      <c r="AF645" t="str">
        <f t="shared" si="131"/>
        <v>Regular</v>
      </c>
    </row>
    <row r="646" spans="1:32" x14ac:dyDescent="0.25">
      <c r="A646" t="s">
        <v>4047</v>
      </c>
      <c r="B646" s="1">
        <v>45239</v>
      </c>
      <c r="C646" s="1">
        <v>45247</v>
      </c>
      <c r="D646" s="4">
        <f t="shared" si="120"/>
        <v>8</v>
      </c>
      <c r="E646" s="4" t="str">
        <f>TEXT(Table1[[#This Row],[Order_Date]],"dddd")</f>
        <v>Thursday</v>
      </c>
      <c r="F646" s="4">
        <f t="shared" si="121"/>
        <v>11</v>
      </c>
      <c r="G646" t="str">
        <f t="shared" si="124"/>
        <v>November</v>
      </c>
      <c r="H646">
        <f t="shared" si="125"/>
        <v>2023</v>
      </c>
      <c r="I646" t="str">
        <f t="shared" si="126"/>
        <v>2023-Q4</v>
      </c>
      <c r="J646" t="s">
        <v>104</v>
      </c>
      <c r="K646" t="s">
        <v>4048</v>
      </c>
      <c r="L646" t="s">
        <v>4049</v>
      </c>
      <c r="M646" t="s">
        <v>47</v>
      </c>
      <c r="N646" t="s">
        <v>25</v>
      </c>
      <c r="O646" t="s">
        <v>162</v>
      </c>
      <c r="P646" t="s">
        <v>163</v>
      </c>
      <c r="Q646" t="s">
        <v>28</v>
      </c>
      <c r="R646" t="s">
        <v>4050</v>
      </c>
      <c r="S646" t="s">
        <v>30</v>
      </c>
      <c r="T646" t="s">
        <v>31</v>
      </c>
      <c r="U646" t="s">
        <v>4051</v>
      </c>
      <c r="V646" s="3">
        <v>1989.57</v>
      </c>
      <c r="W646" s="4">
        <v>5</v>
      </c>
      <c r="X646" s="2">
        <v>0.4</v>
      </c>
      <c r="Y646" s="3">
        <v>200.78</v>
      </c>
      <c r="Z646" t="str">
        <f t="shared" si="122"/>
        <v>Normal</v>
      </c>
      <c r="AA646" t="str">
        <f t="shared" si="123"/>
        <v>High</v>
      </c>
      <c r="AB646" t="str">
        <f t="shared" si="127"/>
        <v>Low Profit</v>
      </c>
      <c r="AC646" s="3">
        <f t="shared" si="128"/>
        <v>0.10091627839181332</v>
      </c>
      <c r="AD646" s="3">
        <f t="shared" si="129"/>
        <v>397.91399999999999</v>
      </c>
      <c r="AE646" s="3">
        <f t="shared" si="130"/>
        <v>40.155999999999999</v>
      </c>
      <c r="AF646" t="str">
        <f t="shared" si="131"/>
        <v>Regular</v>
      </c>
    </row>
    <row r="647" spans="1:32" x14ac:dyDescent="0.25">
      <c r="A647" t="s">
        <v>5830</v>
      </c>
      <c r="B647" s="1">
        <v>45239</v>
      </c>
      <c r="C647" s="1">
        <v>45243</v>
      </c>
      <c r="D647" s="4">
        <f t="shared" si="120"/>
        <v>4</v>
      </c>
      <c r="E647" s="4" t="str">
        <f>TEXT(Table1[[#This Row],[Order_Date]],"dddd")</f>
        <v>Thursday</v>
      </c>
      <c r="F647" s="4">
        <f t="shared" si="121"/>
        <v>11</v>
      </c>
      <c r="G647" t="str">
        <f t="shared" si="124"/>
        <v>November</v>
      </c>
      <c r="H647">
        <f t="shared" si="125"/>
        <v>2023</v>
      </c>
      <c r="I647" t="str">
        <f t="shared" si="126"/>
        <v>2023-Q4</v>
      </c>
      <c r="J647" t="s">
        <v>104</v>
      </c>
      <c r="K647" t="s">
        <v>5831</v>
      </c>
      <c r="L647" t="s">
        <v>5832</v>
      </c>
      <c r="M647" t="s">
        <v>47</v>
      </c>
      <c r="N647" t="s">
        <v>25</v>
      </c>
      <c r="O647" t="s">
        <v>244</v>
      </c>
      <c r="P647" t="s">
        <v>163</v>
      </c>
      <c r="Q647" t="s">
        <v>66</v>
      </c>
      <c r="R647" t="s">
        <v>5833</v>
      </c>
      <c r="S647" t="s">
        <v>51</v>
      </c>
      <c r="T647" t="s">
        <v>94</v>
      </c>
      <c r="U647" t="s">
        <v>5834</v>
      </c>
      <c r="V647" s="3">
        <v>485.2</v>
      </c>
      <c r="W647" s="4">
        <v>9</v>
      </c>
      <c r="X647" s="2">
        <v>0.2</v>
      </c>
      <c r="Y647" s="3">
        <v>115.37</v>
      </c>
      <c r="Z647" t="str">
        <f t="shared" si="122"/>
        <v>Normal</v>
      </c>
      <c r="AA647" t="str">
        <f t="shared" si="123"/>
        <v>High</v>
      </c>
      <c r="AB647" t="str">
        <f t="shared" si="127"/>
        <v>Low Profit</v>
      </c>
      <c r="AC647" s="3">
        <f t="shared" si="128"/>
        <v>0.23777823577906021</v>
      </c>
      <c r="AD647" s="3">
        <f t="shared" si="129"/>
        <v>53.911111111111111</v>
      </c>
      <c r="AE647" s="3">
        <f t="shared" si="130"/>
        <v>12.818888888888889</v>
      </c>
      <c r="AF647" t="str">
        <f t="shared" si="131"/>
        <v>Regular</v>
      </c>
    </row>
    <row r="648" spans="1:32" x14ac:dyDescent="0.25">
      <c r="A648" t="s">
        <v>4401</v>
      </c>
      <c r="B648" s="1">
        <v>45239</v>
      </c>
      <c r="C648" s="1">
        <v>45242</v>
      </c>
      <c r="D648" s="4">
        <f t="shared" si="120"/>
        <v>3</v>
      </c>
      <c r="E648" s="4" t="str">
        <f>TEXT(Table1[[#This Row],[Order_Date]],"dddd")</f>
        <v>Thursday</v>
      </c>
      <c r="F648" s="4">
        <f t="shared" si="121"/>
        <v>11</v>
      </c>
      <c r="G648" t="str">
        <f t="shared" si="124"/>
        <v>November</v>
      </c>
      <c r="H648">
        <f t="shared" si="125"/>
        <v>2023</v>
      </c>
      <c r="I648" t="str">
        <f t="shared" si="126"/>
        <v>2023-Q4</v>
      </c>
      <c r="J648" t="s">
        <v>55</v>
      </c>
      <c r="K648" t="s">
        <v>4402</v>
      </c>
      <c r="L648" t="s">
        <v>4403</v>
      </c>
      <c r="M648" t="s">
        <v>36</v>
      </c>
      <c r="N648" t="s">
        <v>25</v>
      </c>
      <c r="O648" t="s">
        <v>48</v>
      </c>
      <c r="P648" t="s">
        <v>49</v>
      </c>
      <c r="Q648" t="s">
        <v>39</v>
      </c>
      <c r="R648" t="s">
        <v>4404</v>
      </c>
      <c r="S648" t="s">
        <v>59</v>
      </c>
      <c r="T648" t="s">
        <v>277</v>
      </c>
      <c r="U648" t="s">
        <v>4405</v>
      </c>
      <c r="V648" s="3">
        <v>3889.33</v>
      </c>
      <c r="W648" s="4">
        <v>5</v>
      </c>
      <c r="X648" s="2">
        <v>0</v>
      </c>
      <c r="Y648" s="3">
        <v>-103.35</v>
      </c>
      <c r="Z648" t="str">
        <f t="shared" si="122"/>
        <v>Normal</v>
      </c>
      <c r="AA648" t="str">
        <f t="shared" si="123"/>
        <v>Low</v>
      </c>
      <c r="AB648" t="str">
        <f t="shared" si="127"/>
        <v>Loss</v>
      </c>
      <c r="AC648" s="3">
        <f t="shared" si="128"/>
        <v>-2.6572700182293608E-2</v>
      </c>
      <c r="AD648" s="3">
        <f t="shared" si="129"/>
        <v>777.86599999999999</v>
      </c>
      <c r="AE648" s="3">
        <f t="shared" si="130"/>
        <v>-20.669999999999998</v>
      </c>
      <c r="AF648" t="str">
        <f t="shared" si="131"/>
        <v>Regular</v>
      </c>
    </row>
    <row r="649" spans="1:32" x14ac:dyDescent="0.25">
      <c r="A649" t="s">
        <v>1713</v>
      </c>
      <c r="B649" s="1">
        <v>45240</v>
      </c>
      <c r="C649" s="1">
        <v>45250</v>
      </c>
      <c r="D649" s="4">
        <f t="shared" si="120"/>
        <v>10</v>
      </c>
      <c r="E649" s="4" t="str">
        <f>TEXT(Table1[[#This Row],[Order_Date]],"dddd")</f>
        <v>Friday</v>
      </c>
      <c r="F649" s="4">
        <f t="shared" si="121"/>
        <v>11</v>
      </c>
      <c r="G649" t="str">
        <f t="shared" si="124"/>
        <v>November</v>
      </c>
      <c r="H649">
        <f t="shared" si="125"/>
        <v>2023</v>
      </c>
      <c r="I649" t="str">
        <f t="shared" si="126"/>
        <v>2023-Q4</v>
      </c>
      <c r="J649" t="s">
        <v>104</v>
      </c>
      <c r="K649" t="s">
        <v>7402</v>
      </c>
      <c r="L649" t="s">
        <v>1714</v>
      </c>
      <c r="M649" t="s">
        <v>47</v>
      </c>
      <c r="N649" t="s">
        <v>25</v>
      </c>
      <c r="O649" t="s">
        <v>201</v>
      </c>
      <c r="P649" t="s">
        <v>113</v>
      </c>
      <c r="Q649" t="s">
        <v>66</v>
      </c>
      <c r="R649" t="s">
        <v>1715</v>
      </c>
      <c r="S649" t="s">
        <v>30</v>
      </c>
      <c r="T649" t="s">
        <v>31</v>
      </c>
      <c r="U649" t="s">
        <v>1716</v>
      </c>
      <c r="V649" s="3">
        <v>576.9</v>
      </c>
      <c r="W649" s="4">
        <v>7</v>
      </c>
      <c r="X649" s="2">
        <v>0.2</v>
      </c>
      <c r="Y649" s="3">
        <v>34.81</v>
      </c>
      <c r="Z649" t="str">
        <f t="shared" si="122"/>
        <v>Normal</v>
      </c>
      <c r="AA649" t="str">
        <f t="shared" si="123"/>
        <v>High</v>
      </c>
      <c r="AB649" t="str">
        <f t="shared" si="127"/>
        <v>Low Profit</v>
      </c>
      <c r="AC649" s="3">
        <f t="shared" si="128"/>
        <v>6.0339746923210265E-2</v>
      </c>
      <c r="AD649" s="3">
        <f t="shared" si="129"/>
        <v>82.414285714285711</v>
      </c>
      <c r="AE649" s="3">
        <f t="shared" si="130"/>
        <v>4.9728571428571433</v>
      </c>
      <c r="AF649" t="str">
        <f t="shared" si="131"/>
        <v>Regular</v>
      </c>
    </row>
    <row r="650" spans="1:32" x14ac:dyDescent="0.25">
      <c r="A650" t="s">
        <v>878</v>
      </c>
      <c r="B650" s="1">
        <v>45240</v>
      </c>
      <c r="C650" s="1">
        <v>45246</v>
      </c>
      <c r="D650" s="4">
        <f t="shared" si="120"/>
        <v>6</v>
      </c>
      <c r="E650" s="4" t="str">
        <f>TEXT(Table1[[#This Row],[Order_Date]],"dddd")</f>
        <v>Friday</v>
      </c>
      <c r="F650" s="4">
        <f t="shared" si="121"/>
        <v>11</v>
      </c>
      <c r="G650" t="str">
        <f t="shared" si="124"/>
        <v>November</v>
      </c>
      <c r="H650">
        <f t="shared" si="125"/>
        <v>2023</v>
      </c>
      <c r="I650" t="str">
        <f t="shared" si="126"/>
        <v>2023-Q4</v>
      </c>
      <c r="J650" t="s">
        <v>55</v>
      </c>
      <c r="K650" t="s">
        <v>879</v>
      </c>
      <c r="L650" t="s">
        <v>880</v>
      </c>
      <c r="M650" t="s">
        <v>47</v>
      </c>
      <c r="N650" t="s">
        <v>25</v>
      </c>
      <c r="O650" t="s">
        <v>73</v>
      </c>
      <c r="P650" t="s">
        <v>74</v>
      </c>
      <c r="Q650" t="s">
        <v>66</v>
      </c>
      <c r="R650" t="s">
        <v>881</v>
      </c>
      <c r="S650" t="s">
        <v>51</v>
      </c>
      <c r="T650" t="s">
        <v>52</v>
      </c>
      <c r="U650" t="s">
        <v>542</v>
      </c>
      <c r="V650" s="3">
        <v>1772.07</v>
      </c>
      <c r="W650" s="4">
        <v>8</v>
      </c>
      <c r="X650" s="2">
        <v>0.1</v>
      </c>
      <c r="Y650" s="3">
        <v>193.71</v>
      </c>
      <c r="Z650" t="str">
        <f t="shared" si="122"/>
        <v>Normal</v>
      </c>
      <c r="AA650" t="str">
        <f t="shared" si="123"/>
        <v>Medium</v>
      </c>
      <c r="AB650" t="str">
        <f t="shared" si="127"/>
        <v>Low Profit</v>
      </c>
      <c r="AC650" s="3">
        <f t="shared" si="128"/>
        <v>0.10931283752899153</v>
      </c>
      <c r="AD650" s="3">
        <f t="shared" si="129"/>
        <v>221.50874999999999</v>
      </c>
      <c r="AE650" s="3">
        <f t="shared" si="130"/>
        <v>24.213750000000001</v>
      </c>
      <c r="AF650" t="str">
        <f t="shared" si="131"/>
        <v>Regular</v>
      </c>
    </row>
    <row r="651" spans="1:32" x14ac:dyDescent="0.25">
      <c r="A651" t="s">
        <v>1868</v>
      </c>
      <c r="B651" s="1">
        <v>45240</v>
      </c>
      <c r="C651" s="1">
        <v>45246</v>
      </c>
      <c r="D651" s="4">
        <f t="shared" si="120"/>
        <v>6</v>
      </c>
      <c r="E651" s="4" t="str">
        <f>TEXT(Table1[[#This Row],[Order_Date]],"dddd")</f>
        <v>Friday</v>
      </c>
      <c r="F651" s="4">
        <f t="shared" si="121"/>
        <v>11</v>
      </c>
      <c r="G651" t="str">
        <f t="shared" si="124"/>
        <v>November</v>
      </c>
      <c r="H651">
        <f t="shared" si="125"/>
        <v>2023</v>
      </c>
      <c r="I651" t="str">
        <f t="shared" si="126"/>
        <v>2023-Q4</v>
      </c>
      <c r="J651" t="s">
        <v>55</v>
      </c>
      <c r="K651" t="s">
        <v>1869</v>
      </c>
      <c r="L651" t="s">
        <v>1870</v>
      </c>
      <c r="M651" t="s">
        <v>24</v>
      </c>
      <c r="N651" t="s">
        <v>25</v>
      </c>
      <c r="O651" t="s">
        <v>73</v>
      </c>
      <c r="P651" t="s">
        <v>74</v>
      </c>
      <c r="Q651" t="s">
        <v>39</v>
      </c>
      <c r="R651" t="s">
        <v>1871</v>
      </c>
      <c r="S651" t="s">
        <v>30</v>
      </c>
      <c r="T651" t="s">
        <v>31</v>
      </c>
      <c r="U651" t="s">
        <v>1872</v>
      </c>
      <c r="V651" s="3">
        <v>2306.5</v>
      </c>
      <c r="W651" s="4">
        <v>1</v>
      </c>
      <c r="X651" s="2">
        <v>0</v>
      </c>
      <c r="Y651" s="3">
        <v>-398.23</v>
      </c>
      <c r="Z651" t="str">
        <f t="shared" si="122"/>
        <v>Normal</v>
      </c>
      <c r="AA651" t="str">
        <f t="shared" si="123"/>
        <v>Low</v>
      </c>
      <c r="AB651" t="str">
        <f t="shared" si="127"/>
        <v>Loss</v>
      </c>
      <c r="AC651" s="3">
        <f t="shared" si="128"/>
        <v>-0.17265553869499242</v>
      </c>
      <c r="AD651" s="3">
        <f t="shared" si="129"/>
        <v>2306.5</v>
      </c>
      <c r="AE651" s="3">
        <f t="shared" si="130"/>
        <v>-398.23</v>
      </c>
      <c r="AF651" t="str">
        <f t="shared" si="131"/>
        <v>Regular</v>
      </c>
    </row>
    <row r="652" spans="1:32" x14ac:dyDescent="0.25">
      <c r="A652" t="s">
        <v>4873</v>
      </c>
      <c r="B652" s="1">
        <v>45240</v>
      </c>
      <c r="C652" s="1">
        <v>45246</v>
      </c>
      <c r="D652" s="4">
        <f t="shared" si="120"/>
        <v>6</v>
      </c>
      <c r="E652" s="4" t="str">
        <f>TEXT(Table1[[#This Row],[Order_Date]],"dddd")</f>
        <v>Friday</v>
      </c>
      <c r="F652" s="4">
        <f t="shared" si="121"/>
        <v>11</v>
      </c>
      <c r="G652" t="str">
        <f t="shared" si="124"/>
        <v>November</v>
      </c>
      <c r="H652">
        <f t="shared" si="125"/>
        <v>2023</v>
      </c>
      <c r="I652" t="str">
        <f t="shared" si="126"/>
        <v>2023-Q4</v>
      </c>
      <c r="J652" t="s">
        <v>55</v>
      </c>
      <c r="K652" t="s">
        <v>4874</v>
      </c>
      <c r="L652" t="s">
        <v>4875</v>
      </c>
      <c r="M652" t="s">
        <v>47</v>
      </c>
      <c r="N652" t="s">
        <v>25</v>
      </c>
      <c r="O652" t="s">
        <v>37</v>
      </c>
      <c r="P652" t="s">
        <v>38</v>
      </c>
      <c r="Q652" t="s">
        <v>39</v>
      </c>
      <c r="R652" t="s">
        <v>4876</v>
      </c>
      <c r="S652" t="s">
        <v>51</v>
      </c>
      <c r="T652" t="s">
        <v>151</v>
      </c>
      <c r="U652" t="s">
        <v>4877</v>
      </c>
      <c r="V652" s="3">
        <v>1076.05</v>
      </c>
      <c r="W652" s="4">
        <v>2</v>
      </c>
      <c r="X652" s="2">
        <v>0.2</v>
      </c>
      <c r="Y652" s="3">
        <v>-165.56</v>
      </c>
      <c r="Z652" t="str">
        <f t="shared" si="122"/>
        <v>Normal</v>
      </c>
      <c r="AA652" t="str">
        <f t="shared" si="123"/>
        <v>High</v>
      </c>
      <c r="AB652" t="str">
        <f t="shared" si="127"/>
        <v>Loss</v>
      </c>
      <c r="AC652" s="3">
        <f t="shared" si="128"/>
        <v>-0.15385902142093769</v>
      </c>
      <c r="AD652" s="3">
        <f t="shared" si="129"/>
        <v>538.02499999999998</v>
      </c>
      <c r="AE652" s="3">
        <f t="shared" si="130"/>
        <v>-82.78</v>
      </c>
      <c r="AF652" t="str">
        <f t="shared" si="131"/>
        <v>Regular</v>
      </c>
    </row>
    <row r="653" spans="1:32" x14ac:dyDescent="0.25">
      <c r="A653" t="s">
        <v>139</v>
      </c>
      <c r="B653" s="1">
        <v>45242</v>
      </c>
      <c r="C653" s="1">
        <v>45248</v>
      </c>
      <c r="D653" s="4">
        <f t="shared" si="120"/>
        <v>6</v>
      </c>
      <c r="E653" s="4" t="str">
        <f>TEXT(Table1[[#This Row],[Order_Date]],"dddd")</f>
        <v>Sunday</v>
      </c>
      <c r="F653" s="4">
        <f t="shared" si="121"/>
        <v>11</v>
      </c>
      <c r="G653" t="str">
        <f t="shared" si="124"/>
        <v>November</v>
      </c>
      <c r="H653">
        <f t="shared" si="125"/>
        <v>2023</v>
      </c>
      <c r="I653" t="str">
        <f t="shared" si="126"/>
        <v>2023-Q4</v>
      </c>
      <c r="J653" t="s">
        <v>104</v>
      </c>
      <c r="K653" t="s">
        <v>140</v>
      </c>
      <c r="L653" t="s">
        <v>141</v>
      </c>
      <c r="M653" t="s">
        <v>47</v>
      </c>
      <c r="N653" t="s">
        <v>25</v>
      </c>
      <c r="O653" t="s">
        <v>142</v>
      </c>
      <c r="P653" t="s">
        <v>143</v>
      </c>
      <c r="Q653" t="s">
        <v>66</v>
      </c>
      <c r="R653" t="s">
        <v>144</v>
      </c>
      <c r="S653" t="s">
        <v>30</v>
      </c>
      <c r="T653" t="s">
        <v>41</v>
      </c>
      <c r="U653" t="s">
        <v>145</v>
      </c>
      <c r="V653" s="3">
        <v>858.82</v>
      </c>
      <c r="W653" s="4">
        <v>7</v>
      </c>
      <c r="X653" s="2">
        <v>0.1</v>
      </c>
      <c r="Y653" s="3">
        <v>142.56</v>
      </c>
      <c r="Z653" t="str">
        <f t="shared" si="122"/>
        <v>Normal</v>
      </c>
      <c r="AA653" t="str">
        <f t="shared" si="123"/>
        <v>Medium</v>
      </c>
      <c r="AB653" t="str">
        <f t="shared" si="127"/>
        <v>Low Profit</v>
      </c>
      <c r="AC653" s="3">
        <f t="shared" si="128"/>
        <v>0.16599520272001117</v>
      </c>
      <c r="AD653" s="3">
        <f t="shared" si="129"/>
        <v>122.68857142857144</v>
      </c>
      <c r="AE653" s="3">
        <f t="shared" si="130"/>
        <v>20.365714285714287</v>
      </c>
      <c r="AF653" t="str">
        <f t="shared" si="131"/>
        <v>Regular</v>
      </c>
    </row>
    <row r="654" spans="1:32" x14ac:dyDescent="0.25">
      <c r="A654" t="s">
        <v>2691</v>
      </c>
      <c r="B654" s="1">
        <v>45243</v>
      </c>
      <c r="C654" s="1">
        <v>45246</v>
      </c>
      <c r="D654" s="4">
        <f t="shared" si="120"/>
        <v>3</v>
      </c>
      <c r="E654" s="4" t="str">
        <f>TEXT(Table1[[#This Row],[Order_Date]],"dddd")</f>
        <v>Monday</v>
      </c>
      <c r="F654" s="4">
        <f t="shared" si="121"/>
        <v>11</v>
      </c>
      <c r="G654" t="str">
        <f t="shared" si="124"/>
        <v>November</v>
      </c>
      <c r="H654">
        <f t="shared" si="125"/>
        <v>2023</v>
      </c>
      <c r="I654" t="str">
        <f t="shared" si="126"/>
        <v>2023-Q4</v>
      </c>
      <c r="J654" t="s">
        <v>55</v>
      </c>
      <c r="K654" t="s">
        <v>2692</v>
      </c>
      <c r="L654" t="s">
        <v>2693</v>
      </c>
      <c r="M654" t="s">
        <v>24</v>
      </c>
      <c r="N654" t="s">
        <v>25</v>
      </c>
      <c r="O654" t="s">
        <v>179</v>
      </c>
      <c r="P654" t="s">
        <v>27</v>
      </c>
      <c r="Q654" t="s">
        <v>87</v>
      </c>
      <c r="R654" t="s">
        <v>2694</v>
      </c>
      <c r="S654" t="s">
        <v>59</v>
      </c>
      <c r="T654" t="s">
        <v>277</v>
      </c>
      <c r="U654" t="s">
        <v>2695</v>
      </c>
      <c r="V654" s="3">
        <v>1079.57</v>
      </c>
      <c r="W654" s="4">
        <v>10</v>
      </c>
      <c r="X654" s="2">
        <v>0.2</v>
      </c>
      <c r="Y654" s="3">
        <v>-21.08</v>
      </c>
      <c r="Z654" t="str">
        <f t="shared" si="122"/>
        <v>Normal</v>
      </c>
      <c r="AA654" t="str">
        <f t="shared" si="123"/>
        <v>High</v>
      </c>
      <c r="AB654" t="str">
        <f t="shared" si="127"/>
        <v>Loss</v>
      </c>
      <c r="AC654" s="3">
        <f t="shared" si="128"/>
        <v>-1.9526292875867244E-2</v>
      </c>
      <c r="AD654" s="3">
        <f t="shared" si="129"/>
        <v>107.95699999999999</v>
      </c>
      <c r="AE654" s="3">
        <f t="shared" si="130"/>
        <v>-2.1079999999999997</v>
      </c>
      <c r="AF654" t="str">
        <f t="shared" si="131"/>
        <v>Regular</v>
      </c>
    </row>
    <row r="655" spans="1:32" x14ac:dyDescent="0.25">
      <c r="A655" t="s">
        <v>2509</v>
      </c>
      <c r="B655" s="1">
        <v>45243</v>
      </c>
      <c r="C655" s="1">
        <v>45251</v>
      </c>
      <c r="D655" s="4">
        <f t="shared" si="120"/>
        <v>8</v>
      </c>
      <c r="E655" s="4" t="str">
        <f>TEXT(Table1[[#This Row],[Order_Date]],"dddd")</f>
        <v>Monday</v>
      </c>
      <c r="F655" s="4">
        <f t="shared" si="121"/>
        <v>11</v>
      </c>
      <c r="G655" t="str">
        <f t="shared" si="124"/>
        <v>November</v>
      </c>
      <c r="H655">
        <f t="shared" si="125"/>
        <v>2023</v>
      </c>
      <c r="I655" t="str">
        <f t="shared" si="126"/>
        <v>2023-Q4</v>
      </c>
      <c r="J655" t="s">
        <v>21</v>
      </c>
      <c r="K655" t="s">
        <v>2510</v>
      </c>
      <c r="L655" t="s">
        <v>2511</v>
      </c>
      <c r="M655" t="s">
        <v>24</v>
      </c>
      <c r="N655" t="s">
        <v>25</v>
      </c>
      <c r="O655" t="s">
        <v>156</v>
      </c>
      <c r="P655" t="s">
        <v>143</v>
      </c>
      <c r="Q655" t="s">
        <v>87</v>
      </c>
      <c r="R655" t="s">
        <v>2512</v>
      </c>
      <c r="S655" t="s">
        <v>30</v>
      </c>
      <c r="T655" t="s">
        <v>41</v>
      </c>
      <c r="U655" t="s">
        <v>2513</v>
      </c>
      <c r="V655" s="3">
        <v>1930.66</v>
      </c>
      <c r="W655" s="4">
        <v>6</v>
      </c>
      <c r="X655" s="2">
        <v>0.4</v>
      </c>
      <c r="Y655" s="3">
        <v>-335.51</v>
      </c>
      <c r="Z655" t="str">
        <f t="shared" si="122"/>
        <v>Normal</v>
      </c>
      <c r="AA655" t="str">
        <f t="shared" si="123"/>
        <v>High</v>
      </c>
      <c r="AB655" t="str">
        <f t="shared" si="127"/>
        <v>Loss</v>
      </c>
      <c r="AC655" s="3">
        <f t="shared" si="128"/>
        <v>-0.17377995089762049</v>
      </c>
      <c r="AD655" s="3">
        <f t="shared" si="129"/>
        <v>321.7766666666667</v>
      </c>
      <c r="AE655" s="3">
        <f t="shared" si="130"/>
        <v>-55.918333333333329</v>
      </c>
      <c r="AF655" t="str">
        <f t="shared" si="131"/>
        <v>Regular</v>
      </c>
    </row>
    <row r="656" spans="1:32" x14ac:dyDescent="0.25">
      <c r="A656" t="s">
        <v>4549</v>
      </c>
      <c r="B656" s="1">
        <v>45244</v>
      </c>
      <c r="C656" s="1">
        <v>45250</v>
      </c>
      <c r="D656" s="4">
        <f t="shared" si="120"/>
        <v>6</v>
      </c>
      <c r="E656" s="4" t="str">
        <f>TEXT(Table1[[#This Row],[Order_Date]],"dddd")</f>
        <v>Tuesday</v>
      </c>
      <c r="F656" s="4">
        <f t="shared" si="121"/>
        <v>11</v>
      </c>
      <c r="G656" t="str">
        <f t="shared" si="124"/>
        <v>November</v>
      </c>
      <c r="H656">
        <f t="shared" si="125"/>
        <v>2023</v>
      </c>
      <c r="I656" t="str">
        <f t="shared" si="126"/>
        <v>2023-Q4</v>
      </c>
      <c r="J656" t="s">
        <v>104</v>
      </c>
      <c r="K656" t="s">
        <v>4550</v>
      </c>
      <c r="L656" t="s">
        <v>4551</v>
      </c>
      <c r="M656" t="s">
        <v>36</v>
      </c>
      <c r="N656" t="s">
        <v>25</v>
      </c>
      <c r="O656" t="s">
        <v>99</v>
      </c>
      <c r="P656" t="s">
        <v>74</v>
      </c>
      <c r="Q656" t="s">
        <v>39</v>
      </c>
      <c r="R656" t="s">
        <v>4552</v>
      </c>
      <c r="S656" t="s">
        <v>51</v>
      </c>
      <c r="T656" t="s">
        <v>108</v>
      </c>
      <c r="U656" t="s">
        <v>4553</v>
      </c>
      <c r="V656" s="3">
        <v>1317</v>
      </c>
      <c r="W656" s="4">
        <v>4</v>
      </c>
      <c r="X656" s="2">
        <v>0.3</v>
      </c>
      <c r="Y656" s="3">
        <v>-229.67</v>
      </c>
      <c r="Z656" t="str">
        <f t="shared" si="122"/>
        <v>Normal</v>
      </c>
      <c r="AA656" t="str">
        <f t="shared" si="123"/>
        <v>High</v>
      </c>
      <c r="AB656" t="str">
        <f t="shared" si="127"/>
        <v>Loss</v>
      </c>
      <c r="AC656" s="3">
        <f t="shared" si="128"/>
        <v>-0.17438876233864845</v>
      </c>
      <c r="AD656" s="3">
        <f t="shared" si="129"/>
        <v>329.25</v>
      </c>
      <c r="AE656" s="3">
        <f t="shared" si="130"/>
        <v>-57.417499999999997</v>
      </c>
      <c r="AF656" t="str">
        <f t="shared" si="131"/>
        <v>Regular</v>
      </c>
    </row>
    <row r="657" spans="1:32" x14ac:dyDescent="0.25">
      <c r="A657" t="s">
        <v>6683</v>
      </c>
      <c r="B657" s="1">
        <v>45245</v>
      </c>
      <c r="C657" s="1">
        <v>45253</v>
      </c>
      <c r="D657" s="4">
        <f t="shared" si="120"/>
        <v>8</v>
      </c>
      <c r="E657" s="4" t="str">
        <f>TEXT(Table1[[#This Row],[Order_Date]],"dddd")</f>
        <v>Wednesday</v>
      </c>
      <c r="F657" s="4">
        <f t="shared" si="121"/>
        <v>11</v>
      </c>
      <c r="G657" t="str">
        <f t="shared" si="124"/>
        <v>November</v>
      </c>
      <c r="H657">
        <f t="shared" si="125"/>
        <v>2023</v>
      </c>
      <c r="I657" t="str">
        <f t="shared" si="126"/>
        <v>2023-Q4</v>
      </c>
      <c r="J657" t="s">
        <v>21</v>
      </c>
      <c r="K657" t="s">
        <v>6684</v>
      </c>
      <c r="L657" t="s">
        <v>6685</v>
      </c>
      <c r="M657" t="s">
        <v>36</v>
      </c>
      <c r="N657" t="s">
        <v>25</v>
      </c>
      <c r="O657" t="s">
        <v>73</v>
      </c>
      <c r="P657" t="s">
        <v>74</v>
      </c>
      <c r="Q657" t="s">
        <v>87</v>
      </c>
      <c r="R657" t="s">
        <v>6686</v>
      </c>
      <c r="S657" t="s">
        <v>59</v>
      </c>
      <c r="T657" t="s">
        <v>101</v>
      </c>
      <c r="U657" t="s">
        <v>6687</v>
      </c>
      <c r="V657" s="3">
        <v>1074.2</v>
      </c>
      <c r="W657" s="4">
        <v>3</v>
      </c>
      <c r="X657" s="2">
        <v>0.4</v>
      </c>
      <c r="Y657" s="3">
        <v>220.04</v>
      </c>
      <c r="Z657" t="str">
        <f t="shared" si="122"/>
        <v>Normal</v>
      </c>
      <c r="AA657" t="str">
        <f t="shared" si="123"/>
        <v>High</v>
      </c>
      <c r="AB657" t="str">
        <f t="shared" si="127"/>
        <v>Low Profit</v>
      </c>
      <c r="AC657" s="3">
        <f t="shared" si="128"/>
        <v>0.20484081176689628</v>
      </c>
      <c r="AD657" s="3">
        <f t="shared" si="129"/>
        <v>358.06666666666666</v>
      </c>
      <c r="AE657" s="3">
        <f t="shared" si="130"/>
        <v>73.346666666666664</v>
      </c>
      <c r="AF657" t="str">
        <f t="shared" si="131"/>
        <v>Regular</v>
      </c>
    </row>
    <row r="658" spans="1:32" x14ac:dyDescent="0.25">
      <c r="A658" t="s">
        <v>7151</v>
      </c>
      <c r="B658" s="1">
        <v>45245</v>
      </c>
      <c r="C658" s="1">
        <v>45255</v>
      </c>
      <c r="D658" s="4">
        <f t="shared" si="120"/>
        <v>10</v>
      </c>
      <c r="E658" s="4" t="str">
        <f>TEXT(Table1[[#This Row],[Order_Date]],"dddd")</f>
        <v>Wednesday</v>
      </c>
      <c r="F658" s="4">
        <f t="shared" si="121"/>
        <v>11</v>
      </c>
      <c r="G658" t="str">
        <f t="shared" si="124"/>
        <v>November</v>
      </c>
      <c r="H658">
        <f t="shared" si="125"/>
        <v>2023</v>
      </c>
      <c r="I658" t="str">
        <f t="shared" si="126"/>
        <v>2023-Q4</v>
      </c>
      <c r="J658" t="s">
        <v>104</v>
      </c>
      <c r="K658" t="s">
        <v>7152</v>
      </c>
      <c r="L658" t="s">
        <v>7153</v>
      </c>
      <c r="M658" t="s">
        <v>24</v>
      </c>
      <c r="N658" t="s">
        <v>25</v>
      </c>
      <c r="O658" t="s">
        <v>26</v>
      </c>
      <c r="P658" t="s">
        <v>27</v>
      </c>
      <c r="Q658" t="s">
        <v>39</v>
      </c>
      <c r="R658" t="s">
        <v>7154</v>
      </c>
      <c r="S658" t="s">
        <v>59</v>
      </c>
      <c r="T658" t="s">
        <v>101</v>
      </c>
      <c r="U658" t="s">
        <v>7155</v>
      </c>
      <c r="V658" s="3">
        <v>2886.93</v>
      </c>
      <c r="W658" s="4">
        <v>3</v>
      </c>
      <c r="X658" s="2">
        <v>0.1</v>
      </c>
      <c r="Y658" s="3">
        <v>382.5</v>
      </c>
      <c r="Z658" t="str">
        <f t="shared" si="122"/>
        <v>Normal</v>
      </c>
      <c r="AA658" t="str">
        <f t="shared" si="123"/>
        <v>Medium</v>
      </c>
      <c r="AB658" t="str">
        <f t="shared" si="127"/>
        <v>Low Profit</v>
      </c>
      <c r="AC658" s="3">
        <f t="shared" si="128"/>
        <v>0.13249368706549866</v>
      </c>
      <c r="AD658" s="3">
        <f t="shared" si="129"/>
        <v>962.31</v>
      </c>
      <c r="AE658" s="3">
        <f t="shared" si="130"/>
        <v>127.5</v>
      </c>
      <c r="AF658" t="str">
        <f t="shared" si="131"/>
        <v>Regular</v>
      </c>
    </row>
    <row r="659" spans="1:32" x14ac:dyDescent="0.25">
      <c r="A659" t="s">
        <v>868</v>
      </c>
      <c r="B659" s="1">
        <v>45245</v>
      </c>
      <c r="C659" s="1">
        <v>45248</v>
      </c>
      <c r="D659" s="4">
        <f t="shared" si="120"/>
        <v>3</v>
      </c>
      <c r="E659" s="4" t="str">
        <f>TEXT(Table1[[#This Row],[Order_Date]],"dddd")</f>
        <v>Wednesday</v>
      </c>
      <c r="F659" s="4">
        <f t="shared" si="121"/>
        <v>11</v>
      </c>
      <c r="G659" t="str">
        <f t="shared" si="124"/>
        <v>November</v>
      </c>
      <c r="H659">
        <f t="shared" si="125"/>
        <v>2023</v>
      </c>
      <c r="I659" t="str">
        <f t="shared" si="126"/>
        <v>2023-Q4</v>
      </c>
      <c r="J659" t="s">
        <v>55</v>
      </c>
      <c r="K659" t="s">
        <v>869</v>
      </c>
      <c r="L659" t="s">
        <v>870</v>
      </c>
      <c r="M659" t="s">
        <v>36</v>
      </c>
      <c r="N659" t="s">
        <v>25</v>
      </c>
      <c r="O659" t="s">
        <v>142</v>
      </c>
      <c r="P659" t="s">
        <v>143</v>
      </c>
      <c r="Q659" t="s">
        <v>39</v>
      </c>
      <c r="R659" t="s">
        <v>871</v>
      </c>
      <c r="S659" t="s">
        <v>30</v>
      </c>
      <c r="T659" t="s">
        <v>68</v>
      </c>
      <c r="U659" t="s">
        <v>872</v>
      </c>
      <c r="V659" s="3">
        <v>569</v>
      </c>
      <c r="W659" s="4">
        <v>3</v>
      </c>
      <c r="X659" s="2">
        <v>0.3</v>
      </c>
      <c r="Y659" s="3">
        <v>-70.98</v>
      </c>
      <c r="Z659" t="str">
        <f t="shared" si="122"/>
        <v>Normal</v>
      </c>
      <c r="AA659" t="str">
        <f t="shared" si="123"/>
        <v>High</v>
      </c>
      <c r="AB659" t="str">
        <f t="shared" si="127"/>
        <v>Loss</v>
      </c>
      <c r="AC659" s="3">
        <f t="shared" si="128"/>
        <v>-0.12474516695957821</v>
      </c>
      <c r="AD659" s="3">
        <f t="shared" si="129"/>
        <v>189.66666666666666</v>
      </c>
      <c r="AE659" s="3">
        <f t="shared" si="130"/>
        <v>-23.66</v>
      </c>
      <c r="AF659" t="str">
        <f t="shared" si="131"/>
        <v>Regular</v>
      </c>
    </row>
    <row r="660" spans="1:32" x14ac:dyDescent="0.25">
      <c r="A660" t="s">
        <v>3806</v>
      </c>
      <c r="B660" s="1">
        <v>45245</v>
      </c>
      <c r="C660" s="1">
        <v>45246</v>
      </c>
      <c r="D660" s="4">
        <f t="shared" si="120"/>
        <v>1</v>
      </c>
      <c r="E660" s="4" t="str">
        <f>TEXT(Table1[[#This Row],[Order_Date]],"dddd")</f>
        <v>Wednesday</v>
      </c>
      <c r="F660" s="4">
        <f t="shared" si="121"/>
        <v>11</v>
      </c>
      <c r="G660" t="str">
        <f t="shared" si="124"/>
        <v>November</v>
      </c>
      <c r="H660">
        <f t="shared" si="125"/>
        <v>2023</v>
      </c>
      <c r="I660" t="str">
        <f t="shared" si="126"/>
        <v>2023-Q4</v>
      </c>
      <c r="J660" t="s">
        <v>44</v>
      </c>
      <c r="K660" t="s">
        <v>3807</v>
      </c>
      <c r="L660" t="s">
        <v>3808</v>
      </c>
      <c r="M660" t="s">
        <v>47</v>
      </c>
      <c r="N660" t="s">
        <v>25</v>
      </c>
      <c r="O660" t="s">
        <v>227</v>
      </c>
      <c r="P660" t="s">
        <v>49</v>
      </c>
      <c r="Q660" t="s">
        <v>87</v>
      </c>
      <c r="R660" t="s">
        <v>3809</v>
      </c>
      <c r="S660" t="s">
        <v>30</v>
      </c>
      <c r="T660" t="s">
        <v>82</v>
      </c>
      <c r="U660" t="s">
        <v>3810</v>
      </c>
      <c r="V660" s="3">
        <v>1767.72</v>
      </c>
      <c r="W660" s="4">
        <v>4</v>
      </c>
      <c r="X660" s="2">
        <v>0.1</v>
      </c>
      <c r="Y660" s="3">
        <v>-222.42</v>
      </c>
      <c r="Z660" t="str">
        <f t="shared" si="122"/>
        <v>Normal</v>
      </c>
      <c r="AA660" t="str">
        <f t="shared" si="123"/>
        <v>Medium</v>
      </c>
      <c r="AB660" t="str">
        <f t="shared" si="127"/>
        <v>Loss</v>
      </c>
      <c r="AC660" s="3">
        <f t="shared" si="128"/>
        <v>-0.12582309415518295</v>
      </c>
      <c r="AD660" s="3">
        <f t="shared" si="129"/>
        <v>441.93</v>
      </c>
      <c r="AE660" s="3">
        <f t="shared" si="130"/>
        <v>-55.604999999999997</v>
      </c>
      <c r="AF660" t="str">
        <f t="shared" si="131"/>
        <v>Regular</v>
      </c>
    </row>
    <row r="661" spans="1:32" x14ac:dyDescent="0.25">
      <c r="A661" t="s">
        <v>1820</v>
      </c>
      <c r="B661" s="1">
        <v>45246</v>
      </c>
      <c r="C661" s="1">
        <v>45248</v>
      </c>
      <c r="D661" s="4">
        <f t="shared" si="120"/>
        <v>2</v>
      </c>
      <c r="E661" s="4" t="str">
        <f>TEXT(Table1[[#This Row],[Order_Date]],"dddd")</f>
        <v>Thursday</v>
      </c>
      <c r="F661" s="4">
        <f t="shared" si="121"/>
        <v>11</v>
      </c>
      <c r="G661" t="str">
        <f t="shared" si="124"/>
        <v>November</v>
      </c>
      <c r="H661">
        <f t="shared" si="125"/>
        <v>2023</v>
      </c>
      <c r="I661" t="str">
        <f t="shared" si="126"/>
        <v>2023-Q4</v>
      </c>
      <c r="J661" t="s">
        <v>104</v>
      </c>
      <c r="K661" t="s">
        <v>1821</v>
      </c>
      <c r="L661" t="s">
        <v>1822</v>
      </c>
      <c r="M661" t="s">
        <v>36</v>
      </c>
      <c r="N661" t="s">
        <v>25</v>
      </c>
      <c r="O661" t="s">
        <v>511</v>
      </c>
      <c r="P661" t="s">
        <v>120</v>
      </c>
      <c r="Q661" t="s">
        <v>39</v>
      </c>
      <c r="R661" t="s">
        <v>1823</v>
      </c>
      <c r="S661" t="s">
        <v>59</v>
      </c>
      <c r="T661" t="s">
        <v>101</v>
      </c>
      <c r="U661" t="s">
        <v>1824</v>
      </c>
      <c r="V661" s="3">
        <v>1105.7</v>
      </c>
      <c r="W661" s="4">
        <v>1</v>
      </c>
      <c r="X661" s="2">
        <v>0</v>
      </c>
      <c r="Y661" s="3">
        <v>96.88</v>
      </c>
      <c r="Z661" t="str">
        <f t="shared" si="122"/>
        <v>Normal</v>
      </c>
      <c r="AA661" t="str">
        <f t="shared" si="123"/>
        <v>Low</v>
      </c>
      <c r="AB661" t="str">
        <f t="shared" si="127"/>
        <v>Low Profit</v>
      </c>
      <c r="AC661" s="3">
        <f t="shared" si="128"/>
        <v>8.7618703084019159E-2</v>
      </c>
      <c r="AD661" s="3">
        <f t="shared" si="129"/>
        <v>1105.7</v>
      </c>
      <c r="AE661" s="3">
        <f t="shared" si="130"/>
        <v>96.88</v>
      </c>
      <c r="AF661" t="str">
        <f t="shared" si="131"/>
        <v>Regular</v>
      </c>
    </row>
    <row r="662" spans="1:32" x14ac:dyDescent="0.25">
      <c r="A662" t="s">
        <v>986</v>
      </c>
      <c r="B662" s="1">
        <v>45246</v>
      </c>
      <c r="C662" s="1">
        <v>45249</v>
      </c>
      <c r="D662" s="4">
        <f t="shared" si="120"/>
        <v>3</v>
      </c>
      <c r="E662" s="4" t="str">
        <f>TEXT(Table1[[#This Row],[Order_Date]],"dddd")</f>
        <v>Thursday</v>
      </c>
      <c r="F662" s="4">
        <f t="shared" si="121"/>
        <v>11</v>
      </c>
      <c r="G662" t="str">
        <f t="shared" si="124"/>
        <v>November</v>
      </c>
      <c r="H662">
        <f t="shared" si="125"/>
        <v>2023</v>
      </c>
      <c r="I662" t="str">
        <f t="shared" si="126"/>
        <v>2023-Q4</v>
      </c>
      <c r="J662" t="s">
        <v>44</v>
      </c>
      <c r="K662" t="s">
        <v>987</v>
      </c>
      <c r="L662" t="s">
        <v>988</v>
      </c>
      <c r="M662" t="s">
        <v>24</v>
      </c>
      <c r="N662" t="s">
        <v>25</v>
      </c>
      <c r="O662" t="s">
        <v>26</v>
      </c>
      <c r="P662" t="s">
        <v>27</v>
      </c>
      <c r="Q662" t="s">
        <v>28</v>
      </c>
      <c r="R662" t="s">
        <v>989</v>
      </c>
      <c r="S662" t="s">
        <v>59</v>
      </c>
      <c r="T662" t="s">
        <v>101</v>
      </c>
      <c r="U662" t="s">
        <v>990</v>
      </c>
      <c r="V662" s="3">
        <v>2488.69</v>
      </c>
      <c r="W662" s="4">
        <v>6</v>
      </c>
      <c r="X662" s="2">
        <v>0.1</v>
      </c>
      <c r="Y662" s="3">
        <v>267.32</v>
      </c>
      <c r="Z662" t="str">
        <f t="shared" si="122"/>
        <v>Normal</v>
      </c>
      <c r="AA662" t="str">
        <f t="shared" si="123"/>
        <v>Medium</v>
      </c>
      <c r="AB662" t="str">
        <f t="shared" si="127"/>
        <v>Low Profit</v>
      </c>
      <c r="AC662" s="3">
        <f t="shared" si="128"/>
        <v>0.10741394066758013</v>
      </c>
      <c r="AD662" s="3">
        <f t="shared" si="129"/>
        <v>414.78166666666669</v>
      </c>
      <c r="AE662" s="3">
        <f t="shared" si="130"/>
        <v>44.553333333333335</v>
      </c>
      <c r="AF662" t="str">
        <f t="shared" si="131"/>
        <v>Regular</v>
      </c>
    </row>
    <row r="663" spans="1:32" x14ac:dyDescent="0.25">
      <c r="A663" t="s">
        <v>3073</v>
      </c>
      <c r="B663" s="1">
        <v>45246</v>
      </c>
      <c r="C663" s="1">
        <v>45254</v>
      </c>
      <c r="D663" s="4">
        <f t="shared" si="120"/>
        <v>8</v>
      </c>
      <c r="E663" s="4" t="str">
        <f>TEXT(Table1[[#This Row],[Order_Date]],"dddd")</f>
        <v>Thursday</v>
      </c>
      <c r="F663" s="4">
        <f t="shared" si="121"/>
        <v>11</v>
      </c>
      <c r="G663" t="str">
        <f t="shared" si="124"/>
        <v>November</v>
      </c>
      <c r="H663">
        <f t="shared" si="125"/>
        <v>2023</v>
      </c>
      <c r="I663" t="str">
        <f t="shared" si="126"/>
        <v>2023-Q4</v>
      </c>
      <c r="J663" t="s">
        <v>21</v>
      </c>
      <c r="K663" t="s">
        <v>3074</v>
      </c>
      <c r="L663" t="s">
        <v>3075</v>
      </c>
      <c r="M663" t="s">
        <v>36</v>
      </c>
      <c r="N663" t="s">
        <v>25</v>
      </c>
      <c r="O663" t="s">
        <v>156</v>
      </c>
      <c r="P663" t="s">
        <v>143</v>
      </c>
      <c r="Q663" t="s">
        <v>66</v>
      </c>
      <c r="R663" t="s">
        <v>3076</v>
      </c>
      <c r="S663" t="s">
        <v>30</v>
      </c>
      <c r="T663" t="s">
        <v>41</v>
      </c>
      <c r="U663" t="s">
        <v>3077</v>
      </c>
      <c r="V663" s="3">
        <v>2457.64</v>
      </c>
      <c r="W663" s="4">
        <v>4</v>
      </c>
      <c r="X663" s="2">
        <v>0.1</v>
      </c>
      <c r="Y663" s="3">
        <v>495.05</v>
      </c>
      <c r="Z663" t="str">
        <f t="shared" si="122"/>
        <v>Normal</v>
      </c>
      <c r="AA663" t="str">
        <f t="shared" si="123"/>
        <v>Medium</v>
      </c>
      <c r="AB663" t="str">
        <f t="shared" si="127"/>
        <v>Low Profit</v>
      </c>
      <c r="AC663" s="3">
        <f t="shared" si="128"/>
        <v>0.20143308214384534</v>
      </c>
      <c r="AD663" s="3">
        <f t="shared" si="129"/>
        <v>614.41</v>
      </c>
      <c r="AE663" s="3">
        <f t="shared" si="130"/>
        <v>123.7625</v>
      </c>
      <c r="AF663" t="str">
        <f t="shared" si="131"/>
        <v>Regular</v>
      </c>
    </row>
    <row r="664" spans="1:32" x14ac:dyDescent="0.25">
      <c r="A664" t="s">
        <v>3200</v>
      </c>
      <c r="B664" s="1">
        <v>45246</v>
      </c>
      <c r="C664" s="1">
        <v>45252</v>
      </c>
      <c r="D664" s="4">
        <f t="shared" si="120"/>
        <v>6</v>
      </c>
      <c r="E664" s="4" t="str">
        <f>TEXT(Table1[[#This Row],[Order_Date]],"dddd")</f>
        <v>Thursday</v>
      </c>
      <c r="F664" s="4">
        <f t="shared" si="121"/>
        <v>11</v>
      </c>
      <c r="G664" t="str">
        <f t="shared" si="124"/>
        <v>November</v>
      </c>
      <c r="H664">
        <f t="shared" si="125"/>
        <v>2023</v>
      </c>
      <c r="I664" t="str">
        <f t="shared" si="126"/>
        <v>2023-Q4</v>
      </c>
      <c r="J664" t="s">
        <v>104</v>
      </c>
      <c r="K664" t="s">
        <v>3201</v>
      </c>
      <c r="L664" t="s">
        <v>3202</v>
      </c>
      <c r="M664" t="s">
        <v>36</v>
      </c>
      <c r="N664" t="s">
        <v>25</v>
      </c>
      <c r="O664" t="s">
        <v>99</v>
      </c>
      <c r="P664" t="s">
        <v>74</v>
      </c>
      <c r="Q664" t="s">
        <v>87</v>
      </c>
      <c r="R664" t="s">
        <v>3203</v>
      </c>
      <c r="S664" t="s">
        <v>59</v>
      </c>
      <c r="T664" t="s">
        <v>303</v>
      </c>
      <c r="U664" t="s">
        <v>3204</v>
      </c>
      <c r="V664" s="3">
        <v>3360.25</v>
      </c>
      <c r="W664" s="4">
        <v>10</v>
      </c>
      <c r="X664" s="2">
        <v>0.1</v>
      </c>
      <c r="Y664" s="3">
        <v>-93.16</v>
      </c>
      <c r="Z664" t="str">
        <f t="shared" si="122"/>
        <v>Normal</v>
      </c>
      <c r="AA664" t="str">
        <f t="shared" si="123"/>
        <v>Medium</v>
      </c>
      <c r="AB664" t="str">
        <f t="shared" si="127"/>
        <v>Loss</v>
      </c>
      <c r="AC664" s="3">
        <f t="shared" si="128"/>
        <v>-2.772412766907224E-2</v>
      </c>
      <c r="AD664" s="3">
        <f t="shared" si="129"/>
        <v>336.02499999999998</v>
      </c>
      <c r="AE664" s="3">
        <f t="shared" si="130"/>
        <v>-9.3159999999999989</v>
      </c>
      <c r="AF664" t="str">
        <f t="shared" si="131"/>
        <v>Regular</v>
      </c>
    </row>
    <row r="665" spans="1:32" x14ac:dyDescent="0.25">
      <c r="A665" t="s">
        <v>2944</v>
      </c>
      <c r="B665" s="1">
        <v>45246</v>
      </c>
      <c r="C665" s="1">
        <v>45250</v>
      </c>
      <c r="D665" s="4">
        <f t="shared" si="120"/>
        <v>4</v>
      </c>
      <c r="E665" s="4" t="str">
        <f>TEXT(Table1[[#This Row],[Order_Date]],"dddd")</f>
        <v>Thursday</v>
      </c>
      <c r="F665" s="4">
        <f t="shared" si="121"/>
        <v>11</v>
      </c>
      <c r="G665" t="str">
        <f t="shared" si="124"/>
        <v>November</v>
      </c>
      <c r="H665">
        <f t="shared" si="125"/>
        <v>2023</v>
      </c>
      <c r="I665" t="str">
        <f t="shared" si="126"/>
        <v>2023-Q4</v>
      </c>
      <c r="J665" t="s">
        <v>44</v>
      </c>
      <c r="K665" t="s">
        <v>2945</v>
      </c>
      <c r="L665" t="s">
        <v>2946</v>
      </c>
      <c r="M665" t="s">
        <v>47</v>
      </c>
      <c r="N665" t="s">
        <v>25</v>
      </c>
      <c r="O665" t="s">
        <v>48</v>
      </c>
      <c r="P665" t="s">
        <v>49</v>
      </c>
      <c r="Q665" t="s">
        <v>66</v>
      </c>
      <c r="R665" t="s">
        <v>2947</v>
      </c>
      <c r="S665" t="s">
        <v>51</v>
      </c>
      <c r="T665" t="s">
        <v>52</v>
      </c>
      <c r="U665" t="s">
        <v>1090</v>
      </c>
      <c r="V665" s="3">
        <v>2950.71</v>
      </c>
      <c r="W665" s="4">
        <v>2</v>
      </c>
      <c r="X665" s="2">
        <v>0.3</v>
      </c>
      <c r="Y665" s="3">
        <v>633.74</v>
      </c>
      <c r="Z665" t="str">
        <f t="shared" si="122"/>
        <v>Normal</v>
      </c>
      <c r="AA665" t="str">
        <f t="shared" si="123"/>
        <v>High</v>
      </c>
      <c r="AB665" t="str">
        <f t="shared" si="127"/>
        <v>High Profit</v>
      </c>
      <c r="AC665" s="3">
        <f t="shared" si="128"/>
        <v>0.21477542693114537</v>
      </c>
      <c r="AD665" s="3">
        <f t="shared" si="129"/>
        <v>1475.355</v>
      </c>
      <c r="AE665" s="3">
        <f t="shared" si="130"/>
        <v>316.87</v>
      </c>
      <c r="AF665" t="str">
        <f t="shared" si="131"/>
        <v>Regular</v>
      </c>
    </row>
    <row r="666" spans="1:32" x14ac:dyDescent="0.25">
      <c r="A666" t="s">
        <v>4774</v>
      </c>
      <c r="B666" s="1">
        <v>45248</v>
      </c>
      <c r="C666" s="1">
        <v>45257</v>
      </c>
      <c r="D666" s="4">
        <f t="shared" si="120"/>
        <v>9</v>
      </c>
      <c r="E666" s="4" t="str">
        <f>TEXT(Table1[[#This Row],[Order_Date]],"dddd")</f>
        <v>Saturday</v>
      </c>
      <c r="F666" s="4">
        <f t="shared" si="121"/>
        <v>11</v>
      </c>
      <c r="G666" t="str">
        <f t="shared" si="124"/>
        <v>November</v>
      </c>
      <c r="H666">
        <f t="shared" si="125"/>
        <v>2023</v>
      </c>
      <c r="I666" t="str">
        <f t="shared" si="126"/>
        <v>2023-Q4</v>
      </c>
      <c r="J666" t="s">
        <v>55</v>
      </c>
      <c r="K666" t="s">
        <v>4775</v>
      </c>
      <c r="L666" t="s">
        <v>4776</v>
      </c>
      <c r="M666" t="s">
        <v>36</v>
      </c>
      <c r="N666" t="s">
        <v>25</v>
      </c>
      <c r="O666" t="s">
        <v>113</v>
      </c>
      <c r="P666" t="s">
        <v>113</v>
      </c>
      <c r="Q666" t="s">
        <v>66</v>
      </c>
      <c r="R666" t="s">
        <v>4777</v>
      </c>
      <c r="S666" t="s">
        <v>30</v>
      </c>
      <c r="T666" t="s">
        <v>68</v>
      </c>
      <c r="U666" t="s">
        <v>4778</v>
      </c>
      <c r="V666" s="3">
        <v>2880.41</v>
      </c>
      <c r="W666" s="4">
        <v>5</v>
      </c>
      <c r="X666" s="2">
        <v>0</v>
      </c>
      <c r="Y666" s="3">
        <v>-482.1</v>
      </c>
      <c r="Z666" t="str">
        <f t="shared" si="122"/>
        <v>Normal</v>
      </c>
      <c r="AA666" t="str">
        <f t="shared" si="123"/>
        <v>Low</v>
      </c>
      <c r="AB666" t="str">
        <f t="shared" si="127"/>
        <v>Loss</v>
      </c>
      <c r="AC666" s="3">
        <f t="shared" si="128"/>
        <v>-0.16737200606858052</v>
      </c>
      <c r="AD666" s="3">
        <f t="shared" si="129"/>
        <v>576.08199999999999</v>
      </c>
      <c r="AE666" s="3">
        <f t="shared" si="130"/>
        <v>-96.42</v>
      </c>
      <c r="AF666" t="str">
        <f t="shared" si="131"/>
        <v>Regular</v>
      </c>
    </row>
    <row r="667" spans="1:32" x14ac:dyDescent="0.25">
      <c r="A667" t="s">
        <v>6528</v>
      </c>
      <c r="B667" s="1">
        <v>45248</v>
      </c>
      <c r="C667" s="1">
        <v>45252</v>
      </c>
      <c r="D667" s="4">
        <f t="shared" si="120"/>
        <v>4</v>
      </c>
      <c r="E667" s="4" t="str">
        <f>TEXT(Table1[[#This Row],[Order_Date]],"dddd")</f>
        <v>Saturday</v>
      </c>
      <c r="F667" s="4">
        <f t="shared" si="121"/>
        <v>11</v>
      </c>
      <c r="G667" t="str">
        <f t="shared" si="124"/>
        <v>November</v>
      </c>
      <c r="H667">
        <f t="shared" si="125"/>
        <v>2023</v>
      </c>
      <c r="I667" t="str">
        <f t="shared" si="126"/>
        <v>2023-Q4</v>
      </c>
      <c r="J667" t="s">
        <v>44</v>
      </c>
      <c r="K667" t="s">
        <v>6529</v>
      </c>
      <c r="L667" t="s">
        <v>6530</v>
      </c>
      <c r="M667" t="s">
        <v>36</v>
      </c>
      <c r="N667" t="s">
        <v>25</v>
      </c>
      <c r="O667" t="s">
        <v>451</v>
      </c>
      <c r="P667" t="s">
        <v>38</v>
      </c>
      <c r="Q667" t="s">
        <v>66</v>
      </c>
      <c r="R667" t="s">
        <v>6531</v>
      </c>
      <c r="S667" t="s">
        <v>30</v>
      </c>
      <c r="T667" t="s">
        <v>31</v>
      </c>
      <c r="U667" t="s">
        <v>6532</v>
      </c>
      <c r="V667" s="3">
        <v>3729.87</v>
      </c>
      <c r="W667" s="4">
        <v>3</v>
      </c>
      <c r="X667" s="2">
        <v>0.1</v>
      </c>
      <c r="Y667" s="3">
        <v>281.14</v>
      </c>
      <c r="Z667" t="str">
        <f t="shared" si="122"/>
        <v>Normal</v>
      </c>
      <c r="AA667" t="str">
        <f t="shared" si="123"/>
        <v>Medium</v>
      </c>
      <c r="AB667" t="str">
        <f t="shared" si="127"/>
        <v>Low Profit</v>
      </c>
      <c r="AC667" s="3">
        <f t="shared" si="128"/>
        <v>7.5375281176019535E-2</v>
      </c>
      <c r="AD667" s="3">
        <f t="shared" si="129"/>
        <v>1243.29</v>
      </c>
      <c r="AE667" s="3">
        <f t="shared" si="130"/>
        <v>93.713333333333324</v>
      </c>
      <c r="AF667" t="str">
        <f t="shared" si="131"/>
        <v>Regular</v>
      </c>
    </row>
    <row r="668" spans="1:32" x14ac:dyDescent="0.25">
      <c r="A668" t="s">
        <v>5380</v>
      </c>
      <c r="B668" s="1">
        <v>45249</v>
      </c>
      <c r="C668" s="1">
        <v>45250</v>
      </c>
      <c r="D668" s="4">
        <f t="shared" si="120"/>
        <v>1</v>
      </c>
      <c r="E668" s="4" t="str">
        <f>TEXT(Table1[[#This Row],[Order_Date]],"dddd")</f>
        <v>Sunday</v>
      </c>
      <c r="F668" s="4">
        <f t="shared" si="121"/>
        <v>11</v>
      </c>
      <c r="G668" t="str">
        <f t="shared" si="124"/>
        <v>November</v>
      </c>
      <c r="H668">
        <f t="shared" si="125"/>
        <v>2023</v>
      </c>
      <c r="I668" t="str">
        <f t="shared" si="126"/>
        <v>2023-Q4</v>
      </c>
      <c r="J668" t="s">
        <v>44</v>
      </c>
      <c r="K668" t="s">
        <v>5381</v>
      </c>
      <c r="L668" t="s">
        <v>5382</v>
      </c>
      <c r="M668" t="s">
        <v>36</v>
      </c>
      <c r="N668" t="s">
        <v>25</v>
      </c>
      <c r="O668" t="s">
        <v>179</v>
      </c>
      <c r="P668" t="s">
        <v>27</v>
      </c>
      <c r="Q668" t="s">
        <v>66</v>
      </c>
      <c r="R668" t="s">
        <v>5383</v>
      </c>
      <c r="S668" t="s">
        <v>51</v>
      </c>
      <c r="T668" t="s">
        <v>127</v>
      </c>
      <c r="U668" t="s">
        <v>3835</v>
      </c>
      <c r="V668" s="3">
        <v>3489.46</v>
      </c>
      <c r="W668" s="4">
        <v>6</v>
      </c>
      <c r="X668" s="2">
        <v>0.3</v>
      </c>
      <c r="Y668" s="3">
        <v>844.68</v>
      </c>
      <c r="Z668" t="str">
        <f t="shared" si="122"/>
        <v>Normal</v>
      </c>
      <c r="AA668" t="str">
        <f t="shared" si="123"/>
        <v>High</v>
      </c>
      <c r="AB668" t="str">
        <f t="shared" si="127"/>
        <v>High Profit</v>
      </c>
      <c r="AC668" s="3">
        <f t="shared" si="128"/>
        <v>0.24206610764989422</v>
      </c>
      <c r="AD668" s="3">
        <f t="shared" si="129"/>
        <v>581.57666666666671</v>
      </c>
      <c r="AE668" s="3">
        <f t="shared" si="130"/>
        <v>140.78</v>
      </c>
      <c r="AF668" t="str">
        <f t="shared" si="131"/>
        <v>Regular</v>
      </c>
    </row>
    <row r="669" spans="1:32" x14ac:dyDescent="0.25">
      <c r="A669" t="s">
        <v>5662</v>
      </c>
      <c r="B669" s="1">
        <v>45249</v>
      </c>
      <c r="C669" s="1">
        <v>45253</v>
      </c>
      <c r="D669" s="4">
        <f t="shared" si="120"/>
        <v>4</v>
      </c>
      <c r="E669" s="4" t="str">
        <f>TEXT(Table1[[#This Row],[Order_Date]],"dddd")</f>
        <v>Sunday</v>
      </c>
      <c r="F669" s="4">
        <f t="shared" si="121"/>
        <v>11</v>
      </c>
      <c r="G669" t="str">
        <f t="shared" si="124"/>
        <v>November</v>
      </c>
      <c r="H669">
        <f t="shared" si="125"/>
        <v>2023</v>
      </c>
      <c r="I669" t="str">
        <f t="shared" si="126"/>
        <v>2023-Q4</v>
      </c>
      <c r="J669" t="s">
        <v>44</v>
      </c>
      <c r="K669" t="s">
        <v>5663</v>
      </c>
      <c r="L669" t="s">
        <v>5664</v>
      </c>
      <c r="M669" t="s">
        <v>36</v>
      </c>
      <c r="N669" t="s">
        <v>25</v>
      </c>
      <c r="O669" t="s">
        <v>113</v>
      </c>
      <c r="P669" t="s">
        <v>113</v>
      </c>
      <c r="Q669" t="s">
        <v>87</v>
      </c>
      <c r="R669" t="s">
        <v>5665</v>
      </c>
      <c r="S669" t="s">
        <v>59</v>
      </c>
      <c r="T669" t="s">
        <v>60</v>
      </c>
      <c r="U669" t="s">
        <v>5666</v>
      </c>
      <c r="V669" s="3">
        <v>1308.54</v>
      </c>
      <c r="W669" s="4">
        <v>1</v>
      </c>
      <c r="X669" s="2">
        <v>0.4</v>
      </c>
      <c r="Y669" s="3">
        <v>220.4</v>
      </c>
      <c r="Z669" t="str">
        <f t="shared" si="122"/>
        <v>Normal</v>
      </c>
      <c r="AA669" t="str">
        <f t="shared" si="123"/>
        <v>High</v>
      </c>
      <c r="AB669" t="str">
        <f t="shared" si="127"/>
        <v>Low Profit</v>
      </c>
      <c r="AC669" s="3">
        <f t="shared" si="128"/>
        <v>0.16843199290812663</v>
      </c>
      <c r="AD669" s="3">
        <f t="shared" si="129"/>
        <v>1308.54</v>
      </c>
      <c r="AE669" s="3">
        <f t="shared" si="130"/>
        <v>220.4</v>
      </c>
      <c r="AF669" t="str">
        <f t="shared" si="131"/>
        <v>Regular</v>
      </c>
    </row>
    <row r="670" spans="1:32" x14ac:dyDescent="0.25">
      <c r="A670" t="s">
        <v>334</v>
      </c>
      <c r="B670" s="1">
        <v>45249</v>
      </c>
      <c r="C670" s="1">
        <v>45251</v>
      </c>
      <c r="D670" s="4">
        <f t="shared" si="120"/>
        <v>2</v>
      </c>
      <c r="E670" s="4" t="str">
        <f>TEXT(Table1[[#This Row],[Order_Date]],"dddd")</f>
        <v>Sunday</v>
      </c>
      <c r="F670" s="4">
        <f t="shared" si="121"/>
        <v>11</v>
      </c>
      <c r="G670" t="str">
        <f t="shared" si="124"/>
        <v>November</v>
      </c>
      <c r="H670">
        <f t="shared" si="125"/>
        <v>2023</v>
      </c>
      <c r="I670" t="str">
        <f t="shared" si="126"/>
        <v>2023-Q4</v>
      </c>
      <c r="J670" t="s">
        <v>55</v>
      </c>
      <c r="K670" t="s">
        <v>335</v>
      </c>
      <c r="L670" t="s">
        <v>336</v>
      </c>
      <c r="M670" t="s">
        <v>24</v>
      </c>
      <c r="N670" t="s">
        <v>25</v>
      </c>
      <c r="O670" t="s">
        <v>244</v>
      </c>
      <c r="P670" t="s">
        <v>163</v>
      </c>
      <c r="Q670" t="s">
        <v>87</v>
      </c>
      <c r="R670" t="s">
        <v>337</v>
      </c>
      <c r="S670" t="s">
        <v>51</v>
      </c>
      <c r="T670" t="s">
        <v>94</v>
      </c>
      <c r="U670" t="s">
        <v>338</v>
      </c>
      <c r="V670" s="3">
        <v>1935.52</v>
      </c>
      <c r="W670" s="4">
        <v>9</v>
      </c>
      <c r="X670" s="2">
        <v>0.2</v>
      </c>
      <c r="Y670" s="3">
        <v>-363.19</v>
      </c>
      <c r="Z670" t="str">
        <f t="shared" si="122"/>
        <v>Normal</v>
      </c>
      <c r="AA670" t="str">
        <f t="shared" si="123"/>
        <v>High</v>
      </c>
      <c r="AB670" t="str">
        <f t="shared" si="127"/>
        <v>Loss</v>
      </c>
      <c r="AC670" s="3">
        <f t="shared" si="128"/>
        <v>-0.18764466396627263</v>
      </c>
      <c r="AD670" s="3">
        <f t="shared" si="129"/>
        <v>215.05777777777777</v>
      </c>
      <c r="AE670" s="3">
        <f t="shared" si="130"/>
        <v>-40.354444444444447</v>
      </c>
      <c r="AF670" t="str">
        <f t="shared" si="131"/>
        <v>Regular</v>
      </c>
    </row>
    <row r="671" spans="1:32" x14ac:dyDescent="0.25">
      <c r="A671" t="s">
        <v>6263</v>
      </c>
      <c r="B671" s="1">
        <v>45249</v>
      </c>
      <c r="C671" s="1">
        <v>45259</v>
      </c>
      <c r="D671" s="4">
        <f t="shared" si="120"/>
        <v>10</v>
      </c>
      <c r="E671" s="4" t="str">
        <f>TEXT(Table1[[#This Row],[Order_Date]],"dddd")</f>
        <v>Sunday</v>
      </c>
      <c r="F671" s="4">
        <f t="shared" si="121"/>
        <v>11</v>
      </c>
      <c r="G671" t="str">
        <f t="shared" si="124"/>
        <v>November</v>
      </c>
      <c r="H671">
        <f t="shared" si="125"/>
        <v>2023</v>
      </c>
      <c r="I671" t="str">
        <f t="shared" si="126"/>
        <v>2023-Q4</v>
      </c>
      <c r="J671" t="s">
        <v>55</v>
      </c>
      <c r="K671" t="s">
        <v>6264</v>
      </c>
      <c r="L671" t="s">
        <v>6265</v>
      </c>
      <c r="M671" t="s">
        <v>47</v>
      </c>
      <c r="N671" t="s">
        <v>25</v>
      </c>
      <c r="O671" t="s">
        <v>382</v>
      </c>
      <c r="P671" t="s">
        <v>38</v>
      </c>
      <c r="Q671" t="s">
        <v>39</v>
      </c>
      <c r="R671" t="s">
        <v>6266</v>
      </c>
      <c r="S671" t="s">
        <v>51</v>
      </c>
      <c r="T671" t="s">
        <v>108</v>
      </c>
      <c r="U671" t="s">
        <v>6267</v>
      </c>
      <c r="V671" s="3">
        <v>3820.57</v>
      </c>
      <c r="W671" s="4">
        <v>2</v>
      </c>
      <c r="X671" s="2">
        <v>0.4</v>
      </c>
      <c r="Y671" s="3">
        <v>1072.95</v>
      </c>
      <c r="Z671" t="str">
        <f t="shared" si="122"/>
        <v>Outlier</v>
      </c>
      <c r="AA671" t="str">
        <f t="shared" si="123"/>
        <v>High</v>
      </c>
      <c r="AB671" t="str">
        <f t="shared" si="127"/>
        <v>High Profit</v>
      </c>
      <c r="AC671" s="3">
        <f t="shared" si="128"/>
        <v>0.28083505864308206</v>
      </c>
      <c r="AD671" s="3">
        <f t="shared" si="129"/>
        <v>1910.2850000000001</v>
      </c>
      <c r="AE671" s="3">
        <f t="shared" si="130"/>
        <v>536.47500000000002</v>
      </c>
      <c r="AF671" t="str">
        <f t="shared" si="131"/>
        <v>Regular</v>
      </c>
    </row>
    <row r="672" spans="1:32" x14ac:dyDescent="0.25">
      <c r="A672" t="s">
        <v>2790</v>
      </c>
      <c r="B672" s="1">
        <v>45250</v>
      </c>
      <c r="C672" s="1">
        <v>45253</v>
      </c>
      <c r="D672" s="4">
        <f t="shared" si="120"/>
        <v>3</v>
      </c>
      <c r="E672" s="4" t="str">
        <f>TEXT(Table1[[#This Row],[Order_Date]],"dddd")</f>
        <v>Monday</v>
      </c>
      <c r="F672" s="4">
        <f t="shared" si="121"/>
        <v>11</v>
      </c>
      <c r="G672" t="str">
        <f t="shared" si="124"/>
        <v>November</v>
      </c>
      <c r="H672">
        <f t="shared" si="125"/>
        <v>2023</v>
      </c>
      <c r="I672" t="str">
        <f t="shared" si="126"/>
        <v>2023-Q4</v>
      </c>
      <c r="J672" t="s">
        <v>44</v>
      </c>
      <c r="K672" t="s">
        <v>2791</v>
      </c>
      <c r="L672" t="s">
        <v>2792</v>
      </c>
      <c r="M672" t="s">
        <v>47</v>
      </c>
      <c r="N672" t="s">
        <v>25</v>
      </c>
      <c r="O672" t="s">
        <v>99</v>
      </c>
      <c r="P672" t="s">
        <v>74</v>
      </c>
      <c r="Q672" t="s">
        <v>66</v>
      </c>
      <c r="R672" t="s">
        <v>2793</v>
      </c>
      <c r="S672" t="s">
        <v>51</v>
      </c>
      <c r="T672" t="s">
        <v>108</v>
      </c>
      <c r="U672" t="s">
        <v>2794</v>
      </c>
      <c r="V672" s="3">
        <v>1642.17</v>
      </c>
      <c r="W672" s="4">
        <v>5</v>
      </c>
      <c r="X672" s="2">
        <v>0.3</v>
      </c>
      <c r="Y672" s="3">
        <v>91.5</v>
      </c>
      <c r="Z672" t="str">
        <f t="shared" si="122"/>
        <v>Normal</v>
      </c>
      <c r="AA672" t="str">
        <f t="shared" si="123"/>
        <v>High</v>
      </c>
      <c r="AB672" t="str">
        <f t="shared" si="127"/>
        <v>Low Profit</v>
      </c>
      <c r="AC672" s="3">
        <f t="shared" si="128"/>
        <v>5.5718957233416758E-2</v>
      </c>
      <c r="AD672" s="3">
        <f t="shared" si="129"/>
        <v>328.43400000000003</v>
      </c>
      <c r="AE672" s="3">
        <f t="shared" si="130"/>
        <v>18.3</v>
      </c>
      <c r="AF672" t="str">
        <f t="shared" si="131"/>
        <v>Regular</v>
      </c>
    </row>
    <row r="673" spans="1:32" x14ac:dyDescent="0.25">
      <c r="A673" t="s">
        <v>7315</v>
      </c>
      <c r="B673" s="1">
        <v>45251</v>
      </c>
      <c r="C673" s="1">
        <v>45255</v>
      </c>
      <c r="D673" s="4">
        <f t="shared" si="120"/>
        <v>4</v>
      </c>
      <c r="E673" s="4" t="str">
        <f>TEXT(Table1[[#This Row],[Order_Date]],"dddd")</f>
        <v>Tuesday</v>
      </c>
      <c r="F673" s="4">
        <f t="shared" si="121"/>
        <v>11</v>
      </c>
      <c r="G673" t="str">
        <f t="shared" si="124"/>
        <v>November</v>
      </c>
      <c r="H673">
        <f t="shared" si="125"/>
        <v>2023</v>
      </c>
      <c r="I673" t="str">
        <f t="shared" si="126"/>
        <v>2023-Q4</v>
      </c>
      <c r="J673" t="s">
        <v>104</v>
      </c>
      <c r="K673" t="s">
        <v>7316</v>
      </c>
      <c r="L673" t="s">
        <v>7317</v>
      </c>
      <c r="M673" t="s">
        <v>36</v>
      </c>
      <c r="N673" t="s">
        <v>25</v>
      </c>
      <c r="O673" t="s">
        <v>99</v>
      </c>
      <c r="P673" t="s">
        <v>74</v>
      </c>
      <c r="Q673" t="s">
        <v>28</v>
      </c>
      <c r="R673" t="s">
        <v>7318</v>
      </c>
      <c r="S673" t="s">
        <v>30</v>
      </c>
      <c r="T673" t="s">
        <v>41</v>
      </c>
      <c r="U673" t="s">
        <v>5376</v>
      </c>
      <c r="V673" s="3">
        <v>2213.0700000000002</v>
      </c>
      <c r="W673" s="4">
        <v>6</v>
      </c>
      <c r="X673" s="2">
        <v>0</v>
      </c>
      <c r="Y673" s="3">
        <v>102.3987489</v>
      </c>
      <c r="Z673" t="str">
        <f t="shared" si="122"/>
        <v>Normal</v>
      </c>
      <c r="AA673" t="str">
        <f t="shared" si="123"/>
        <v>Low</v>
      </c>
      <c r="AB673" t="str">
        <f t="shared" si="127"/>
        <v>Low Profit</v>
      </c>
      <c r="AC673" s="3">
        <f t="shared" si="128"/>
        <v>4.6269999999999999E-2</v>
      </c>
      <c r="AD673" s="3">
        <f t="shared" si="129"/>
        <v>368.84500000000003</v>
      </c>
      <c r="AE673" s="3">
        <f t="shared" si="130"/>
        <v>17.066458149999999</v>
      </c>
      <c r="AF673" t="str">
        <f t="shared" si="131"/>
        <v>Regular</v>
      </c>
    </row>
    <row r="674" spans="1:32" x14ac:dyDescent="0.25">
      <c r="A674" t="s">
        <v>957</v>
      </c>
      <c r="B674" s="1">
        <v>45251</v>
      </c>
      <c r="C674" s="1">
        <v>45255</v>
      </c>
      <c r="D674" s="4">
        <f t="shared" si="120"/>
        <v>4</v>
      </c>
      <c r="E674" s="4" t="str">
        <f>TEXT(Table1[[#This Row],[Order_Date]],"dddd")</f>
        <v>Tuesday</v>
      </c>
      <c r="F674" s="4">
        <f t="shared" si="121"/>
        <v>11</v>
      </c>
      <c r="G674" t="str">
        <f t="shared" si="124"/>
        <v>November</v>
      </c>
      <c r="H674">
        <f t="shared" si="125"/>
        <v>2023</v>
      </c>
      <c r="I674" t="str">
        <f t="shared" si="126"/>
        <v>2023-Q4</v>
      </c>
      <c r="J674" t="s">
        <v>44</v>
      </c>
      <c r="K674" t="s">
        <v>958</v>
      </c>
      <c r="L674" t="s">
        <v>959</v>
      </c>
      <c r="M674" t="s">
        <v>36</v>
      </c>
      <c r="N674" t="s">
        <v>25</v>
      </c>
      <c r="O674" t="s">
        <v>451</v>
      </c>
      <c r="P674" t="s">
        <v>38</v>
      </c>
      <c r="Q674" t="s">
        <v>87</v>
      </c>
      <c r="R674" t="s">
        <v>960</v>
      </c>
      <c r="S674" t="s">
        <v>51</v>
      </c>
      <c r="T674" t="s">
        <v>94</v>
      </c>
      <c r="U674" t="s">
        <v>961</v>
      </c>
      <c r="V674" s="3">
        <v>3826.44</v>
      </c>
      <c r="W674" s="4">
        <v>10</v>
      </c>
      <c r="X674" s="2">
        <v>0.4</v>
      </c>
      <c r="Y674" s="3">
        <v>-243.03</v>
      </c>
      <c r="Z674" t="str">
        <f t="shared" si="122"/>
        <v>Normal</v>
      </c>
      <c r="AA674" t="str">
        <f t="shared" si="123"/>
        <v>High</v>
      </c>
      <c r="AB674" t="str">
        <f t="shared" si="127"/>
        <v>Loss</v>
      </c>
      <c r="AC674" s="3">
        <f t="shared" si="128"/>
        <v>-6.3513343995985821E-2</v>
      </c>
      <c r="AD674" s="3">
        <f t="shared" si="129"/>
        <v>382.64400000000001</v>
      </c>
      <c r="AE674" s="3">
        <f t="shared" si="130"/>
        <v>-24.303000000000001</v>
      </c>
      <c r="AF674" t="str">
        <f t="shared" si="131"/>
        <v>Regular</v>
      </c>
    </row>
    <row r="675" spans="1:32" x14ac:dyDescent="0.25">
      <c r="A675" t="s">
        <v>1775</v>
      </c>
      <c r="B675" s="1">
        <v>45251</v>
      </c>
      <c r="C675" s="1">
        <v>45260</v>
      </c>
      <c r="D675" s="4">
        <f t="shared" si="120"/>
        <v>9</v>
      </c>
      <c r="E675" s="4" t="str">
        <f>TEXT(Table1[[#This Row],[Order_Date]],"dddd")</f>
        <v>Tuesday</v>
      </c>
      <c r="F675" s="4">
        <f t="shared" si="121"/>
        <v>11</v>
      </c>
      <c r="G675" t="str">
        <f t="shared" si="124"/>
        <v>November</v>
      </c>
      <c r="H675">
        <f t="shared" si="125"/>
        <v>2023</v>
      </c>
      <c r="I675" t="str">
        <f t="shared" si="126"/>
        <v>2023-Q4</v>
      </c>
      <c r="J675" t="s">
        <v>21</v>
      </c>
      <c r="K675" t="s">
        <v>1776</v>
      </c>
      <c r="L675" t="s">
        <v>1777</v>
      </c>
      <c r="M675" t="s">
        <v>24</v>
      </c>
      <c r="N675" t="s">
        <v>25</v>
      </c>
      <c r="O675" t="s">
        <v>162</v>
      </c>
      <c r="P675" t="s">
        <v>163</v>
      </c>
      <c r="Q675" t="s">
        <v>28</v>
      </c>
      <c r="R675" t="s">
        <v>1778</v>
      </c>
      <c r="S675" t="s">
        <v>51</v>
      </c>
      <c r="T675" t="s">
        <v>151</v>
      </c>
      <c r="U675" t="s">
        <v>1779</v>
      </c>
      <c r="V675" s="3">
        <v>2841.67</v>
      </c>
      <c r="W675" s="4">
        <v>6</v>
      </c>
      <c r="X675" s="2">
        <v>0.1</v>
      </c>
      <c r="Y675" s="3">
        <v>229.66</v>
      </c>
      <c r="Z675" t="str">
        <f t="shared" si="122"/>
        <v>Normal</v>
      </c>
      <c r="AA675" t="str">
        <f t="shared" si="123"/>
        <v>Medium</v>
      </c>
      <c r="AB675" t="str">
        <f t="shared" si="127"/>
        <v>Low Profit</v>
      </c>
      <c r="AC675" s="3">
        <f t="shared" si="128"/>
        <v>8.0818673526482671E-2</v>
      </c>
      <c r="AD675" s="3">
        <f t="shared" si="129"/>
        <v>473.61166666666668</v>
      </c>
      <c r="AE675" s="3">
        <f t="shared" si="130"/>
        <v>38.276666666666664</v>
      </c>
      <c r="AF675" t="str">
        <f t="shared" si="131"/>
        <v>Regular</v>
      </c>
    </row>
    <row r="676" spans="1:32" x14ac:dyDescent="0.25">
      <c r="A676" t="s">
        <v>236</v>
      </c>
      <c r="B676" s="1">
        <v>45251</v>
      </c>
      <c r="C676" s="1">
        <v>45255</v>
      </c>
      <c r="D676" s="4">
        <f t="shared" si="120"/>
        <v>4</v>
      </c>
      <c r="E676" s="4" t="str">
        <f>TEXT(Table1[[#This Row],[Order_Date]],"dddd")</f>
        <v>Tuesday</v>
      </c>
      <c r="F676" s="4">
        <f t="shared" si="121"/>
        <v>11</v>
      </c>
      <c r="G676" t="str">
        <f t="shared" si="124"/>
        <v>November</v>
      </c>
      <c r="H676">
        <f t="shared" si="125"/>
        <v>2023</v>
      </c>
      <c r="I676" t="str">
        <f t="shared" si="126"/>
        <v>2023-Q4</v>
      </c>
      <c r="J676" t="s">
        <v>21</v>
      </c>
      <c r="K676" t="s">
        <v>237</v>
      </c>
      <c r="L676" t="s">
        <v>238</v>
      </c>
      <c r="M676" t="s">
        <v>47</v>
      </c>
      <c r="N676" t="s">
        <v>25</v>
      </c>
      <c r="O676" t="s">
        <v>227</v>
      </c>
      <c r="P676" t="s">
        <v>49</v>
      </c>
      <c r="Q676" t="s">
        <v>87</v>
      </c>
      <c r="R676" t="s">
        <v>239</v>
      </c>
      <c r="S676" t="s">
        <v>59</v>
      </c>
      <c r="T676" t="s">
        <v>101</v>
      </c>
      <c r="U676" t="s">
        <v>240</v>
      </c>
      <c r="V676" s="3">
        <v>3386.97</v>
      </c>
      <c r="W676" s="4">
        <v>4</v>
      </c>
      <c r="X676" s="2">
        <v>0.1</v>
      </c>
      <c r="Y676" s="3">
        <v>497.08</v>
      </c>
      <c r="Z676" t="str">
        <f t="shared" si="122"/>
        <v>Normal</v>
      </c>
      <c r="AA676" t="str">
        <f t="shared" si="123"/>
        <v>Medium</v>
      </c>
      <c r="AB676" t="str">
        <f t="shared" si="127"/>
        <v>Low Profit</v>
      </c>
      <c r="AC676" s="3">
        <f t="shared" si="128"/>
        <v>0.14676244548962641</v>
      </c>
      <c r="AD676" s="3">
        <f t="shared" si="129"/>
        <v>846.74249999999995</v>
      </c>
      <c r="AE676" s="3">
        <f t="shared" si="130"/>
        <v>124.27</v>
      </c>
      <c r="AF676" t="str">
        <f t="shared" si="131"/>
        <v>Regular</v>
      </c>
    </row>
    <row r="677" spans="1:32" x14ac:dyDescent="0.25">
      <c r="A677" t="s">
        <v>634</v>
      </c>
      <c r="B677" s="1">
        <v>45253</v>
      </c>
      <c r="C677" s="1">
        <v>45255</v>
      </c>
      <c r="D677" s="4">
        <f t="shared" si="120"/>
        <v>2</v>
      </c>
      <c r="E677" s="4" t="str">
        <f>TEXT(Table1[[#This Row],[Order_Date]],"dddd")</f>
        <v>Thursday</v>
      </c>
      <c r="F677" s="4">
        <f t="shared" si="121"/>
        <v>11</v>
      </c>
      <c r="G677" t="str">
        <f t="shared" si="124"/>
        <v>November</v>
      </c>
      <c r="H677">
        <f t="shared" si="125"/>
        <v>2023</v>
      </c>
      <c r="I677" t="str">
        <f t="shared" si="126"/>
        <v>2023-Q4</v>
      </c>
      <c r="J677" t="s">
        <v>21</v>
      </c>
      <c r="K677" t="s">
        <v>635</v>
      </c>
      <c r="L677" t="s">
        <v>636</v>
      </c>
      <c r="M677" t="s">
        <v>36</v>
      </c>
      <c r="N677" t="s">
        <v>25</v>
      </c>
      <c r="O677" t="s">
        <v>201</v>
      </c>
      <c r="P677" t="s">
        <v>113</v>
      </c>
      <c r="Q677" t="s">
        <v>39</v>
      </c>
      <c r="R677" t="s">
        <v>637</v>
      </c>
      <c r="S677" t="s">
        <v>30</v>
      </c>
      <c r="T677" t="s">
        <v>31</v>
      </c>
      <c r="U677" t="s">
        <v>638</v>
      </c>
      <c r="V677" s="3">
        <v>4484.12</v>
      </c>
      <c r="W677" s="4">
        <v>4</v>
      </c>
      <c r="X677" s="2">
        <v>0.3</v>
      </c>
      <c r="Y677" s="3">
        <v>-694.64</v>
      </c>
      <c r="Z677" t="str">
        <f t="shared" si="122"/>
        <v>Normal</v>
      </c>
      <c r="AA677" t="str">
        <f t="shared" si="123"/>
        <v>High</v>
      </c>
      <c r="AB677" t="str">
        <f t="shared" si="127"/>
        <v>Loss</v>
      </c>
      <c r="AC677" s="3">
        <f t="shared" si="128"/>
        <v>-0.15491110853411594</v>
      </c>
      <c r="AD677" s="3">
        <f t="shared" si="129"/>
        <v>1121.03</v>
      </c>
      <c r="AE677" s="3">
        <f t="shared" si="130"/>
        <v>-173.66</v>
      </c>
      <c r="AF677" t="str">
        <f t="shared" si="131"/>
        <v>Regular</v>
      </c>
    </row>
    <row r="678" spans="1:32" x14ac:dyDescent="0.25">
      <c r="A678" t="s">
        <v>6392</v>
      </c>
      <c r="B678" s="1">
        <v>45253</v>
      </c>
      <c r="C678" s="1">
        <v>45259</v>
      </c>
      <c r="D678" s="4">
        <f t="shared" si="120"/>
        <v>6</v>
      </c>
      <c r="E678" s="4" t="str">
        <f>TEXT(Table1[[#This Row],[Order_Date]],"dddd")</f>
        <v>Thursday</v>
      </c>
      <c r="F678" s="4">
        <f t="shared" si="121"/>
        <v>11</v>
      </c>
      <c r="G678" t="str">
        <f t="shared" si="124"/>
        <v>November</v>
      </c>
      <c r="H678">
        <f t="shared" si="125"/>
        <v>2023</v>
      </c>
      <c r="I678" t="str">
        <f t="shared" si="126"/>
        <v>2023-Q4</v>
      </c>
      <c r="J678" t="s">
        <v>44</v>
      </c>
      <c r="K678" t="s">
        <v>6393</v>
      </c>
      <c r="L678" t="s">
        <v>6394</v>
      </c>
      <c r="M678" t="s">
        <v>47</v>
      </c>
      <c r="N678" t="s">
        <v>25</v>
      </c>
      <c r="O678" t="s">
        <v>156</v>
      </c>
      <c r="P678" t="s">
        <v>143</v>
      </c>
      <c r="Q678" t="s">
        <v>28</v>
      </c>
      <c r="R678" t="s">
        <v>6395</v>
      </c>
      <c r="S678" t="s">
        <v>30</v>
      </c>
      <c r="T678" t="s">
        <v>41</v>
      </c>
      <c r="U678" t="s">
        <v>6396</v>
      </c>
      <c r="V678" s="3">
        <v>3394.29</v>
      </c>
      <c r="W678" s="4">
        <v>3</v>
      </c>
      <c r="X678" s="2">
        <v>0</v>
      </c>
      <c r="Y678" s="3">
        <v>-584.13</v>
      </c>
      <c r="Z678" t="str">
        <f t="shared" si="122"/>
        <v>Normal</v>
      </c>
      <c r="AA678" t="str">
        <f t="shared" si="123"/>
        <v>Low</v>
      </c>
      <c r="AB678" t="str">
        <f t="shared" si="127"/>
        <v>Loss</v>
      </c>
      <c r="AC678" s="3">
        <f t="shared" si="128"/>
        <v>-0.17209195442935046</v>
      </c>
      <c r="AD678" s="3">
        <f t="shared" si="129"/>
        <v>1131.43</v>
      </c>
      <c r="AE678" s="3">
        <f t="shared" si="130"/>
        <v>-194.71</v>
      </c>
      <c r="AF678" t="str">
        <f t="shared" si="131"/>
        <v>Regular</v>
      </c>
    </row>
    <row r="679" spans="1:32" x14ac:dyDescent="0.25">
      <c r="A679" t="s">
        <v>4255</v>
      </c>
      <c r="B679" s="1">
        <v>45254</v>
      </c>
      <c r="C679" s="1">
        <v>45255</v>
      </c>
      <c r="D679" s="4">
        <f t="shared" si="120"/>
        <v>1</v>
      </c>
      <c r="E679" s="4" t="str">
        <f>TEXT(Table1[[#This Row],[Order_Date]],"dddd")</f>
        <v>Friday</v>
      </c>
      <c r="F679" s="4">
        <f t="shared" si="121"/>
        <v>11</v>
      </c>
      <c r="G679" t="str">
        <f t="shared" si="124"/>
        <v>November</v>
      </c>
      <c r="H679">
        <f t="shared" si="125"/>
        <v>2023</v>
      </c>
      <c r="I679" t="str">
        <f t="shared" si="126"/>
        <v>2023-Q4</v>
      </c>
      <c r="J679" t="s">
        <v>104</v>
      </c>
      <c r="K679" t="s">
        <v>4256</v>
      </c>
      <c r="L679" t="s">
        <v>4257</v>
      </c>
      <c r="M679" t="s">
        <v>36</v>
      </c>
      <c r="N679" t="s">
        <v>25</v>
      </c>
      <c r="O679" t="s">
        <v>156</v>
      </c>
      <c r="P679" t="s">
        <v>143</v>
      </c>
      <c r="Q679" t="s">
        <v>28</v>
      </c>
      <c r="R679" t="s">
        <v>4258</v>
      </c>
      <c r="S679" t="s">
        <v>51</v>
      </c>
      <c r="T679" t="s">
        <v>108</v>
      </c>
      <c r="U679" t="s">
        <v>4259</v>
      </c>
      <c r="V679" s="3">
        <v>769.82</v>
      </c>
      <c r="W679" s="4">
        <v>4</v>
      </c>
      <c r="X679" s="2">
        <v>0.1</v>
      </c>
      <c r="Y679" s="3">
        <v>109.9</v>
      </c>
      <c r="Z679" t="str">
        <f t="shared" si="122"/>
        <v>Normal</v>
      </c>
      <c r="AA679" t="str">
        <f t="shared" si="123"/>
        <v>Medium</v>
      </c>
      <c r="AB679" t="str">
        <f t="shared" si="127"/>
        <v>Low Profit</v>
      </c>
      <c r="AC679" s="3">
        <f t="shared" si="128"/>
        <v>0.14276064534566521</v>
      </c>
      <c r="AD679" s="3">
        <f t="shared" si="129"/>
        <v>192.45500000000001</v>
      </c>
      <c r="AE679" s="3">
        <f t="shared" si="130"/>
        <v>27.475000000000001</v>
      </c>
      <c r="AF679" t="str">
        <f t="shared" si="131"/>
        <v>Regular</v>
      </c>
    </row>
    <row r="680" spans="1:32" x14ac:dyDescent="0.25">
      <c r="A680" t="s">
        <v>2939</v>
      </c>
      <c r="B680" s="1">
        <v>45254</v>
      </c>
      <c r="C680" s="1">
        <v>45260</v>
      </c>
      <c r="D680" s="4">
        <f t="shared" si="120"/>
        <v>6</v>
      </c>
      <c r="E680" s="4" t="str">
        <f>TEXT(Table1[[#This Row],[Order_Date]],"dddd")</f>
        <v>Friday</v>
      </c>
      <c r="F680" s="4">
        <f t="shared" si="121"/>
        <v>11</v>
      </c>
      <c r="G680" t="str">
        <f t="shared" si="124"/>
        <v>November</v>
      </c>
      <c r="H680">
        <f t="shared" si="125"/>
        <v>2023</v>
      </c>
      <c r="I680" t="str">
        <f t="shared" si="126"/>
        <v>2023-Q4</v>
      </c>
      <c r="J680" t="s">
        <v>21</v>
      </c>
      <c r="K680" t="s">
        <v>2940</v>
      </c>
      <c r="L680" t="s">
        <v>2941</v>
      </c>
      <c r="M680" t="s">
        <v>47</v>
      </c>
      <c r="N680" t="s">
        <v>25</v>
      </c>
      <c r="O680" t="s">
        <v>80</v>
      </c>
      <c r="P680" t="s">
        <v>49</v>
      </c>
      <c r="Q680" t="s">
        <v>66</v>
      </c>
      <c r="R680" t="s">
        <v>2942</v>
      </c>
      <c r="S680" t="s">
        <v>51</v>
      </c>
      <c r="T680" t="s">
        <v>52</v>
      </c>
      <c r="U680" t="s">
        <v>2943</v>
      </c>
      <c r="V680" s="3">
        <v>2419.16</v>
      </c>
      <c r="W680" s="4">
        <v>9</v>
      </c>
      <c r="X680" s="2">
        <v>0.1</v>
      </c>
      <c r="Y680" s="3">
        <v>-228.54</v>
      </c>
      <c r="Z680" t="str">
        <f t="shared" si="122"/>
        <v>Normal</v>
      </c>
      <c r="AA680" t="str">
        <f t="shared" si="123"/>
        <v>Medium</v>
      </c>
      <c r="AB680" t="str">
        <f t="shared" si="127"/>
        <v>Loss</v>
      </c>
      <c r="AC680" s="3">
        <f t="shared" si="128"/>
        <v>-9.4470808049074886E-2</v>
      </c>
      <c r="AD680" s="3">
        <f t="shared" si="129"/>
        <v>268.79555555555555</v>
      </c>
      <c r="AE680" s="3">
        <f t="shared" si="130"/>
        <v>-25.393333333333331</v>
      </c>
      <c r="AF680" t="str">
        <f t="shared" si="131"/>
        <v>Regular</v>
      </c>
    </row>
    <row r="681" spans="1:32" x14ac:dyDescent="0.25">
      <c r="A681" t="s">
        <v>6180</v>
      </c>
      <c r="B681" s="1">
        <v>45254</v>
      </c>
      <c r="C681" s="1">
        <v>45260</v>
      </c>
      <c r="D681" s="4">
        <f t="shared" si="120"/>
        <v>6</v>
      </c>
      <c r="E681" s="4" t="str">
        <f>TEXT(Table1[[#This Row],[Order_Date]],"dddd")</f>
        <v>Friday</v>
      </c>
      <c r="F681" s="4">
        <f t="shared" si="121"/>
        <v>11</v>
      </c>
      <c r="G681" t="str">
        <f t="shared" si="124"/>
        <v>November</v>
      </c>
      <c r="H681">
        <f t="shared" si="125"/>
        <v>2023</v>
      </c>
      <c r="I681" t="str">
        <f t="shared" si="126"/>
        <v>2023-Q4</v>
      </c>
      <c r="J681" t="s">
        <v>44</v>
      </c>
      <c r="K681" t="s">
        <v>6181</v>
      </c>
      <c r="L681" t="s">
        <v>6182</v>
      </c>
      <c r="M681" t="s">
        <v>24</v>
      </c>
      <c r="N681" t="s">
        <v>25</v>
      </c>
      <c r="O681" t="s">
        <v>80</v>
      </c>
      <c r="P681" t="s">
        <v>49</v>
      </c>
      <c r="Q681" t="s">
        <v>66</v>
      </c>
      <c r="R681" t="s">
        <v>6183</v>
      </c>
      <c r="S681" t="s">
        <v>51</v>
      </c>
      <c r="T681" t="s">
        <v>94</v>
      </c>
      <c r="U681" t="s">
        <v>6184</v>
      </c>
      <c r="V681" s="3">
        <v>1508.56</v>
      </c>
      <c r="W681" s="4">
        <v>9</v>
      </c>
      <c r="X681" s="2">
        <v>0.3</v>
      </c>
      <c r="Y681" s="3">
        <v>282.77999999999997</v>
      </c>
      <c r="Z681" t="str">
        <f t="shared" si="122"/>
        <v>Normal</v>
      </c>
      <c r="AA681" t="str">
        <f t="shared" si="123"/>
        <v>High</v>
      </c>
      <c r="AB681" t="str">
        <f t="shared" si="127"/>
        <v>Low Profit</v>
      </c>
      <c r="AC681" s="3">
        <f t="shared" si="128"/>
        <v>0.18745028371427055</v>
      </c>
      <c r="AD681" s="3">
        <f t="shared" si="129"/>
        <v>167.61777777777777</v>
      </c>
      <c r="AE681" s="3">
        <f t="shared" si="130"/>
        <v>31.419999999999998</v>
      </c>
      <c r="AF681" t="str">
        <f t="shared" si="131"/>
        <v>Regular</v>
      </c>
    </row>
    <row r="682" spans="1:32" x14ac:dyDescent="0.25">
      <c r="A682" t="s">
        <v>7038</v>
      </c>
      <c r="B682" s="1">
        <v>45254</v>
      </c>
      <c r="C682" s="1">
        <v>45260</v>
      </c>
      <c r="D682" s="4">
        <f t="shared" si="120"/>
        <v>6</v>
      </c>
      <c r="E682" s="4" t="str">
        <f>TEXT(Table1[[#This Row],[Order_Date]],"dddd")</f>
        <v>Friday</v>
      </c>
      <c r="F682" s="4">
        <f t="shared" si="121"/>
        <v>11</v>
      </c>
      <c r="G682" t="str">
        <f t="shared" si="124"/>
        <v>November</v>
      </c>
      <c r="H682">
        <f t="shared" si="125"/>
        <v>2023</v>
      </c>
      <c r="I682" t="str">
        <f t="shared" si="126"/>
        <v>2023-Q4</v>
      </c>
      <c r="J682" t="s">
        <v>55</v>
      </c>
      <c r="K682" t="s">
        <v>7039</v>
      </c>
      <c r="L682" t="s">
        <v>7040</v>
      </c>
      <c r="M682" t="s">
        <v>36</v>
      </c>
      <c r="N682" t="s">
        <v>25</v>
      </c>
      <c r="O682" t="s">
        <v>162</v>
      </c>
      <c r="P682" t="s">
        <v>163</v>
      </c>
      <c r="Q682" t="s">
        <v>66</v>
      </c>
      <c r="R682" t="s">
        <v>7041</v>
      </c>
      <c r="S682" t="s">
        <v>30</v>
      </c>
      <c r="T682" t="s">
        <v>31</v>
      </c>
      <c r="U682" t="s">
        <v>7042</v>
      </c>
      <c r="V682" s="3">
        <v>3633.73</v>
      </c>
      <c r="W682" s="4">
        <v>9</v>
      </c>
      <c r="X682" s="2">
        <v>0.3</v>
      </c>
      <c r="Y682" s="3">
        <v>-119.69</v>
      </c>
      <c r="Z682" t="str">
        <f t="shared" si="122"/>
        <v>Normal</v>
      </c>
      <c r="AA682" t="str">
        <f t="shared" si="123"/>
        <v>High</v>
      </c>
      <c r="AB682" t="str">
        <f t="shared" si="127"/>
        <v>Loss</v>
      </c>
      <c r="AC682" s="3">
        <f t="shared" si="128"/>
        <v>-3.2938605785239959E-2</v>
      </c>
      <c r="AD682" s="3">
        <f t="shared" si="129"/>
        <v>403.7477777777778</v>
      </c>
      <c r="AE682" s="3">
        <f t="shared" si="130"/>
        <v>-13.298888888888889</v>
      </c>
      <c r="AF682" t="str">
        <f t="shared" si="131"/>
        <v>Regular</v>
      </c>
    </row>
    <row r="683" spans="1:32" x14ac:dyDescent="0.25">
      <c r="A683" t="s">
        <v>4436</v>
      </c>
      <c r="B683" s="1">
        <v>45255</v>
      </c>
      <c r="C683" s="1">
        <v>45257</v>
      </c>
      <c r="D683" s="4">
        <f t="shared" si="120"/>
        <v>2</v>
      </c>
      <c r="E683" s="4" t="str">
        <f>TEXT(Table1[[#This Row],[Order_Date]],"dddd")</f>
        <v>Saturday</v>
      </c>
      <c r="F683" s="4">
        <f t="shared" si="121"/>
        <v>11</v>
      </c>
      <c r="G683" t="str">
        <f t="shared" si="124"/>
        <v>November</v>
      </c>
      <c r="H683">
        <f t="shared" si="125"/>
        <v>2023</v>
      </c>
      <c r="I683" t="str">
        <f t="shared" si="126"/>
        <v>2023-Q4</v>
      </c>
      <c r="J683" t="s">
        <v>44</v>
      </c>
      <c r="K683" t="s">
        <v>4437</v>
      </c>
      <c r="L683" t="s">
        <v>4438</v>
      </c>
      <c r="M683" t="s">
        <v>24</v>
      </c>
      <c r="N683" t="s">
        <v>25</v>
      </c>
      <c r="O683" t="s">
        <v>511</v>
      </c>
      <c r="P683" t="s">
        <v>120</v>
      </c>
      <c r="Q683" t="s">
        <v>87</v>
      </c>
      <c r="R683" t="s">
        <v>4439</v>
      </c>
      <c r="S683" t="s">
        <v>30</v>
      </c>
      <c r="T683" t="s">
        <v>68</v>
      </c>
      <c r="U683" t="s">
        <v>4440</v>
      </c>
      <c r="V683" s="3">
        <v>598.19000000000005</v>
      </c>
      <c r="W683" s="4">
        <v>7</v>
      </c>
      <c r="X683" s="2">
        <v>0.1</v>
      </c>
      <c r="Y683" s="3">
        <v>-15.53</v>
      </c>
      <c r="Z683" t="str">
        <f t="shared" si="122"/>
        <v>Normal</v>
      </c>
      <c r="AA683" t="str">
        <f t="shared" si="123"/>
        <v>Medium</v>
      </c>
      <c r="AB683" t="str">
        <f t="shared" si="127"/>
        <v>Loss</v>
      </c>
      <c r="AC683" s="3">
        <f t="shared" si="128"/>
        <v>-2.5961650980457711E-2</v>
      </c>
      <c r="AD683" s="3">
        <f t="shared" si="129"/>
        <v>85.455714285714294</v>
      </c>
      <c r="AE683" s="3">
        <f t="shared" si="130"/>
        <v>-2.2185714285714284</v>
      </c>
      <c r="AF683" t="str">
        <f t="shared" si="131"/>
        <v>Regular</v>
      </c>
    </row>
    <row r="684" spans="1:32" x14ac:dyDescent="0.25">
      <c r="A684" t="s">
        <v>6856</v>
      </c>
      <c r="B684" s="1">
        <v>45255</v>
      </c>
      <c r="C684" s="1">
        <v>45260</v>
      </c>
      <c r="D684" s="4">
        <f t="shared" si="120"/>
        <v>5</v>
      </c>
      <c r="E684" s="4" t="str">
        <f>TEXT(Table1[[#This Row],[Order_Date]],"dddd")</f>
        <v>Saturday</v>
      </c>
      <c r="F684" s="4">
        <f t="shared" si="121"/>
        <v>11</v>
      </c>
      <c r="G684" t="str">
        <f t="shared" si="124"/>
        <v>November</v>
      </c>
      <c r="H684">
        <f t="shared" si="125"/>
        <v>2023</v>
      </c>
      <c r="I684" t="str">
        <f t="shared" si="126"/>
        <v>2023-Q4</v>
      </c>
      <c r="J684" t="s">
        <v>44</v>
      </c>
      <c r="K684" t="s">
        <v>6857</v>
      </c>
      <c r="L684" t="s">
        <v>6858</v>
      </c>
      <c r="M684" t="s">
        <v>36</v>
      </c>
      <c r="N684" t="s">
        <v>25</v>
      </c>
      <c r="O684" t="s">
        <v>65</v>
      </c>
      <c r="P684" t="s">
        <v>27</v>
      </c>
      <c r="Q684" t="s">
        <v>28</v>
      </c>
      <c r="R684" t="s">
        <v>6859</v>
      </c>
      <c r="S684" t="s">
        <v>51</v>
      </c>
      <c r="T684" t="s">
        <v>127</v>
      </c>
      <c r="U684" t="s">
        <v>6860</v>
      </c>
      <c r="V684" s="3">
        <v>1725.46</v>
      </c>
      <c r="W684" s="4">
        <v>2</v>
      </c>
      <c r="X684" s="2">
        <v>0</v>
      </c>
      <c r="Y684" s="3">
        <v>-223.46</v>
      </c>
      <c r="Z684" t="str">
        <f t="shared" si="122"/>
        <v>Normal</v>
      </c>
      <c r="AA684" t="str">
        <f t="shared" si="123"/>
        <v>Low</v>
      </c>
      <c r="AB684" t="str">
        <f t="shared" si="127"/>
        <v>Loss</v>
      </c>
      <c r="AC684" s="3">
        <f t="shared" si="128"/>
        <v>-0.12950749365386621</v>
      </c>
      <c r="AD684" s="3">
        <f t="shared" si="129"/>
        <v>862.73</v>
      </c>
      <c r="AE684" s="3">
        <f t="shared" si="130"/>
        <v>-111.73</v>
      </c>
      <c r="AF684" t="str">
        <f t="shared" si="131"/>
        <v>Regular</v>
      </c>
    </row>
    <row r="685" spans="1:32" x14ac:dyDescent="0.25">
      <c r="A685" t="s">
        <v>2671</v>
      </c>
      <c r="B685" s="1">
        <v>45255</v>
      </c>
      <c r="C685" s="1">
        <v>45263</v>
      </c>
      <c r="D685" s="4">
        <f t="shared" si="120"/>
        <v>8</v>
      </c>
      <c r="E685" s="4" t="str">
        <f>TEXT(Table1[[#This Row],[Order_Date]],"dddd")</f>
        <v>Saturday</v>
      </c>
      <c r="F685" s="4">
        <f t="shared" si="121"/>
        <v>11</v>
      </c>
      <c r="G685" t="str">
        <f t="shared" si="124"/>
        <v>November</v>
      </c>
      <c r="H685">
        <f t="shared" si="125"/>
        <v>2023</v>
      </c>
      <c r="I685" t="str">
        <f t="shared" si="126"/>
        <v>2023-Q4</v>
      </c>
      <c r="J685" t="s">
        <v>55</v>
      </c>
      <c r="K685" t="s">
        <v>2672</v>
      </c>
      <c r="L685" t="s">
        <v>2673</v>
      </c>
      <c r="M685" t="s">
        <v>36</v>
      </c>
      <c r="N685" t="s">
        <v>25</v>
      </c>
      <c r="O685" t="s">
        <v>113</v>
      </c>
      <c r="P685" t="s">
        <v>113</v>
      </c>
      <c r="Q685" t="s">
        <v>28</v>
      </c>
      <c r="R685" t="s">
        <v>2674</v>
      </c>
      <c r="S685" t="s">
        <v>51</v>
      </c>
      <c r="T685" t="s">
        <v>127</v>
      </c>
      <c r="U685" t="s">
        <v>2675</v>
      </c>
      <c r="V685" s="3">
        <v>414.98</v>
      </c>
      <c r="W685" s="4">
        <v>6</v>
      </c>
      <c r="X685" s="2">
        <v>0</v>
      </c>
      <c r="Y685" s="3">
        <v>19.18</v>
      </c>
      <c r="Z685" t="str">
        <f t="shared" si="122"/>
        <v>Normal</v>
      </c>
      <c r="AA685" t="str">
        <f t="shared" si="123"/>
        <v>Low</v>
      </c>
      <c r="AB685" t="str">
        <f t="shared" si="127"/>
        <v>Low Profit</v>
      </c>
      <c r="AC685" s="3">
        <f t="shared" si="128"/>
        <v>4.6219094896139568E-2</v>
      </c>
      <c r="AD685" s="3">
        <f t="shared" si="129"/>
        <v>69.163333333333341</v>
      </c>
      <c r="AE685" s="3">
        <f t="shared" si="130"/>
        <v>3.1966666666666668</v>
      </c>
      <c r="AF685" t="str">
        <f t="shared" si="131"/>
        <v>Regular</v>
      </c>
    </row>
    <row r="686" spans="1:32" x14ac:dyDescent="0.25">
      <c r="A686" t="s">
        <v>3367</v>
      </c>
      <c r="B686" s="1">
        <v>45256</v>
      </c>
      <c r="C686" s="1">
        <v>45266</v>
      </c>
      <c r="D686" s="4">
        <f t="shared" si="120"/>
        <v>10</v>
      </c>
      <c r="E686" s="4" t="str">
        <f>TEXT(Table1[[#This Row],[Order_Date]],"dddd")</f>
        <v>Sunday</v>
      </c>
      <c r="F686" s="4">
        <f t="shared" si="121"/>
        <v>11</v>
      </c>
      <c r="G686" t="str">
        <f t="shared" si="124"/>
        <v>November</v>
      </c>
      <c r="H686">
        <f t="shared" si="125"/>
        <v>2023</v>
      </c>
      <c r="I686" t="str">
        <f t="shared" si="126"/>
        <v>2023-Q4</v>
      </c>
      <c r="J686" t="s">
        <v>21</v>
      </c>
      <c r="K686" t="s">
        <v>3368</v>
      </c>
      <c r="L686" t="s">
        <v>3369</v>
      </c>
      <c r="M686" t="s">
        <v>24</v>
      </c>
      <c r="N686" t="s">
        <v>25</v>
      </c>
      <c r="O686" t="s">
        <v>451</v>
      </c>
      <c r="P686" t="s">
        <v>38</v>
      </c>
      <c r="Q686" t="s">
        <v>39</v>
      </c>
      <c r="R686" t="s">
        <v>3370</v>
      </c>
      <c r="S686" t="s">
        <v>30</v>
      </c>
      <c r="T686" t="s">
        <v>68</v>
      </c>
      <c r="U686" t="s">
        <v>3371</v>
      </c>
      <c r="V686" s="3">
        <v>3256.63</v>
      </c>
      <c r="W686" s="4">
        <v>5</v>
      </c>
      <c r="X686" s="2">
        <v>0.4</v>
      </c>
      <c r="Y686" s="3">
        <v>-482.58</v>
      </c>
      <c r="Z686" t="str">
        <f t="shared" si="122"/>
        <v>Normal</v>
      </c>
      <c r="AA686" t="str">
        <f t="shared" si="123"/>
        <v>High</v>
      </c>
      <c r="AB686" t="str">
        <f t="shared" si="127"/>
        <v>Loss</v>
      </c>
      <c r="AC686" s="3">
        <f t="shared" si="128"/>
        <v>-0.14818385877425436</v>
      </c>
      <c r="AD686" s="3">
        <f t="shared" si="129"/>
        <v>651.32600000000002</v>
      </c>
      <c r="AE686" s="3">
        <f t="shared" si="130"/>
        <v>-96.515999999999991</v>
      </c>
      <c r="AF686" t="str">
        <f t="shared" si="131"/>
        <v>Regular</v>
      </c>
    </row>
    <row r="687" spans="1:32" x14ac:dyDescent="0.25">
      <c r="A687" t="s">
        <v>1770</v>
      </c>
      <c r="B687" s="1">
        <v>45257</v>
      </c>
      <c r="C687" s="1">
        <v>45264</v>
      </c>
      <c r="D687" s="4">
        <f t="shared" si="120"/>
        <v>7</v>
      </c>
      <c r="E687" s="4" t="str">
        <f>TEXT(Table1[[#This Row],[Order_Date]],"dddd")</f>
        <v>Monday</v>
      </c>
      <c r="F687" s="4">
        <f t="shared" si="121"/>
        <v>11</v>
      </c>
      <c r="G687" t="str">
        <f t="shared" si="124"/>
        <v>November</v>
      </c>
      <c r="H687">
        <f t="shared" si="125"/>
        <v>2023</v>
      </c>
      <c r="I687" t="str">
        <f t="shared" si="126"/>
        <v>2023-Q4</v>
      </c>
      <c r="J687" t="s">
        <v>104</v>
      </c>
      <c r="K687" t="s">
        <v>1771</v>
      </c>
      <c r="L687" t="s">
        <v>1772</v>
      </c>
      <c r="M687" t="s">
        <v>47</v>
      </c>
      <c r="N687" t="s">
        <v>25</v>
      </c>
      <c r="O687" t="s">
        <v>156</v>
      </c>
      <c r="P687" t="s">
        <v>143</v>
      </c>
      <c r="Q687" t="s">
        <v>87</v>
      </c>
      <c r="R687" t="s">
        <v>1773</v>
      </c>
      <c r="S687" t="s">
        <v>59</v>
      </c>
      <c r="T687" t="s">
        <v>303</v>
      </c>
      <c r="U687" t="s">
        <v>1774</v>
      </c>
      <c r="V687" s="3">
        <v>3023.37</v>
      </c>
      <c r="W687" s="4">
        <v>9</v>
      </c>
      <c r="X687" s="2">
        <v>0.2</v>
      </c>
      <c r="Y687" s="3">
        <v>-2.56</v>
      </c>
      <c r="Z687" t="str">
        <f t="shared" si="122"/>
        <v>Normal</v>
      </c>
      <c r="AA687" t="str">
        <f t="shared" si="123"/>
        <v>High</v>
      </c>
      <c r="AB687" t="str">
        <f t="shared" si="127"/>
        <v>Loss</v>
      </c>
      <c r="AC687" s="3">
        <f t="shared" si="128"/>
        <v>-8.4673725015462886E-4</v>
      </c>
      <c r="AD687" s="3">
        <f t="shared" si="129"/>
        <v>335.93</v>
      </c>
      <c r="AE687" s="3">
        <f t="shared" si="130"/>
        <v>-0.28444444444444444</v>
      </c>
      <c r="AF687" t="str">
        <f t="shared" si="131"/>
        <v>Regular</v>
      </c>
    </row>
    <row r="688" spans="1:32" x14ac:dyDescent="0.25">
      <c r="A688" t="s">
        <v>2632</v>
      </c>
      <c r="B688" s="1">
        <v>45258</v>
      </c>
      <c r="C688" s="1">
        <v>45264</v>
      </c>
      <c r="D688" s="4">
        <f t="shared" si="120"/>
        <v>6</v>
      </c>
      <c r="E688" s="4" t="str">
        <f>TEXT(Table1[[#This Row],[Order_Date]],"dddd")</f>
        <v>Tuesday</v>
      </c>
      <c r="F688" s="4">
        <f t="shared" si="121"/>
        <v>11</v>
      </c>
      <c r="G688" t="str">
        <f t="shared" si="124"/>
        <v>November</v>
      </c>
      <c r="H688">
        <f t="shared" si="125"/>
        <v>2023</v>
      </c>
      <c r="I688" t="str">
        <f t="shared" si="126"/>
        <v>2023-Q4</v>
      </c>
      <c r="J688" t="s">
        <v>104</v>
      </c>
      <c r="K688" t="s">
        <v>2633</v>
      </c>
      <c r="L688" t="s">
        <v>2634</v>
      </c>
      <c r="M688" t="s">
        <v>24</v>
      </c>
      <c r="N688" t="s">
        <v>25</v>
      </c>
      <c r="O688" t="s">
        <v>201</v>
      </c>
      <c r="P688" t="s">
        <v>113</v>
      </c>
      <c r="Q688" t="s">
        <v>66</v>
      </c>
      <c r="R688" t="s">
        <v>2635</v>
      </c>
      <c r="S688" t="s">
        <v>30</v>
      </c>
      <c r="T688" t="s">
        <v>68</v>
      </c>
      <c r="U688" t="s">
        <v>2636</v>
      </c>
      <c r="V688" s="3">
        <v>4730.75</v>
      </c>
      <c r="W688" s="4">
        <v>4</v>
      </c>
      <c r="X688" s="2">
        <v>0</v>
      </c>
      <c r="Y688" s="3">
        <v>-907.38</v>
      </c>
      <c r="Z688" t="str">
        <f t="shared" si="122"/>
        <v>Outlier</v>
      </c>
      <c r="AA688" t="str">
        <f t="shared" si="123"/>
        <v>Low</v>
      </c>
      <c r="AB688" t="str">
        <f t="shared" si="127"/>
        <v>Loss</v>
      </c>
      <c r="AC688" s="3">
        <f t="shared" si="128"/>
        <v>-0.1918046821328542</v>
      </c>
      <c r="AD688" s="3">
        <f t="shared" si="129"/>
        <v>1182.6875</v>
      </c>
      <c r="AE688" s="3">
        <f t="shared" si="130"/>
        <v>-226.845</v>
      </c>
      <c r="AF688" t="str">
        <f t="shared" si="131"/>
        <v>Regular</v>
      </c>
    </row>
    <row r="689" spans="1:32" x14ac:dyDescent="0.25">
      <c r="A689" t="s">
        <v>7009</v>
      </c>
      <c r="B689" s="1">
        <v>45258</v>
      </c>
      <c r="C689" s="1">
        <v>45259</v>
      </c>
      <c r="D689" s="4">
        <f t="shared" si="120"/>
        <v>1</v>
      </c>
      <c r="E689" s="4" t="str">
        <f>TEXT(Table1[[#This Row],[Order_Date]],"dddd")</f>
        <v>Tuesday</v>
      </c>
      <c r="F689" s="4">
        <f t="shared" si="121"/>
        <v>11</v>
      </c>
      <c r="G689" t="str">
        <f t="shared" si="124"/>
        <v>November</v>
      </c>
      <c r="H689">
        <f t="shared" si="125"/>
        <v>2023</v>
      </c>
      <c r="I689" t="str">
        <f t="shared" si="126"/>
        <v>2023-Q4</v>
      </c>
      <c r="J689" t="s">
        <v>55</v>
      </c>
      <c r="K689" t="s">
        <v>7010</v>
      </c>
      <c r="L689" t="s">
        <v>7011</v>
      </c>
      <c r="M689" t="s">
        <v>47</v>
      </c>
      <c r="N689" t="s">
        <v>25</v>
      </c>
      <c r="O689" t="s">
        <v>156</v>
      </c>
      <c r="P689" t="s">
        <v>143</v>
      </c>
      <c r="Q689" t="s">
        <v>66</v>
      </c>
      <c r="R689" t="s">
        <v>7012</v>
      </c>
      <c r="S689" t="s">
        <v>51</v>
      </c>
      <c r="T689" t="s">
        <v>127</v>
      </c>
      <c r="U689" t="s">
        <v>7013</v>
      </c>
      <c r="V689" s="3">
        <v>190.03</v>
      </c>
      <c r="W689" s="4">
        <v>3</v>
      </c>
      <c r="X689" s="2">
        <v>0.2</v>
      </c>
      <c r="Y689" s="3">
        <v>-35.770000000000003</v>
      </c>
      <c r="Z689" t="str">
        <f t="shared" si="122"/>
        <v>Normal</v>
      </c>
      <c r="AA689" t="str">
        <f t="shared" si="123"/>
        <v>High</v>
      </c>
      <c r="AB689" t="str">
        <f t="shared" si="127"/>
        <v>Loss</v>
      </c>
      <c r="AC689" s="3">
        <f t="shared" si="128"/>
        <v>-0.18823343682576438</v>
      </c>
      <c r="AD689" s="3">
        <f t="shared" si="129"/>
        <v>63.343333333333334</v>
      </c>
      <c r="AE689" s="3">
        <f t="shared" si="130"/>
        <v>-11.923333333333334</v>
      </c>
      <c r="AF689" t="str">
        <f t="shared" si="131"/>
        <v>Regular</v>
      </c>
    </row>
    <row r="690" spans="1:32" x14ac:dyDescent="0.25">
      <c r="A690" t="s">
        <v>5792</v>
      </c>
      <c r="B690" s="1">
        <v>45258</v>
      </c>
      <c r="C690" s="1">
        <v>45266</v>
      </c>
      <c r="D690" s="4">
        <f t="shared" si="120"/>
        <v>8</v>
      </c>
      <c r="E690" s="4" t="str">
        <f>TEXT(Table1[[#This Row],[Order_Date]],"dddd")</f>
        <v>Tuesday</v>
      </c>
      <c r="F690" s="4">
        <f t="shared" si="121"/>
        <v>11</v>
      </c>
      <c r="G690" t="str">
        <f t="shared" si="124"/>
        <v>November</v>
      </c>
      <c r="H690">
        <f t="shared" si="125"/>
        <v>2023</v>
      </c>
      <c r="I690" t="str">
        <f t="shared" si="126"/>
        <v>2023-Q4</v>
      </c>
      <c r="J690" t="s">
        <v>104</v>
      </c>
      <c r="K690" t="s">
        <v>5793</v>
      </c>
      <c r="L690" t="s">
        <v>5794</v>
      </c>
      <c r="M690" t="s">
        <v>47</v>
      </c>
      <c r="N690" t="s">
        <v>25</v>
      </c>
      <c r="O690" t="s">
        <v>37</v>
      </c>
      <c r="P690" t="s">
        <v>38</v>
      </c>
      <c r="Q690" t="s">
        <v>66</v>
      </c>
      <c r="R690" t="s">
        <v>5795</v>
      </c>
      <c r="S690" t="s">
        <v>30</v>
      </c>
      <c r="T690" t="s">
        <v>31</v>
      </c>
      <c r="U690" t="s">
        <v>5796</v>
      </c>
      <c r="V690" s="3">
        <v>1879.89</v>
      </c>
      <c r="W690" s="4">
        <v>9</v>
      </c>
      <c r="X690" s="2">
        <v>0.3</v>
      </c>
      <c r="Y690" s="3">
        <v>0.23</v>
      </c>
      <c r="Z690" t="str">
        <f t="shared" si="122"/>
        <v>Normal</v>
      </c>
      <c r="AA690" t="str">
        <f t="shared" si="123"/>
        <v>High</v>
      </c>
      <c r="AB690" t="str">
        <f t="shared" si="127"/>
        <v>Low Profit</v>
      </c>
      <c r="AC690" s="3">
        <f t="shared" si="128"/>
        <v>1.2234758416715871E-4</v>
      </c>
      <c r="AD690" s="3">
        <f t="shared" si="129"/>
        <v>208.87666666666667</v>
      </c>
      <c r="AE690" s="3">
        <f t="shared" si="130"/>
        <v>2.5555555555555557E-2</v>
      </c>
      <c r="AF690" t="str">
        <f t="shared" si="131"/>
        <v>Regular</v>
      </c>
    </row>
    <row r="691" spans="1:32" x14ac:dyDescent="0.25">
      <c r="A691" t="s">
        <v>1603</v>
      </c>
      <c r="B691" s="1">
        <v>45258</v>
      </c>
      <c r="C691" s="1">
        <v>45264</v>
      </c>
      <c r="D691" s="4">
        <f t="shared" si="120"/>
        <v>6</v>
      </c>
      <c r="E691" s="4" t="str">
        <f>TEXT(Table1[[#This Row],[Order_Date]],"dddd")</f>
        <v>Tuesday</v>
      </c>
      <c r="F691" s="4">
        <f t="shared" si="121"/>
        <v>11</v>
      </c>
      <c r="G691" t="str">
        <f t="shared" si="124"/>
        <v>November</v>
      </c>
      <c r="H691">
        <f t="shared" si="125"/>
        <v>2023</v>
      </c>
      <c r="I691" t="str">
        <f t="shared" si="126"/>
        <v>2023-Q4</v>
      </c>
      <c r="J691" t="s">
        <v>55</v>
      </c>
      <c r="K691" t="s">
        <v>1604</v>
      </c>
      <c r="L691" t="s">
        <v>1605</v>
      </c>
      <c r="M691" t="s">
        <v>36</v>
      </c>
      <c r="N691" t="s">
        <v>25</v>
      </c>
      <c r="O691" t="s">
        <v>162</v>
      </c>
      <c r="P691" t="s">
        <v>163</v>
      </c>
      <c r="Q691" t="s">
        <v>66</v>
      </c>
      <c r="R691" t="s">
        <v>1606</v>
      </c>
      <c r="S691" t="s">
        <v>59</v>
      </c>
      <c r="T691" t="s">
        <v>60</v>
      </c>
      <c r="U691" t="s">
        <v>1607</v>
      </c>
      <c r="V691" s="3">
        <v>4728.82</v>
      </c>
      <c r="W691" s="4">
        <v>5</v>
      </c>
      <c r="X691" s="2">
        <v>0.4</v>
      </c>
      <c r="Y691" s="3">
        <v>356.74</v>
      </c>
      <c r="Z691" t="str">
        <f t="shared" si="122"/>
        <v>Normal</v>
      </c>
      <c r="AA691" t="str">
        <f t="shared" si="123"/>
        <v>High</v>
      </c>
      <c r="AB691" t="str">
        <f t="shared" si="127"/>
        <v>Low Profit</v>
      </c>
      <c r="AC691" s="3">
        <f t="shared" si="128"/>
        <v>7.5439538827868274E-2</v>
      </c>
      <c r="AD691" s="3">
        <f t="shared" si="129"/>
        <v>945.7639999999999</v>
      </c>
      <c r="AE691" s="3">
        <f t="shared" si="130"/>
        <v>71.347999999999999</v>
      </c>
      <c r="AF691" t="str">
        <f t="shared" si="131"/>
        <v>Regular</v>
      </c>
    </row>
    <row r="692" spans="1:32" x14ac:dyDescent="0.25">
      <c r="A692" t="s">
        <v>6723</v>
      </c>
      <c r="B692" s="1">
        <v>45258</v>
      </c>
      <c r="C692" s="1">
        <v>45265</v>
      </c>
      <c r="D692" s="4">
        <f t="shared" si="120"/>
        <v>7</v>
      </c>
      <c r="E692" s="4" t="str">
        <f>TEXT(Table1[[#This Row],[Order_Date]],"dddd")</f>
        <v>Tuesday</v>
      </c>
      <c r="F692" s="4">
        <f t="shared" si="121"/>
        <v>11</v>
      </c>
      <c r="G692" t="str">
        <f t="shared" si="124"/>
        <v>November</v>
      </c>
      <c r="H692">
        <f t="shared" si="125"/>
        <v>2023</v>
      </c>
      <c r="I692" t="str">
        <f t="shared" si="126"/>
        <v>2023-Q4</v>
      </c>
      <c r="J692" t="s">
        <v>55</v>
      </c>
      <c r="K692" t="s">
        <v>6724</v>
      </c>
      <c r="L692" t="s">
        <v>6725</v>
      </c>
      <c r="M692" t="s">
        <v>47</v>
      </c>
      <c r="N692" t="s">
        <v>25</v>
      </c>
      <c r="O692" t="s">
        <v>162</v>
      </c>
      <c r="P692" t="s">
        <v>163</v>
      </c>
      <c r="Q692" t="s">
        <v>28</v>
      </c>
      <c r="R692" t="s">
        <v>6726</v>
      </c>
      <c r="S692" t="s">
        <v>30</v>
      </c>
      <c r="T692" t="s">
        <v>68</v>
      </c>
      <c r="U692" t="s">
        <v>6727</v>
      </c>
      <c r="V692" s="3">
        <v>937.65</v>
      </c>
      <c r="W692" s="4">
        <v>3</v>
      </c>
      <c r="X692" s="2">
        <v>0.3</v>
      </c>
      <c r="Y692" s="3">
        <v>99.14</v>
      </c>
      <c r="Z692" t="str">
        <f t="shared" si="122"/>
        <v>Normal</v>
      </c>
      <c r="AA692" t="str">
        <f t="shared" si="123"/>
        <v>High</v>
      </c>
      <c r="AB692" t="str">
        <f t="shared" si="127"/>
        <v>Low Profit</v>
      </c>
      <c r="AC692" s="3">
        <f t="shared" si="128"/>
        <v>0.10573241614674986</v>
      </c>
      <c r="AD692" s="3">
        <f t="shared" si="129"/>
        <v>312.55</v>
      </c>
      <c r="AE692" s="3">
        <f t="shared" si="130"/>
        <v>33.046666666666667</v>
      </c>
      <c r="AF692" t="str">
        <f t="shared" si="131"/>
        <v>Regular</v>
      </c>
    </row>
    <row r="693" spans="1:32" x14ac:dyDescent="0.25">
      <c r="A693" t="s">
        <v>1136</v>
      </c>
      <c r="B693" s="1">
        <v>45259</v>
      </c>
      <c r="C693" s="1">
        <v>45266</v>
      </c>
      <c r="D693" s="4">
        <f t="shared" si="120"/>
        <v>7</v>
      </c>
      <c r="E693" s="4" t="str">
        <f>TEXT(Table1[[#This Row],[Order_Date]],"dddd")</f>
        <v>Wednesday</v>
      </c>
      <c r="F693" s="4">
        <f t="shared" si="121"/>
        <v>11</v>
      </c>
      <c r="G693" t="str">
        <f t="shared" si="124"/>
        <v>November</v>
      </c>
      <c r="H693">
        <f t="shared" si="125"/>
        <v>2023</v>
      </c>
      <c r="I693" t="str">
        <f t="shared" si="126"/>
        <v>2023-Q4</v>
      </c>
      <c r="J693" t="s">
        <v>55</v>
      </c>
      <c r="K693" t="s">
        <v>1137</v>
      </c>
      <c r="L693" t="s">
        <v>1138</v>
      </c>
      <c r="M693" t="s">
        <v>36</v>
      </c>
      <c r="N693" t="s">
        <v>25</v>
      </c>
      <c r="O693" t="s">
        <v>233</v>
      </c>
      <c r="P693" t="s">
        <v>163</v>
      </c>
      <c r="Q693" t="s">
        <v>87</v>
      </c>
      <c r="R693" t="s">
        <v>1139</v>
      </c>
      <c r="S693" t="s">
        <v>30</v>
      </c>
      <c r="T693" t="s">
        <v>82</v>
      </c>
      <c r="U693" t="s">
        <v>1140</v>
      </c>
      <c r="V693" s="3">
        <v>578.71</v>
      </c>
      <c r="W693" s="4">
        <v>4</v>
      </c>
      <c r="X693" s="2">
        <v>0</v>
      </c>
      <c r="Y693" s="3">
        <v>46.87</v>
      </c>
      <c r="Z693" t="str">
        <f t="shared" si="122"/>
        <v>Normal</v>
      </c>
      <c r="AA693" t="str">
        <f t="shared" si="123"/>
        <v>Low</v>
      </c>
      <c r="AB693" t="str">
        <f t="shared" si="127"/>
        <v>Low Profit</v>
      </c>
      <c r="AC693" s="3">
        <f t="shared" si="128"/>
        <v>8.0990478823590395E-2</v>
      </c>
      <c r="AD693" s="3">
        <f t="shared" si="129"/>
        <v>144.67750000000001</v>
      </c>
      <c r="AE693" s="3">
        <f t="shared" si="130"/>
        <v>11.717499999999999</v>
      </c>
      <c r="AF693" t="str">
        <f t="shared" si="131"/>
        <v>Regular</v>
      </c>
    </row>
    <row r="694" spans="1:32" x14ac:dyDescent="0.25">
      <c r="A694" t="s">
        <v>6353</v>
      </c>
      <c r="B694" s="1">
        <v>45259</v>
      </c>
      <c r="C694" s="1">
        <v>45266</v>
      </c>
      <c r="D694" s="4">
        <f t="shared" si="120"/>
        <v>7</v>
      </c>
      <c r="E694" s="4" t="str">
        <f>TEXT(Table1[[#This Row],[Order_Date]],"dddd")</f>
        <v>Wednesday</v>
      </c>
      <c r="F694" s="4">
        <f t="shared" si="121"/>
        <v>11</v>
      </c>
      <c r="G694" t="str">
        <f t="shared" si="124"/>
        <v>November</v>
      </c>
      <c r="H694">
        <f t="shared" si="125"/>
        <v>2023</v>
      </c>
      <c r="I694" t="str">
        <f t="shared" si="126"/>
        <v>2023-Q4</v>
      </c>
      <c r="J694" t="s">
        <v>44</v>
      </c>
      <c r="K694" t="s">
        <v>6354</v>
      </c>
      <c r="L694" t="s">
        <v>6355</v>
      </c>
      <c r="M694" t="s">
        <v>47</v>
      </c>
      <c r="N694" t="s">
        <v>25</v>
      </c>
      <c r="O694" t="s">
        <v>244</v>
      </c>
      <c r="P694" t="s">
        <v>163</v>
      </c>
      <c r="Q694" t="s">
        <v>87</v>
      </c>
      <c r="R694" t="s">
        <v>6356</v>
      </c>
      <c r="S694" t="s">
        <v>59</v>
      </c>
      <c r="T694" t="s">
        <v>60</v>
      </c>
      <c r="U694" t="s">
        <v>6357</v>
      </c>
      <c r="V694" s="3">
        <v>2389.9899999999998</v>
      </c>
      <c r="W694" s="4">
        <v>5</v>
      </c>
      <c r="X694" s="2">
        <v>0.1</v>
      </c>
      <c r="Y694" s="3">
        <v>706.22</v>
      </c>
      <c r="Z694" t="str">
        <f t="shared" si="122"/>
        <v>Normal</v>
      </c>
      <c r="AA694" t="str">
        <f t="shared" si="123"/>
        <v>Medium</v>
      </c>
      <c r="AB694" t="str">
        <f t="shared" si="127"/>
        <v>High Profit</v>
      </c>
      <c r="AC694" s="3">
        <f t="shared" si="128"/>
        <v>0.295490776112034</v>
      </c>
      <c r="AD694" s="3">
        <f t="shared" si="129"/>
        <v>477.99799999999993</v>
      </c>
      <c r="AE694" s="3">
        <f t="shared" si="130"/>
        <v>141.244</v>
      </c>
      <c r="AF694" t="str">
        <f t="shared" si="131"/>
        <v>Regular</v>
      </c>
    </row>
    <row r="695" spans="1:32" x14ac:dyDescent="0.25">
      <c r="A695" t="s">
        <v>823</v>
      </c>
      <c r="B695" s="1">
        <v>45259</v>
      </c>
      <c r="C695" s="1">
        <v>45262</v>
      </c>
      <c r="D695" s="4">
        <f t="shared" si="120"/>
        <v>3</v>
      </c>
      <c r="E695" s="4" t="str">
        <f>TEXT(Table1[[#This Row],[Order_Date]],"dddd")</f>
        <v>Wednesday</v>
      </c>
      <c r="F695" s="4">
        <f t="shared" si="121"/>
        <v>11</v>
      </c>
      <c r="G695" t="str">
        <f t="shared" si="124"/>
        <v>November</v>
      </c>
      <c r="H695">
        <f t="shared" si="125"/>
        <v>2023</v>
      </c>
      <c r="I695" t="str">
        <f t="shared" si="126"/>
        <v>2023-Q4</v>
      </c>
      <c r="J695" t="s">
        <v>44</v>
      </c>
      <c r="K695" t="s">
        <v>824</v>
      </c>
      <c r="L695" t="s">
        <v>825</v>
      </c>
      <c r="M695" t="s">
        <v>36</v>
      </c>
      <c r="N695" t="s">
        <v>25</v>
      </c>
      <c r="O695" t="s">
        <v>149</v>
      </c>
      <c r="P695" t="s">
        <v>113</v>
      </c>
      <c r="Q695" t="s">
        <v>39</v>
      </c>
      <c r="R695" t="s">
        <v>826</v>
      </c>
      <c r="S695" t="s">
        <v>59</v>
      </c>
      <c r="T695" t="s">
        <v>60</v>
      </c>
      <c r="U695" t="s">
        <v>827</v>
      </c>
      <c r="V695" s="3">
        <v>3227.86</v>
      </c>
      <c r="W695" s="4">
        <v>5</v>
      </c>
      <c r="X695" s="2">
        <v>0.1</v>
      </c>
      <c r="Y695" s="3">
        <v>55.96</v>
      </c>
      <c r="Z695" t="str">
        <f t="shared" si="122"/>
        <v>Normal</v>
      </c>
      <c r="AA695" t="str">
        <f t="shared" si="123"/>
        <v>Medium</v>
      </c>
      <c r="AB695" t="str">
        <f t="shared" si="127"/>
        <v>Low Profit</v>
      </c>
      <c r="AC695" s="3">
        <f t="shared" si="128"/>
        <v>1.7336563543648112E-2</v>
      </c>
      <c r="AD695" s="3">
        <f t="shared" si="129"/>
        <v>645.572</v>
      </c>
      <c r="AE695" s="3">
        <f t="shared" si="130"/>
        <v>11.192</v>
      </c>
      <c r="AF695" t="str">
        <f t="shared" si="131"/>
        <v>Regular</v>
      </c>
    </row>
    <row r="696" spans="1:32" x14ac:dyDescent="0.25">
      <c r="A696" t="s">
        <v>7156</v>
      </c>
      <c r="B696" s="1">
        <v>45260</v>
      </c>
      <c r="C696" s="1">
        <v>45264</v>
      </c>
      <c r="D696" s="4">
        <f t="shared" si="120"/>
        <v>4</v>
      </c>
      <c r="E696" s="4" t="str">
        <f>TEXT(Table1[[#This Row],[Order_Date]],"dddd")</f>
        <v>Thursday</v>
      </c>
      <c r="F696" s="4">
        <f t="shared" si="121"/>
        <v>11</v>
      </c>
      <c r="G696" t="str">
        <f t="shared" si="124"/>
        <v>November</v>
      </c>
      <c r="H696">
        <f t="shared" si="125"/>
        <v>2023</v>
      </c>
      <c r="I696" t="str">
        <f t="shared" si="126"/>
        <v>2023-Q4</v>
      </c>
      <c r="J696" t="s">
        <v>21</v>
      </c>
      <c r="K696" t="s">
        <v>7157</v>
      </c>
      <c r="L696" t="s">
        <v>7158</v>
      </c>
      <c r="M696" t="s">
        <v>47</v>
      </c>
      <c r="N696" t="s">
        <v>25</v>
      </c>
      <c r="O696" t="s">
        <v>37</v>
      </c>
      <c r="P696" t="s">
        <v>38</v>
      </c>
      <c r="Q696" t="s">
        <v>39</v>
      </c>
      <c r="R696" t="s">
        <v>7159</v>
      </c>
      <c r="S696" t="s">
        <v>59</v>
      </c>
      <c r="T696" t="s">
        <v>60</v>
      </c>
      <c r="U696" t="s">
        <v>7160</v>
      </c>
      <c r="V696" s="3">
        <v>2578.2600000000002</v>
      </c>
      <c r="W696" s="4">
        <v>8</v>
      </c>
      <c r="X696" s="2">
        <v>0.2</v>
      </c>
      <c r="Y696" s="3">
        <v>395.56</v>
      </c>
      <c r="Z696" t="str">
        <f t="shared" si="122"/>
        <v>Normal</v>
      </c>
      <c r="AA696" t="str">
        <f t="shared" si="123"/>
        <v>High</v>
      </c>
      <c r="AB696" t="str">
        <f t="shared" si="127"/>
        <v>Low Profit</v>
      </c>
      <c r="AC696" s="3">
        <f t="shared" si="128"/>
        <v>0.15342129963618872</v>
      </c>
      <c r="AD696" s="3">
        <f t="shared" si="129"/>
        <v>322.28250000000003</v>
      </c>
      <c r="AE696" s="3">
        <f t="shared" si="130"/>
        <v>49.445</v>
      </c>
      <c r="AF696" t="str">
        <f t="shared" si="131"/>
        <v>Regular</v>
      </c>
    </row>
    <row r="697" spans="1:32" x14ac:dyDescent="0.25">
      <c r="A697" t="s">
        <v>2369</v>
      </c>
      <c r="B697" s="1">
        <v>45261</v>
      </c>
      <c r="C697" s="1">
        <v>45271</v>
      </c>
      <c r="D697" s="4">
        <f t="shared" si="120"/>
        <v>10</v>
      </c>
      <c r="E697" s="4" t="str">
        <f>TEXT(Table1[[#This Row],[Order_Date]],"dddd")</f>
        <v>Friday</v>
      </c>
      <c r="F697" s="4">
        <f t="shared" si="121"/>
        <v>12</v>
      </c>
      <c r="G697" t="str">
        <f t="shared" si="124"/>
        <v>December</v>
      </c>
      <c r="H697">
        <f t="shared" si="125"/>
        <v>2023</v>
      </c>
      <c r="I697" t="str">
        <f t="shared" si="126"/>
        <v>2023-Q4</v>
      </c>
      <c r="J697" t="s">
        <v>55</v>
      </c>
      <c r="K697" t="s">
        <v>2370</v>
      </c>
      <c r="L697" t="s">
        <v>2371</v>
      </c>
      <c r="M697" t="s">
        <v>24</v>
      </c>
      <c r="N697" t="s">
        <v>25</v>
      </c>
      <c r="O697" t="s">
        <v>179</v>
      </c>
      <c r="P697" t="s">
        <v>27</v>
      </c>
      <c r="Q697" t="s">
        <v>39</v>
      </c>
      <c r="R697" t="s">
        <v>2372</v>
      </c>
      <c r="S697" t="s">
        <v>30</v>
      </c>
      <c r="T697" t="s">
        <v>68</v>
      </c>
      <c r="U697" t="s">
        <v>2373</v>
      </c>
      <c r="V697" s="3">
        <v>4396.6000000000004</v>
      </c>
      <c r="W697" s="4">
        <v>2</v>
      </c>
      <c r="X697" s="2">
        <v>0.1</v>
      </c>
      <c r="Y697" s="3">
        <v>-813.41</v>
      </c>
      <c r="Z697" t="str">
        <f t="shared" si="122"/>
        <v>Outlier</v>
      </c>
      <c r="AA697" t="str">
        <f t="shared" si="123"/>
        <v>Medium</v>
      </c>
      <c r="AB697" t="str">
        <f t="shared" si="127"/>
        <v>Loss</v>
      </c>
      <c r="AC697" s="3">
        <f t="shared" si="128"/>
        <v>-0.18500887049083381</v>
      </c>
      <c r="AD697" s="3">
        <f t="shared" si="129"/>
        <v>2198.3000000000002</v>
      </c>
      <c r="AE697" s="3">
        <f t="shared" si="130"/>
        <v>-406.70499999999998</v>
      </c>
      <c r="AF697" t="str">
        <f t="shared" si="131"/>
        <v>Regular</v>
      </c>
    </row>
    <row r="698" spans="1:32" x14ac:dyDescent="0.25">
      <c r="A698" t="s">
        <v>5618</v>
      </c>
      <c r="B698" s="1">
        <v>45261</v>
      </c>
      <c r="C698" s="1">
        <v>45266</v>
      </c>
      <c r="D698" s="4">
        <f t="shared" si="120"/>
        <v>5</v>
      </c>
      <c r="E698" s="4" t="str">
        <f>TEXT(Table1[[#This Row],[Order_Date]],"dddd")</f>
        <v>Friday</v>
      </c>
      <c r="F698" s="4">
        <f t="shared" si="121"/>
        <v>12</v>
      </c>
      <c r="G698" t="str">
        <f t="shared" si="124"/>
        <v>December</v>
      </c>
      <c r="H698">
        <f t="shared" si="125"/>
        <v>2023</v>
      </c>
      <c r="I698" t="str">
        <f t="shared" si="126"/>
        <v>2023-Q4</v>
      </c>
      <c r="J698" t="s">
        <v>21</v>
      </c>
      <c r="K698" t="s">
        <v>5619</v>
      </c>
      <c r="L698" t="s">
        <v>5620</v>
      </c>
      <c r="M698" t="s">
        <v>24</v>
      </c>
      <c r="N698" t="s">
        <v>25</v>
      </c>
      <c r="O698" t="s">
        <v>162</v>
      </c>
      <c r="P698" t="s">
        <v>163</v>
      </c>
      <c r="Q698" t="s">
        <v>66</v>
      </c>
      <c r="R698" t="s">
        <v>5621</v>
      </c>
      <c r="S698" t="s">
        <v>51</v>
      </c>
      <c r="T698" t="s">
        <v>94</v>
      </c>
      <c r="U698" t="s">
        <v>5622</v>
      </c>
      <c r="V698" s="3">
        <v>4285.79</v>
      </c>
      <c r="W698" s="4">
        <v>10</v>
      </c>
      <c r="X698" s="2">
        <v>0.1</v>
      </c>
      <c r="Y698" s="3">
        <v>181.02</v>
      </c>
      <c r="Z698" t="str">
        <f t="shared" si="122"/>
        <v>Normal</v>
      </c>
      <c r="AA698" t="str">
        <f t="shared" si="123"/>
        <v>Medium</v>
      </c>
      <c r="AB698" t="str">
        <f t="shared" si="127"/>
        <v>Low Profit</v>
      </c>
      <c r="AC698" s="3">
        <f t="shared" si="128"/>
        <v>4.2237253808516055E-2</v>
      </c>
      <c r="AD698" s="3">
        <f t="shared" si="129"/>
        <v>428.57900000000001</v>
      </c>
      <c r="AE698" s="3">
        <f t="shared" si="130"/>
        <v>18.102</v>
      </c>
      <c r="AF698" t="str">
        <f t="shared" si="131"/>
        <v>Regular</v>
      </c>
    </row>
    <row r="699" spans="1:32" x14ac:dyDescent="0.25">
      <c r="A699" t="s">
        <v>1509</v>
      </c>
      <c r="B699" s="1">
        <v>45261</v>
      </c>
      <c r="C699" s="1">
        <v>45263</v>
      </c>
      <c r="D699" s="4">
        <f t="shared" si="120"/>
        <v>2</v>
      </c>
      <c r="E699" s="4" t="str">
        <f>TEXT(Table1[[#This Row],[Order_Date]],"dddd")</f>
        <v>Friday</v>
      </c>
      <c r="F699" s="4">
        <f t="shared" si="121"/>
        <v>12</v>
      </c>
      <c r="G699" t="str">
        <f t="shared" si="124"/>
        <v>December</v>
      </c>
      <c r="H699">
        <f t="shared" si="125"/>
        <v>2023</v>
      </c>
      <c r="I699" t="str">
        <f t="shared" si="126"/>
        <v>2023-Q4</v>
      </c>
      <c r="J699" t="s">
        <v>21</v>
      </c>
      <c r="K699" t="s">
        <v>1510</v>
      </c>
      <c r="L699" t="s">
        <v>1511</v>
      </c>
      <c r="M699" t="s">
        <v>24</v>
      </c>
      <c r="N699" t="s">
        <v>25</v>
      </c>
      <c r="O699" t="s">
        <v>611</v>
      </c>
      <c r="P699" t="s">
        <v>74</v>
      </c>
      <c r="Q699" t="s">
        <v>87</v>
      </c>
      <c r="R699" t="s">
        <v>1512</v>
      </c>
      <c r="S699" t="s">
        <v>59</v>
      </c>
      <c r="T699" t="s">
        <v>101</v>
      </c>
      <c r="U699" t="s">
        <v>1513</v>
      </c>
      <c r="V699" s="3">
        <v>4109.62</v>
      </c>
      <c r="W699" s="4">
        <v>6</v>
      </c>
      <c r="X699" s="2">
        <v>0.3</v>
      </c>
      <c r="Y699" s="3">
        <v>-43.27</v>
      </c>
      <c r="Z699" t="str">
        <f t="shared" si="122"/>
        <v>Normal</v>
      </c>
      <c r="AA699" t="str">
        <f t="shared" si="123"/>
        <v>High</v>
      </c>
      <c r="AB699" t="str">
        <f t="shared" si="127"/>
        <v>Loss</v>
      </c>
      <c r="AC699" s="3">
        <f t="shared" si="128"/>
        <v>-1.0528954015213086E-2</v>
      </c>
      <c r="AD699" s="3">
        <f t="shared" si="129"/>
        <v>684.93666666666661</v>
      </c>
      <c r="AE699" s="3">
        <f t="shared" si="130"/>
        <v>-7.2116666666666669</v>
      </c>
      <c r="AF699" t="str">
        <f t="shared" si="131"/>
        <v>Regular</v>
      </c>
    </row>
    <row r="700" spans="1:32" x14ac:dyDescent="0.25">
      <c r="A700" t="s">
        <v>5942</v>
      </c>
      <c r="B700" s="1">
        <v>45262</v>
      </c>
      <c r="C700" s="1">
        <v>45263</v>
      </c>
      <c r="D700" s="4">
        <f t="shared" si="120"/>
        <v>1</v>
      </c>
      <c r="E700" s="4" t="str">
        <f>TEXT(Table1[[#This Row],[Order_Date]],"dddd")</f>
        <v>Saturday</v>
      </c>
      <c r="F700" s="4">
        <f t="shared" si="121"/>
        <v>12</v>
      </c>
      <c r="G700" t="str">
        <f t="shared" si="124"/>
        <v>December</v>
      </c>
      <c r="H700">
        <f t="shared" si="125"/>
        <v>2023</v>
      </c>
      <c r="I700" t="str">
        <f t="shared" si="126"/>
        <v>2023-Q4</v>
      </c>
      <c r="J700" t="s">
        <v>104</v>
      </c>
      <c r="K700" t="s">
        <v>5943</v>
      </c>
      <c r="L700" t="s">
        <v>805</v>
      </c>
      <c r="M700" t="s">
        <v>36</v>
      </c>
      <c r="N700" t="s">
        <v>25</v>
      </c>
      <c r="O700" t="s">
        <v>190</v>
      </c>
      <c r="P700" t="s">
        <v>120</v>
      </c>
      <c r="Q700" t="s">
        <v>28</v>
      </c>
      <c r="R700" t="s">
        <v>5944</v>
      </c>
      <c r="S700" t="s">
        <v>51</v>
      </c>
      <c r="T700" t="s">
        <v>108</v>
      </c>
      <c r="U700" t="s">
        <v>5945</v>
      </c>
      <c r="V700" s="3">
        <v>1967.1</v>
      </c>
      <c r="W700" s="4">
        <v>8</v>
      </c>
      <c r="X700" s="2">
        <v>0.2</v>
      </c>
      <c r="Y700" s="3">
        <v>-108.26</v>
      </c>
      <c r="Z700" t="str">
        <f t="shared" si="122"/>
        <v>Normal</v>
      </c>
      <c r="AA700" t="str">
        <f t="shared" si="123"/>
        <v>High</v>
      </c>
      <c r="AB700" t="str">
        <f t="shared" si="127"/>
        <v>Loss</v>
      </c>
      <c r="AC700" s="3">
        <f t="shared" si="128"/>
        <v>-5.5035331198210566E-2</v>
      </c>
      <c r="AD700" s="3">
        <f t="shared" si="129"/>
        <v>245.88749999999999</v>
      </c>
      <c r="AE700" s="3">
        <f t="shared" si="130"/>
        <v>-13.532500000000001</v>
      </c>
      <c r="AF700" t="str">
        <f t="shared" si="131"/>
        <v>Regular</v>
      </c>
    </row>
    <row r="701" spans="1:32" x14ac:dyDescent="0.25">
      <c r="A701" t="s">
        <v>3751</v>
      </c>
      <c r="B701" s="1">
        <v>45263</v>
      </c>
      <c r="C701" s="1">
        <v>45273</v>
      </c>
      <c r="D701" s="4">
        <f t="shared" si="120"/>
        <v>10</v>
      </c>
      <c r="E701" s="4" t="str">
        <f>TEXT(Table1[[#This Row],[Order_Date]],"dddd")</f>
        <v>Sunday</v>
      </c>
      <c r="F701" s="4">
        <f t="shared" si="121"/>
        <v>12</v>
      </c>
      <c r="G701" t="str">
        <f t="shared" si="124"/>
        <v>December</v>
      </c>
      <c r="H701">
        <f t="shared" si="125"/>
        <v>2023</v>
      </c>
      <c r="I701" t="str">
        <f t="shared" si="126"/>
        <v>2023-Q4</v>
      </c>
      <c r="J701" t="s">
        <v>44</v>
      </c>
      <c r="K701" t="s">
        <v>3752</v>
      </c>
      <c r="L701" t="s">
        <v>3753</v>
      </c>
      <c r="M701" t="s">
        <v>36</v>
      </c>
      <c r="N701" t="s">
        <v>25</v>
      </c>
      <c r="O701" t="s">
        <v>201</v>
      </c>
      <c r="P701" t="s">
        <v>113</v>
      </c>
      <c r="Q701" t="s">
        <v>87</v>
      </c>
      <c r="R701" t="s">
        <v>3754</v>
      </c>
      <c r="S701" t="s">
        <v>51</v>
      </c>
      <c r="T701" t="s">
        <v>151</v>
      </c>
      <c r="U701" t="s">
        <v>3755</v>
      </c>
      <c r="V701" s="3">
        <v>1090.05</v>
      </c>
      <c r="W701" s="4">
        <v>7</v>
      </c>
      <c r="X701" s="2">
        <v>0.1</v>
      </c>
      <c r="Y701" s="3">
        <v>283.20999999999998</v>
      </c>
      <c r="Z701" t="str">
        <f t="shared" si="122"/>
        <v>Normal</v>
      </c>
      <c r="AA701" t="str">
        <f t="shared" si="123"/>
        <v>Medium</v>
      </c>
      <c r="AB701" t="str">
        <f t="shared" si="127"/>
        <v>Low Profit</v>
      </c>
      <c r="AC701" s="3">
        <f t="shared" si="128"/>
        <v>0.25981377001054995</v>
      </c>
      <c r="AD701" s="3">
        <f t="shared" si="129"/>
        <v>155.72142857142856</v>
      </c>
      <c r="AE701" s="3">
        <f t="shared" si="130"/>
        <v>40.458571428571425</v>
      </c>
      <c r="AF701" t="str">
        <f t="shared" si="131"/>
        <v>Regular</v>
      </c>
    </row>
    <row r="702" spans="1:32" x14ac:dyDescent="0.25">
      <c r="A702" t="s">
        <v>5874</v>
      </c>
      <c r="B702" s="1">
        <v>45263</v>
      </c>
      <c r="C702" s="1">
        <v>45268</v>
      </c>
      <c r="D702" s="4">
        <f t="shared" si="120"/>
        <v>5</v>
      </c>
      <c r="E702" s="4" t="str">
        <f>TEXT(Table1[[#This Row],[Order_Date]],"dddd")</f>
        <v>Sunday</v>
      </c>
      <c r="F702" s="4">
        <f t="shared" si="121"/>
        <v>12</v>
      </c>
      <c r="G702" t="str">
        <f t="shared" si="124"/>
        <v>December</v>
      </c>
      <c r="H702">
        <f t="shared" si="125"/>
        <v>2023</v>
      </c>
      <c r="I702" t="str">
        <f t="shared" si="126"/>
        <v>2023-Q4</v>
      </c>
      <c r="J702" t="s">
        <v>44</v>
      </c>
      <c r="K702" t="s">
        <v>5875</v>
      </c>
      <c r="L702" t="s">
        <v>5876</v>
      </c>
      <c r="M702" t="s">
        <v>24</v>
      </c>
      <c r="N702" t="s">
        <v>25</v>
      </c>
      <c r="O702" t="s">
        <v>179</v>
      </c>
      <c r="P702" t="s">
        <v>27</v>
      </c>
      <c r="Q702" t="s">
        <v>28</v>
      </c>
      <c r="R702" t="s">
        <v>5877</v>
      </c>
      <c r="S702" t="s">
        <v>59</v>
      </c>
      <c r="T702" t="s">
        <v>101</v>
      </c>
      <c r="U702" t="s">
        <v>5878</v>
      </c>
      <c r="V702" s="3">
        <v>4051.96</v>
      </c>
      <c r="W702" s="4">
        <v>5</v>
      </c>
      <c r="X702" s="2">
        <v>0.3</v>
      </c>
      <c r="Y702" s="3">
        <v>1168.48</v>
      </c>
      <c r="Z702" t="str">
        <f t="shared" si="122"/>
        <v>Outlier</v>
      </c>
      <c r="AA702" t="str">
        <f t="shared" si="123"/>
        <v>High</v>
      </c>
      <c r="AB702" t="str">
        <f t="shared" si="127"/>
        <v>High Profit</v>
      </c>
      <c r="AC702" s="3">
        <f t="shared" si="128"/>
        <v>0.28837402146121877</v>
      </c>
      <c r="AD702" s="3">
        <f t="shared" si="129"/>
        <v>810.39200000000005</v>
      </c>
      <c r="AE702" s="3">
        <f t="shared" si="130"/>
        <v>233.696</v>
      </c>
      <c r="AF702" t="str">
        <f t="shared" si="131"/>
        <v>Regular</v>
      </c>
    </row>
    <row r="703" spans="1:32" x14ac:dyDescent="0.25">
      <c r="A703" t="s">
        <v>3396</v>
      </c>
      <c r="B703" s="1">
        <v>45263</v>
      </c>
      <c r="C703" s="1">
        <v>45265</v>
      </c>
      <c r="D703" s="4">
        <f t="shared" si="120"/>
        <v>2</v>
      </c>
      <c r="E703" s="4" t="str">
        <f>TEXT(Table1[[#This Row],[Order_Date]],"dddd")</f>
        <v>Sunday</v>
      </c>
      <c r="F703" s="4">
        <f t="shared" si="121"/>
        <v>12</v>
      </c>
      <c r="G703" t="str">
        <f t="shared" si="124"/>
        <v>December</v>
      </c>
      <c r="H703">
        <f t="shared" si="125"/>
        <v>2023</v>
      </c>
      <c r="I703" t="str">
        <f t="shared" si="126"/>
        <v>2023-Q4</v>
      </c>
      <c r="J703" t="s">
        <v>104</v>
      </c>
      <c r="K703" t="s">
        <v>3397</v>
      </c>
      <c r="L703" t="s">
        <v>3398</v>
      </c>
      <c r="M703" t="s">
        <v>24</v>
      </c>
      <c r="N703" t="s">
        <v>25</v>
      </c>
      <c r="O703" t="s">
        <v>142</v>
      </c>
      <c r="P703" t="s">
        <v>143</v>
      </c>
      <c r="Q703" t="s">
        <v>87</v>
      </c>
      <c r="R703" t="s">
        <v>3399</v>
      </c>
      <c r="S703" t="s">
        <v>30</v>
      </c>
      <c r="T703" t="s">
        <v>41</v>
      </c>
      <c r="U703" t="s">
        <v>3400</v>
      </c>
      <c r="V703" s="3">
        <v>1999.21</v>
      </c>
      <c r="W703" s="4">
        <v>2</v>
      </c>
      <c r="X703" s="2">
        <v>0.3</v>
      </c>
      <c r="Y703" s="3">
        <v>-238.03</v>
      </c>
      <c r="Z703" t="str">
        <f t="shared" si="122"/>
        <v>Normal</v>
      </c>
      <c r="AA703" t="str">
        <f t="shared" si="123"/>
        <v>High</v>
      </c>
      <c r="AB703" t="str">
        <f t="shared" si="127"/>
        <v>Loss</v>
      </c>
      <c r="AC703" s="3">
        <f t="shared" si="128"/>
        <v>-0.11906202950165315</v>
      </c>
      <c r="AD703" s="3">
        <f t="shared" si="129"/>
        <v>999.60500000000002</v>
      </c>
      <c r="AE703" s="3">
        <f t="shared" si="130"/>
        <v>-119.015</v>
      </c>
      <c r="AF703" t="str">
        <f t="shared" si="131"/>
        <v>Regular</v>
      </c>
    </row>
    <row r="704" spans="1:32" x14ac:dyDescent="0.25">
      <c r="A704" t="s">
        <v>5212</v>
      </c>
      <c r="B704" s="1">
        <v>45263</v>
      </c>
      <c r="C704" s="1">
        <v>45267</v>
      </c>
      <c r="D704" s="4">
        <f t="shared" si="120"/>
        <v>4</v>
      </c>
      <c r="E704" s="4" t="str">
        <f>TEXT(Table1[[#This Row],[Order_Date]],"dddd")</f>
        <v>Sunday</v>
      </c>
      <c r="F704" s="4">
        <f t="shared" si="121"/>
        <v>12</v>
      </c>
      <c r="G704" t="str">
        <f t="shared" si="124"/>
        <v>December</v>
      </c>
      <c r="H704">
        <f t="shared" si="125"/>
        <v>2023</v>
      </c>
      <c r="I704" t="str">
        <f t="shared" si="126"/>
        <v>2023-Q4</v>
      </c>
      <c r="J704" t="s">
        <v>104</v>
      </c>
      <c r="K704" t="s">
        <v>5213</v>
      </c>
      <c r="L704" t="s">
        <v>5214</v>
      </c>
      <c r="M704" t="s">
        <v>24</v>
      </c>
      <c r="N704" t="s">
        <v>25</v>
      </c>
      <c r="O704" t="s">
        <v>113</v>
      </c>
      <c r="P704" t="s">
        <v>113</v>
      </c>
      <c r="Q704" t="s">
        <v>28</v>
      </c>
      <c r="R704" t="s">
        <v>5215</v>
      </c>
      <c r="S704" t="s">
        <v>30</v>
      </c>
      <c r="T704" t="s">
        <v>31</v>
      </c>
      <c r="U704" t="s">
        <v>5216</v>
      </c>
      <c r="V704" s="3">
        <v>826.7</v>
      </c>
      <c r="W704" s="4">
        <v>7</v>
      </c>
      <c r="X704" s="2">
        <v>0.3</v>
      </c>
      <c r="Y704" s="3">
        <v>-44.3</v>
      </c>
      <c r="Z704" t="str">
        <f t="shared" si="122"/>
        <v>Normal</v>
      </c>
      <c r="AA704" t="str">
        <f t="shared" si="123"/>
        <v>High</v>
      </c>
      <c r="AB704" t="str">
        <f t="shared" si="127"/>
        <v>Loss</v>
      </c>
      <c r="AC704" s="3">
        <f t="shared" si="128"/>
        <v>-5.3586548929478645E-2</v>
      </c>
      <c r="AD704" s="3">
        <f t="shared" si="129"/>
        <v>118.10000000000001</v>
      </c>
      <c r="AE704" s="3">
        <f t="shared" si="130"/>
        <v>-6.3285714285714283</v>
      </c>
      <c r="AF704" t="str">
        <f t="shared" si="131"/>
        <v>Regular</v>
      </c>
    </row>
    <row r="705" spans="1:32" x14ac:dyDescent="0.25">
      <c r="A705" t="s">
        <v>4721</v>
      </c>
      <c r="B705" s="1">
        <v>45263</v>
      </c>
      <c r="C705" s="1">
        <v>45267</v>
      </c>
      <c r="D705" s="4">
        <f t="shared" si="120"/>
        <v>4</v>
      </c>
      <c r="E705" s="4" t="str">
        <f>TEXT(Table1[[#This Row],[Order_Date]],"dddd")</f>
        <v>Sunday</v>
      </c>
      <c r="F705" s="4">
        <f t="shared" si="121"/>
        <v>12</v>
      </c>
      <c r="G705" t="str">
        <f t="shared" si="124"/>
        <v>December</v>
      </c>
      <c r="H705">
        <f t="shared" si="125"/>
        <v>2023</v>
      </c>
      <c r="I705" t="str">
        <f t="shared" si="126"/>
        <v>2023-Q4</v>
      </c>
      <c r="J705" t="s">
        <v>55</v>
      </c>
      <c r="K705" t="s">
        <v>7402</v>
      </c>
      <c r="L705" t="s">
        <v>4722</v>
      </c>
      <c r="M705" t="s">
        <v>36</v>
      </c>
      <c r="N705" t="s">
        <v>25</v>
      </c>
      <c r="O705" t="s">
        <v>162</v>
      </c>
      <c r="P705" t="s">
        <v>163</v>
      </c>
      <c r="Q705" t="s">
        <v>28</v>
      </c>
      <c r="R705" t="s">
        <v>4723</v>
      </c>
      <c r="S705" t="s">
        <v>59</v>
      </c>
      <c r="T705" t="s">
        <v>277</v>
      </c>
      <c r="U705" t="s">
        <v>4724</v>
      </c>
      <c r="V705" s="3">
        <v>657.4</v>
      </c>
      <c r="W705" s="4">
        <v>8</v>
      </c>
      <c r="X705" s="2">
        <v>0.4</v>
      </c>
      <c r="Y705" s="3">
        <v>166.72</v>
      </c>
      <c r="Z705" t="str">
        <f t="shared" si="122"/>
        <v>Normal</v>
      </c>
      <c r="AA705" t="str">
        <f t="shared" si="123"/>
        <v>High</v>
      </c>
      <c r="AB705" t="str">
        <f t="shared" si="127"/>
        <v>Low Profit</v>
      </c>
      <c r="AC705" s="3">
        <f t="shared" si="128"/>
        <v>0.25360511104350475</v>
      </c>
      <c r="AD705" s="3">
        <f t="shared" si="129"/>
        <v>82.174999999999997</v>
      </c>
      <c r="AE705" s="3">
        <f t="shared" si="130"/>
        <v>20.84</v>
      </c>
      <c r="AF705" t="str">
        <f t="shared" si="131"/>
        <v>Regular</v>
      </c>
    </row>
    <row r="706" spans="1:32" x14ac:dyDescent="0.25">
      <c r="A706" t="s">
        <v>2795</v>
      </c>
      <c r="B706" s="1">
        <v>45264</v>
      </c>
      <c r="C706" s="1">
        <v>45270</v>
      </c>
      <c r="D706" s="4">
        <f t="shared" ref="D706:D769" si="132">C706-B706</f>
        <v>6</v>
      </c>
      <c r="E706" s="4" t="str">
        <f>TEXT(Table1[[#This Row],[Order_Date]],"dddd")</f>
        <v>Monday</v>
      </c>
      <c r="F706" s="4">
        <f t="shared" ref="F706:F769" si="133">MONTH(B706)</f>
        <v>12</v>
      </c>
      <c r="G706" t="str">
        <f t="shared" si="124"/>
        <v>December</v>
      </c>
      <c r="H706">
        <f t="shared" si="125"/>
        <v>2023</v>
      </c>
      <c r="I706" t="str">
        <f t="shared" si="126"/>
        <v>2023-Q4</v>
      </c>
      <c r="J706" t="s">
        <v>21</v>
      </c>
      <c r="K706" t="s">
        <v>2796</v>
      </c>
      <c r="L706" t="s">
        <v>2797</v>
      </c>
      <c r="M706" t="s">
        <v>24</v>
      </c>
      <c r="N706" t="s">
        <v>25</v>
      </c>
      <c r="O706" t="s">
        <v>255</v>
      </c>
      <c r="P706" t="s">
        <v>143</v>
      </c>
      <c r="Q706" t="s">
        <v>39</v>
      </c>
      <c r="R706" t="s">
        <v>2798</v>
      </c>
      <c r="S706" t="s">
        <v>59</v>
      </c>
      <c r="T706" t="s">
        <v>60</v>
      </c>
      <c r="U706" t="s">
        <v>2799</v>
      </c>
      <c r="V706" s="3">
        <v>3149.32</v>
      </c>
      <c r="W706" s="4">
        <v>5</v>
      </c>
      <c r="X706" s="2">
        <v>0.2</v>
      </c>
      <c r="Y706" s="3">
        <v>306.17</v>
      </c>
      <c r="Z706" t="str">
        <f t="shared" ref="Z706:Z769" si="134">IF(OR(Y706&lt;-800.884,Y706&gt;1030.126),"Outlier","Normal")</f>
        <v>Normal</v>
      </c>
      <c r="AA706" t="str">
        <f t="shared" ref="AA706:AA769" si="135">IF(X706&lt;10%,"Low",IF(X706&lt;0.2,"Medium","High"))</f>
        <v>High</v>
      </c>
      <c r="AB706" t="str">
        <f t="shared" si="127"/>
        <v>Low Profit</v>
      </c>
      <c r="AC706" s="3">
        <f t="shared" si="128"/>
        <v>9.721781209911981E-2</v>
      </c>
      <c r="AD706" s="3">
        <f t="shared" si="129"/>
        <v>629.86400000000003</v>
      </c>
      <c r="AE706" s="3">
        <f t="shared" si="130"/>
        <v>61.234000000000002</v>
      </c>
      <c r="AF706" t="str">
        <f t="shared" si="131"/>
        <v>Regular</v>
      </c>
    </row>
    <row r="707" spans="1:32" x14ac:dyDescent="0.25">
      <c r="A707" t="s">
        <v>2899</v>
      </c>
      <c r="B707" s="1">
        <v>45264</v>
      </c>
      <c r="C707" s="1">
        <v>45268</v>
      </c>
      <c r="D707" s="4">
        <f t="shared" si="132"/>
        <v>4</v>
      </c>
      <c r="E707" s="4" t="str">
        <f>TEXT(Table1[[#This Row],[Order_Date]],"dddd")</f>
        <v>Monday</v>
      </c>
      <c r="F707" s="4">
        <f t="shared" si="133"/>
        <v>12</v>
      </c>
      <c r="G707" t="str">
        <f t="shared" ref="G707:G770" si="136">TEXT(B707,"mmmm")</f>
        <v>December</v>
      </c>
      <c r="H707">
        <f t="shared" ref="H707:H770" si="137">YEAR(B707)</f>
        <v>2023</v>
      </c>
      <c r="I707" t="str">
        <f t="shared" ref="I707:I770" si="138">H707 &amp; "-Q" &amp; INT((MONTH(B707)+2)/3)</f>
        <v>2023-Q4</v>
      </c>
      <c r="J707" t="s">
        <v>55</v>
      </c>
      <c r="K707" t="s">
        <v>2900</v>
      </c>
      <c r="L707" t="s">
        <v>2901</v>
      </c>
      <c r="M707" t="s">
        <v>36</v>
      </c>
      <c r="N707" t="s">
        <v>25</v>
      </c>
      <c r="O707" t="s">
        <v>73</v>
      </c>
      <c r="P707" t="s">
        <v>74</v>
      </c>
      <c r="Q707" t="s">
        <v>87</v>
      </c>
      <c r="R707" t="s">
        <v>2902</v>
      </c>
      <c r="S707" t="s">
        <v>51</v>
      </c>
      <c r="T707" t="s">
        <v>151</v>
      </c>
      <c r="U707" t="s">
        <v>2903</v>
      </c>
      <c r="V707" s="3">
        <v>3489.93</v>
      </c>
      <c r="W707" s="4">
        <v>9</v>
      </c>
      <c r="X707" s="2">
        <v>0.2</v>
      </c>
      <c r="Y707" s="3">
        <v>22.07</v>
      </c>
      <c r="Z707" t="str">
        <f t="shared" si="134"/>
        <v>Normal</v>
      </c>
      <c r="AA707" t="str">
        <f t="shared" si="135"/>
        <v>High</v>
      </c>
      <c r="AB707" t="str">
        <f t="shared" ref="AB707:AB770" si="139">IF(Y707&lt;0, "Loss", IF(Y707&lt;500,"Low Profit", "High Profit"))</f>
        <v>Low Profit</v>
      </c>
      <c r="AC707" s="3">
        <f t="shared" ref="AC707:AC770" si="140">Y707/V707</f>
        <v>6.3239090755401973E-3</v>
      </c>
      <c r="AD707" s="3">
        <f t="shared" ref="AD707:AD770" si="141">V707/W707</f>
        <v>387.77</v>
      </c>
      <c r="AE707" s="3">
        <f t="shared" ref="AE707:AE770" si="142">Y707/W707</f>
        <v>2.4522222222222223</v>
      </c>
      <c r="AF707" t="str">
        <f t="shared" ref="AF707:AF770" si="143">IF(V707&gt;5000,"High value", "Regular")</f>
        <v>Regular</v>
      </c>
    </row>
    <row r="708" spans="1:32" x14ac:dyDescent="0.25">
      <c r="A708" t="s">
        <v>3663</v>
      </c>
      <c r="B708" s="1">
        <v>45264</v>
      </c>
      <c r="C708" s="1">
        <v>45271</v>
      </c>
      <c r="D708" s="4">
        <f t="shared" si="132"/>
        <v>7</v>
      </c>
      <c r="E708" s="4" t="str">
        <f>TEXT(Table1[[#This Row],[Order_Date]],"dddd")</f>
        <v>Monday</v>
      </c>
      <c r="F708" s="4">
        <f t="shared" si="133"/>
        <v>12</v>
      </c>
      <c r="G708" t="str">
        <f t="shared" si="136"/>
        <v>December</v>
      </c>
      <c r="H708">
        <f t="shared" si="137"/>
        <v>2023</v>
      </c>
      <c r="I708" t="str">
        <f t="shared" si="138"/>
        <v>2023-Q4</v>
      </c>
      <c r="J708" t="s">
        <v>21</v>
      </c>
      <c r="K708" t="s">
        <v>3664</v>
      </c>
      <c r="L708" t="s">
        <v>3665</v>
      </c>
      <c r="M708" t="s">
        <v>47</v>
      </c>
      <c r="N708" t="s">
        <v>25</v>
      </c>
      <c r="O708" t="s">
        <v>162</v>
      </c>
      <c r="P708" t="s">
        <v>163</v>
      </c>
      <c r="Q708" t="s">
        <v>39</v>
      </c>
      <c r="R708" t="s">
        <v>3666</v>
      </c>
      <c r="S708" t="s">
        <v>30</v>
      </c>
      <c r="T708" t="s">
        <v>31</v>
      </c>
      <c r="U708" t="s">
        <v>3667</v>
      </c>
      <c r="V708" s="3">
        <v>4224.18</v>
      </c>
      <c r="W708" s="4">
        <v>8</v>
      </c>
      <c r="X708" s="2">
        <v>0.4</v>
      </c>
      <c r="Y708" s="3">
        <v>318.39</v>
      </c>
      <c r="Z708" t="str">
        <f t="shared" si="134"/>
        <v>Normal</v>
      </c>
      <c r="AA708" t="str">
        <f t="shared" si="135"/>
        <v>High</v>
      </c>
      <c r="AB708" t="str">
        <f t="shared" si="139"/>
        <v>Low Profit</v>
      </c>
      <c r="AC708" s="3">
        <f t="shared" si="140"/>
        <v>7.5373208528045674E-2</v>
      </c>
      <c r="AD708" s="3">
        <f t="shared" si="141"/>
        <v>528.02250000000004</v>
      </c>
      <c r="AE708" s="3">
        <f t="shared" si="142"/>
        <v>39.798749999999998</v>
      </c>
      <c r="AF708" t="str">
        <f t="shared" si="143"/>
        <v>Regular</v>
      </c>
    </row>
    <row r="709" spans="1:32" x14ac:dyDescent="0.25">
      <c r="A709" t="s">
        <v>1721</v>
      </c>
      <c r="B709" s="1">
        <v>45264</v>
      </c>
      <c r="C709" s="1">
        <v>45273</v>
      </c>
      <c r="D709" s="4">
        <f t="shared" si="132"/>
        <v>9</v>
      </c>
      <c r="E709" s="4" t="str">
        <f>TEXT(Table1[[#This Row],[Order_Date]],"dddd")</f>
        <v>Monday</v>
      </c>
      <c r="F709" s="4">
        <f t="shared" si="133"/>
        <v>12</v>
      </c>
      <c r="G709" t="str">
        <f t="shared" si="136"/>
        <v>December</v>
      </c>
      <c r="H709">
        <f t="shared" si="137"/>
        <v>2023</v>
      </c>
      <c r="I709" t="str">
        <f t="shared" si="138"/>
        <v>2023-Q4</v>
      </c>
      <c r="J709" t="s">
        <v>21</v>
      </c>
      <c r="K709" t="s">
        <v>1722</v>
      </c>
      <c r="L709" t="s">
        <v>1723</v>
      </c>
      <c r="M709" t="s">
        <v>36</v>
      </c>
      <c r="N709" t="s">
        <v>25</v>
      </c>
      <c r="O709" t="s">
        <v>244</v>
      </c>
      <c r="P709" t="s">
        <v>163</v>
      </c>
      <c r="Q709" t="s">
        <v>39</v>
      </c>
      <c r="R709" t="s">
        <v>1724</v>
      </c>
      <c r="S709" t="s">
        <v>51</v>
      </c>
      <c r="T709" t="s">
        <v>94</v>
      </c>
      <c r="U709" t="s">
        <v>1725</v>
      </c>
      <c r="V709" s="3">
        <v>892.71</v>
      </c>
      <c r="W709" s="4">
        <v>10</v>
      </c>
      <c r="X709" s="2">
        <v>0.1</v>
      </c>
      <c r="Y709" s="3">
        <v>63.72</v>
      </c>
      <c r="Z709" t="str">
        <f t="shared" si="134"/>
        <v>Normal</v>
      </c>
      <c r="AA709" t="str">
        <f t="shared" si="135"/>
        <v>Medium</v>
      </c>
      <c r="AB709" t="str">
        <f t="shared" si="139"/>
        <v>Low Profit</v>
      </c>
      <c r="AC709" s="3">
        <f t="shared" si="140"/>
        <v>7.1378163121282381E-2</v>
      </c>
      <c r="AD709" s="3">
        <f t="shared" si="141"/>
        <v>89.271000000000001</v>
      </c>
      <c r="AE709" s="3">
        <f t="shared" si="142"/>
        <v>6.3719999999999999</v>
      </c>
      <c r="AF709" t="str">
        <f t="shared" si="143"/>
        <v>Regular</v>
      </c>
    </row>
    <row r="710" spans="1:32" x14ac:dyDescent="0.25">
      <c r="A710" t="s">
        <v>2958</v>
      </c>
      <c r="B710" s="1">
        <v>45265</v>
      </c>
      <c r="C710" s="1">
        <v>45272</v>
      </c>
      <c r="D710" s="4">
        <f t="shared" si="132"/>
        <v>7</v>
      </c>
      <c r="E710" s="4" t="str">
        <f>TEXT(Table1[[#This Row],[Order_Date]],"dddd")</f>
        <v>Tuesday</v>
      </c>
      <c r="F710" s="4">
        <f t="shared" si="133"/>
        <v>12</v>
      </c>
      <c r="G710" t="str">
        <f t="shared" si="136"/>
        <v>December</v>
      </c>
      <c r="H710">
        <f t="shared" si="137"/>
        <v>2023</v>
      </c>
      <c r="I710" t="str">
        <f t="shared" si="138"/>
        <v>2023-Q4</v>
      </c>
      <c r="J710" t="s">
        <v>55</v>
      </c>
      <c r="K710" t="s">
        <v>2959</v>
      </c>
      <c r="L710" t="s">
        <v>2960</v>
      </c>
      <c r="M710" t="s">
        <v>47</v>
      </c>
      <c r="N710" t="s">
        <v>25</v>
      </c>
      <c r="O710" t="s">
        <v>149</v>
      </c>
      <c r="P710" t="s">
        <v>113</v>
      </c>
      <c r="Q710" t="s">
        <v>66</v>
      </c>
      <c r="R710" t="s">
        <v>2961</v>
      </c>
      <c r="S710" t="s">
        <v>59</v>
      </c>
      <c r="T710" t="s">
        <v>277</v>
      </c>
      <c r="U710" t="s">
        <v>772</v>
      </c>
      <c r="V710" s="3">
        <v>817.69</v>
      </c>
      <c r="W710" s="4">
        <v>7</v>
      </c>
      <c r="X710" s="2">
        <v>0.1</v>
      </c>
      <c r="Y710" s="3">
        <v>134.58000000000001</v>
      </c>
      <c r="Z710" t="str">
        <f t="shared" si="134"/>
        <v>Normal</v>
      </c>
      <c r="AA710" t="str">
        <f t="shared" si="135"/>
        <v>Medium</v>
      </c>
      <c r="AB710" t="str">
        <f t="shared" si="139"/>
        <v>Low Profit</v>
      </c>
      <c r="AC710" s="3">
        <f t="shared" si="140"/>
        <v>0.16458560090009661</v>
      </c>
      <c r="AD710" s="3">
        <f t="shared" si="141"/>
        <v>116.81285714285715</v>
      </c>
      <c r="AE710" s="3">
        <f t="shared" si="142"/>
        <v>19.225714285714286</v>
      </c>
      <c r="AF710" t="str">
        <f t="shared" si="143"/>
        <v>Regular</v>
      </c>
    </row>
    <row r="711" spans="1:32" x14ac:dyDescent="0.25">
      <c r="A711" t="s">
        <v>4086</v>
      </c>
      <c r="B711" s="1">
        <v>45266</v>
      </c>
      <c r="C711" s="1">
        <v>45267</v>
      </c>
      <c r="D711" s="4">
        <f t="shared" si="132"/>
        <v>1</v>
      </c>
      <c r="E711" s="4" t="str">
        <f>TEXT(Table1[[#This Row],[Order_Date]],"dddd")</f>
        <v>Wednesday</v>
      </c>
      <c r="F711" s="4">
        <f t="shared" si="133"/>
        <v>12</v>
      </c>
      <c r="G711" t="str">
        <f t="shared" si="136"/>
        <v>December</v>
      </c>
      <c r="H711">
        <f t="shared" si="137"/>
        <v>2023</v>
      </c>
      <c r="I711" t="str">
        <f t="shared" si="138"/>
        <v>2023-Q4</v>
      </c>
      <c r="J711" t="s">
        <v>55</v>
      </c>
      <c r="K711" t="s">
        <v>4087</v>
      </c>
      <c r="L711" t="s">
        <v>4088</v>
      </c>
      <c r="M711" t="s">
        <v>47</v>
      </c>
      <c r="N711" t="s">
        <v>25</v>
      </c>
      <c r="O711" t="s">
        <v>149</v>
      </c>
      <c r="P711" t="s">
        <v>113</v>
      </c>
      <c r="Q711" t="s">
        <v>66</v>
      </c>
      <c r="R711" t="s">
        <v>4089</v>
      </c>
      <c r="S711" t="s">
        <v>30</v>
      </c>
      <c r="T711" t="s">
        <v>82</v>
      </c>
      <c r="U711" t="s">
        <v>4090</v>
      </c>
      <c r="V711" s="3">
        <v>2036.34</v>
      </c>
      <c r="W711" s="4">
        <v>9</v>
      </c>
      <c r="X711" s="2">
        <v>0.2</v>
      </c>
      <c r="Y711" s="3">
        <v>90.88</v>
      </c>
      <c r="Z711" t="str">
        <f t="shared" si="134"/>
        <v>Normal</v>
      </c>
      <c r="AA711" t="str">
        <f t="shared" si="135"/>
        <v>High</v>
      </c>
      <c r="AB711" t="str">
        <f t="shared" si="139"/>
        <v>Low Profit</v>
      </c>
      <c r="AC711" s="3">
        <f t="shared" si="140"/>
        <v>4.4629089444788196E-2</v>
      </c>
      <c r="AD711" s="3">
        <f t="shared" si="141"/>
        <v>226.26</v>
      </c>
      <c r="AE711" s="3">
        <f t="shared" si="142"/>
        <v>10.097777777777777</v>
      </c>
      <c r="AF711" t="str">
        <f t="shared" si="143"/>
        <v>Regular</v>
      </c>
    </row>
    <row r="712" spans="1:32" x14ac:dyDescent="0.25">
      <c r="A712" t="s">
        <v>887</v>
      </c>
      <c r="B712" s="1">
        <v>45268</v>
      </c>
      <c r="C712" s="1">
        <v>45273</v>
      </c>
      <c r="D712" s="4">
        <f t="shared" si="132"/>
        <v>5</v>
      </c>
      <c r="E712" s="4" t="str">
        <f>TEXT(Table1[[#This Row],[Order_Date]],"dddd")</f>
        <v>Friday</v>
      </c>
      <c r="F712" s="4">
        <f t="shared" si="133"/>
        <v>12</v>
      </c>
      <c r="G712" t="str">
        <f t="shared" si="136"/>
        <v>December</v>
      </c>
      <c r="H712">
        <f t="shared" si="137"/>
        <v>2023</v>
      </c>
      <c r="I712" t="str">
        <f t="shared" si="138"/>
        <v>2023-Q4</v>
      </c>
      <c r="J712" t="s">
        <v>21</v>
      </c>
      <c r="K712" t="s">
        <v>888</v>
      </c>
      <c r="L712" t="s">
        <v>889</v>
      </c>
      <c r="M712" t="s">
        <v>24</v>
      </c>
      <c r="N712" t="s">
        <v>25</v>
      </c>
      <c r="O712" t="s">
        <v>162</v>
      </c>
      <c r="P712" t="s">
        <v>163</v>
      </c>
      <c r="Q712" t="s">
        <v>28</v>
      </c>
      <c r="R712" t="s">
        <v>890</v>
      </c>
      <c r="S712" t="s">
        <v>51</v>
      </c>
      <c r="T712" t="s">
        <v>94</v>
      </c>
      <c r="U712" t="s">
        <v>891</v>
      </c>
      <c r="V712" s="3">
        <v>4848.33</v>
      </c>
      <c r="W712" s="4">
        <v>10</v>
      </c>
      <c r="X712" s="2">
        <v>0.1</v>
      </c>
      <c r="Y712" s="3">
        <v>968.64</v>
      </c>
      <c r="Z712" t="str">
        <f t="shared" si="134"/>
        <v>Normal</v>
      </c>
      <c r="AA712" t="str">
        <f t="shared" si="135"/>
        <v>Medium</v>
      </c>
      <c r="AB712" t="str">
        <f t="shared" si="139"/>
        <v>High Profit</v>
      </c>
      <c r="AC712" s="3">
        <f t="shared" si="140"/>
        <v>0.19978838074140992</v>
      </c>
      <c r="AD712" s="3">
        <f t="shared" si="141"/>
        <v>484.83299999999997</v>
      </c>
      <c r="AE712" s="3">
        <f t="shared" si="142"/>
        <v>96.864000000000004</v>
      </c>
      <c r="AF712" t="str">
        <f t="shared" si="143"/>
        <v>Regular</v>
      </c>
    </row>
    <row r="713" spans="1:32" x14ac:dyDescent="0.25">
      <c r="A713" t="s">
        <v>4116</v>
      </c>
      <c r="B713" s="1">
        <v>45268</v>
      </c>
      <c r="C713" s="1">
        <v>45275</v>
      </c>
      <c r="D713" s="4">
        <f t="shared" si="132"/>
        <v>7</v>
      </c>
      <c r="E713" s="4" t="str">
        <f>TEXT(Table1[[#This Row],[Order_Date]],"dddd")</f>
        <v>Friday</v>
      </c>
      <c r="F713" s="4">
        <f t="shared" si="133"/>
        <v>12</v>
      </c>
      <c r="G713" t="str">
        <f t="shared" si="136"/>
        <v>December</v>
      </c>
      <c r="H713">
        <f t="shared" si="137"/>
        <v>2023</v>
      </c>
      <c r="I713" t="str">
        <f t="shared" si="138"/>
        <v>2023-Q4</v>
      </c>
      <c r="J713" t="s">
        <v>21</v>
      </c>
      <c r="K713" t="s">
        <v>4117</v>
      </c>
      <c r="L713" t="s">
        <v>4118</v>
      </c>
      <c r="M713" t="s">
        <v>36</v>
      </c>
      <c r="N713" t="s">
        <v>25</v>
      </c>
      <c r="O713" t="s">
        <v>227</v>
      </c>
      <c r="P713" t="s">
        <v>49</v>
      </c>
      <c r="Q713" t="s">
        <v>87</v>
      </c>
      <c r="R713" t="s">
        <v>4119</v>
      </c>
      <c r="S713" t="s">
        <v>59</v>
      </c>
      <c r="T713" t="s">
        <v>60</v>
      </c>
      <c r="U713" t="s">
        <v>4066</v>
      </c>
      <c r="V713" s="3">
        <v>2976.31</v>
      </c>
      <c r="W713" s="4">
        <v>9</v>
      </c>
      <c r="X713" s="2">
        <v>0.2</v>
      </c>
      <c r="Y713" s="3">
        <v>750.93</v>
      </c>
      <c r="Z713" t="str">
        <f t="shared" si="134"/>
        <v>Normal</v>
      </c>
      <c r="AA713" t="str">
        <f t="shared" si="135"/>
        <v>High</v>
      </c>
      <c r="AB713" t="str">
        <f t="shared" si="139"/>
        <v>High Profit</v>
      </c>
      <c r="AC713" s="3">
        <f t="shared" si="140"/>
        <v>0.25230234753772285</v>
      </c>
      <c r="AD713" s="3">
        <f t="shared" si="141"/>
        <v>330.70111111111112</v>
      </c>
      <c r="AE713" s="3">
        <f t="shared" si="142"/>
        <v>83.436666666666667</v>
      </c>
      <c r="AF713" t="str">
        <f t="shared" si="143"/>
        <v>Regular</v>
      </c>
    </row>
    <row r="714" spans="1:32" x14ac:dyDescent="0.25">
      <c r="A714" t="s">
        <v>2524</v>
      </c>
      <c r="B714" s="1">
        <v>45269</v>
      </c>
      <c r="C714" s="1">
        <v>45277</v>
      </c>
      <c r="D714" s="4">
        <f t="shared" si="132"/>
        <v>8</v>
      </c>
      <c r="E714" s="4" t="str">
        <f>TEXT(Table1[[#This Row],[Order_Date]],"dddd")</f>
        <v>Saturday</v>
      </c>
      <c r="F714" s="4">
        <f t="shared" si="133"/>
        <v>12</v>
      </c>
      <c r="G714" t="str">
        <f t="shared" si="136"/>
        <v>December</v>
      </c>
      <c r="H714">
        <f t="shared" si="137"/>
        <v>2023</v>
      </c>
      <c r="I714" t="str">
        <f t="shared" si="138"/>
        <v>2023-Q4</v>
      </c>
      <c r="J714" t="s">
        <v>55</v>
      </c>
      <c r="K714" t="s">
        <v>2525</v>
      </c>
      <c r="L714" t="s">
        <v>2526</v>
      </c>
      <c r="M714" t="s">
        <v>47</v>
      </c>
      <c r="N714" t="s">
        <v>25</v>
      </c>
      <c r="O714" t="s">
        <v>26</v>
      </c>
      <c r="P714" t="s">
        <v>27</v>
      </c>
      <c r="Q714" t="s">
        <v>66</v>
      </c>
      <c r="R714" t="s">
        <v>2527</v>
      </c>
      <c r="S714" t="s">
        <v>59</v>
      </c>
      <c r="T714" t="s">
        <v>60</v>
      </c>
      <c r="U714" t="s">
        <v>2528</v>
      </c>
      <c r="V714" s="3">
        <v>3465.69</v>
      </c>
      <c r="W714" s="4">
        <v>1</v>
      </c>
      <c r="X714" s="2">
        <v>0.3</v>
      </c>
      <c r="Y714" s="3">
        <v>-469.79</v>
      </c>
      <c r="Z714" t="str">
        <f t="shared" si="134"/>
        <v>Normal</v>
      </c>
      <c r="AA714" t="str">
        <f t="shared" si="135"/>
        <v>High</v>
      </c>
      <c r="AB714" t="str">
        <f t="shared" si="139"/>
        <v>Loss</v>
      </c>
      <c r="AC714" s="3">
        <f t="shared" si="140"/>
        <v>-0.13555453603755674</v>
      </c>
      <c r="AD714" s="3">
        <f t="shared" si="141"/>
        <v>3465.69</v>
      </c>
      <c r="AE714" s="3">
        <f t="shared" si="142"/>
        <v>-469.79</v>
      </c>
      <c r="AF714" t="str">
        <f t="shared" si="143"/>
        <v>Regular</v>
      </c>
    </row>
    <row r="715" spans="1:32" x14ac:dyDescent="0.25">
      <c r="A715" t="s">
        <v>4739</v>
      </c>
      <c r="B715" s="1">
        <v>45270</v>
      </c>
      <c r="C715" s="1">
        <v>45279</v>
      </c>
      <c r="D715" s="4">
        <f t="shared" si="132"/>
        <v>9</v>
      </c>
      <c r="E715" s="4" t="str">
        <f>TEXT(Table1[[#This Row],[Order_Date]],"dddd")</f>
        <v>Sunday</v>
      </c>
      <c r="F715" s="4">
        <f t="shared" si="133"/>
        <v>12</v>
      </c>
      <c r="G715" t="str">
        <f t="shared" si="136"/>
        <v>December</v>
      </c>
      <c r="H715">
        <f t="shared" si="137"/>
        <v>2023</v>
      </c>
      <c r="I715" t="str">
        <f t="shared" si="138"/>
        <v>2023-Q4</v>
      </c>
      <c r="J715" t="s">
        <v>21</v>
      </c>
      <c r="K715" t="s">
        <v>4740</v>
      </c>
      <c r="L715" t="s">
        <v>4741</v>
      </c>
      <c r="M715" t="s">
        <v>47</v>
      </c>
      <c r="N715" t="s">
        <v>25</v>
      </c>
      <c r="O715" t="s">
        <v>255</v>
      </c>
      <c r="P715" t="s">
        <v>143</v>
      </c>
      <c r="Q715" t="s">
        <v>39</v>
      </c>
      <c r="R715" t="s">
        <v>4742</v>
      </c>
      <c r="S715" t="s">
        <v>59</v>
      </c>
      <c r="T715" t="s">
        <v>101</v>
      </c>
      <c r="U715" t="s">
        <v>4743</v>
      </c>
      <c r="V715" s="3">
        <v>4432.71</v>
      </c>
      <c r="W715" s="4">
        <v>5</v>
      </c>
      <c r="X715" s="2">
        <v>0.2</v>
      </c>
      <c r="Y715" s="3">
        <v>-4.13</v>
      </c>
      <c r="Z715" t="str">
        <f t="shared" si="134"/>
        <v>Normal</v>
      </c>
      <c r="AA715" t="str">
        <f t="shared" si="135"/>
        <v>High</v>
      </c>
      <c r="AB715" t="str">
        <f t="shared" si="139"/>
        <v>Loss</v>
      </c>
      <c r="AC715" s="3">
        <f t="shared" si="140"/>
        <v>-9.317099471880633E-4</v>
      </c>
      <c r="AD715" s="3">
        <f t="shared" si="141"/>
        <v>886.54200000000003</v>
      </c>
      <c r="AE715" s="3">
        <f t="shared" si="142"/>
        <v>-0.82599999999999996</v>
      </c>
      <c r="AF715" t="str">
        <f t="shared" si="143"/>
        <v>Regular</v>
      </c>
    </row>
    <row r="716" spans="1:32" x14ac:dyDescent="0.25">
      <c r="A716" t="s">
        <v>3563</v>
      </c>
      <c r="B716" s="1">
        <v>45270</v>
      </c>
      <c r="C716" s="1">
        <v>45276</v>
      </c>
      <c r="D716" s="4">
        <f t="shared" si="132"/>
        <v>6</v>
      </c>
      <c r="E716" s="4" t="str">
        <f>TEXT(Table1[[#This Row],[Order_Date]],"dddd")</f>
        <v>Sunday</v>
      </c>
      <c r="F716" s="4">
        <f t="shared" si="133"/>
        <v>12</v>
      </c>
      <c r="G716" t="str">
        <f t="shared" si="136"/>
        <v>December</v>
      </c>
      <c r="H716">
        <f t="shared" si="137"/>
        <v>2023</v>
      </c>
      <c r="I716" t="str">
        <f t="shared" si="138"/>
        <v>2023-Q4</v>
      </c>
      <c r="J716" t="s">
        <v>55</v>
      </c>
      <c r="K716" t="s">
        <v>3564</v>
      </c>
      <c r="L716" t="s">
        <v>3565</v>
      </c>
      <c r="M716" t="s">
        <v>36</v>
      </c>
      <c r="N716" t="s">
        <v>25</v>
      </c>
      <c r="O716" t="s">
        <v>119</v>
      </c>
      <c r="P716" t="s">
        <v>120</v>
      </c>
      <c r="Q716" t="s">
        <v>87</v>
      </c>
      <c r="R716" t="s">
        <v>3566</v>
      </c>
      <c r="S716" t="s">
        <v>30</v>
      </c>
      <c r="T716" t="s">
        <v>41</v>
      </c>
      <c r="U716" t="s">
        <v>3567</v>
      </c>
      <c r="V716" s="3">
        <v>3301.06</v>
      </c>
      <c r="W716" s="4">
        <v>8</v>
      </c>
      <c r="X716" s="2">
        <v>0</v>
      </c>
      <c r="Y716" s="3">
        <v>-13.37</v>
      </c>
      <c r="Z716" t="str">
        <f t="shared" si="134"/>
        <v>Normal</v>
      </c>
      <c r="AA716" t="str">
        <f t="shared" si="135"/>
        <v>Low</v>
      </c>
      <c r="AB716" t="str">
        <f t="shared" si="139"/>
        <v>Loss</v>
      </c>
      <c r="AC716" s="3">
        <f t="shared" si="140"/>
        <v>-4.0502141736290763E-3</v>
      </c>
      <c r="AD716" s="3">
        <f t="shared" si="141"/>
        <v>412.63249999999999</v>
      </c>
      <c r="AE716" s="3">
        <f t="shared" si="142"/>
        <v>-1.6712499999999999</v>
      </c>
      <c r="AF716" t="str">
        <f t="shared" si="143"/>
        <v>Regular</v>
      </c>
    </row>
    <row r="717" spans="1:32" x14ac:dyDescent="0.25">
      <c r="A717" t="s">
        <v>3717</v>
      </c>
      <c r="B717" s="1">
        <v>45273</v>
      </c>
      <c r="C717" s="1">
        <v>45283</v>
      </c>
      <c r="D717" s="4">
        <f t="shared" si="132"/>
        <v>10</v>
      </c>
      <c r="E717" s="4" t="str">
        <f>TEXT(Table1[[#This Row],[Order_Date]],"dddd")</f>
        <v>Wednesday</v>
      </c>
      <c r="F717" s="4">
        <f t="shared" si="133"/>
        <v>12</v>
      </c>
      <c r="G717" t="str">
        <f t="shared" si="136"/>
        <v>December</v>
      </c>
      <c r="H717">
        <f t="shared" si="137"/>
        <v>2023</v>
      </c>
      <c r="I717" t="str">
        <f t="shared" si="138"/>
        <v>2023-Q4</v>
      </c>
      <c r="J717" t="s">
        <v>55</v>
      </c>
      <c r="K717" t="s">
        <v>3718</v>
      </c>
      <c r="L717" t="s">
        <v>3719</v>
      </c>
      <c r="M717" t="s">
        <v>36</v>
      </c>
      <c r="N717" t="s">
        <v>25</v>
      </c>
      <c r="O717" t="s">
        <v>255</v>
      </c>
      <c r="P717" t="s">
        <v>143</v>
      </c>
      <c r="Q717" t="s">
        <v>87</v>
      </c>
      <c r="R717" t="s">
        <v>3720</v>
      </c>
      <c r="S717" t="s">
        <v>30</v>
      </c>
      <c r="T717" t="s">
        <v>41</v>
      </c>
      <c r="U717" t="s">
        <v>3721</v>
      </c>
      <c r="V717" s="3">
        <v>2760.49</v>
      </c>
      <c r="W717" s="4">
        <v>10</v>
      </c>
      <c r="X717" s="2">
        <v>0.2</v>
      </c>
      <c r="Y717" s="3">
        <v>188.62</v>
      </c>
      <c r="Z717" t="str">
        <f t="shared" si="134"/>
        <v>Normal</v>
      </c>
      <c r="AA717" t="str">
        <f t="shared" si="135"/>
        <v>High</v>
      </c>
      <c r="AB717" t="str">
        <f t="shared" si="139"/>
        <v>Low Profit</v>
      </c>
      <c r="AC717" s="3">
        <f t="shared" si="140"/>
        <v>6.8328448934790564E-2</v>
      </c>
      <c r="AD717" s="3">
        <f t="shared" si="141"/>
        <v>276.04899999999998</v>
      </c>
      <c r="AE717" s="3">
        <f t="shared" si="142"/>
        <v>18.862000000000002</v>
      </c>
      <c r="AF717" t="str">
        <f t="shared" si="143"/>
        <v>Regular</v>
      </c>
    </row>
    <row r="718" spans="1:32" x14ac:dyDescent="0.25">
      <c r="A718" t="s">
        <v>171</v>
      </c>
      <c r="B718" s="1">
        <v>45274</v>
      </c>
      <c r="C718" s="1">
        <v>45284</v>
      </c>
      <c r="D718" s="4">
        <f t="shared" si="132"/>
        <v>10</v>
      </c>
      <c r="E718" s="4" t="str">
        <f>TEXT(Table1[[#This Row],[Order_Date]],"dddd")</f>
        <v>Thursday</v>
      </c>
      <c r="F718" s="4">
        <f t="shared" si="133"/>
        <v>12</v>
      </c>
      <c r="G718" t="str">
        <f t="shared" si="136"/>
        <v>December</v>
      </c>
      <c r="H718">
        <f t="shared" si="137"/>
        <v>2023</v>
      </c>
      <c r="I718" t="str">
        <f t="shared" si="138"/>
        <v>2023-Q4</v>
      </c>
      <c r="J718" t="s">
        <v>44</v>
      </c>
      <c r="K718" t="s">
        <v>172</v>
      </c>
      <c r="L718" t="s">
        <v>173</v>
      </c>
      <c r="M718" t="s">
        <v>24</v>
      </c>
      <c r="N718" t="s">
        <v>25</v>
      </c>
      <c r="O718" t="s">
        <v>37</v>
      </c>
      <c r="P718" t="s">
        <v>38</v>
      </c>
      <c r="Q718" t="s">
        <v>28</v>
      </c>
      <c r="R718" t="s">
        <v>174</v>
      </c>
      <c r="S718" t="s">
        <v>51</v>
      </c>
      <c r="T718" t="s">
        <v>151</v>
      </c>
      <c r="U718" t="s">
        <v>175</v>
      </c>
      <c r="V718" s="3">
        <v>747.91</v>
      </c>
      <c r="W718" s="4">
        <v>10</v>
      </c>
      <c r="X718" s="2">
        <v>0.2</v>
      </c>
      <c r="Y718" s="3">
        <v>-30.01</v>
      </c>
      <c r="Z718" t="str">
        <f t="shared" si="134"/>
        <v>Normal</v>
      </c>
      <c r="AA718" t="str">
        <f t="shared" si="135"/>
        <v>High</v>
      </c>
      <c r="AB718" t="str">
        <f t="shared" si="139"/>
        <v>Loss</v>
      </c>
      <c r="AC718" s="3">
        <f t="shared" si="140"/>
        <v>-4.0125148747843994E-2</v>
      </c>
      <c r="AD718" s="3">
        <f t="shared" si="141"/>
        <v>74.790999999999997</v>
      </c>
      <c r="AE718" s="3">
        <f t="shared" si="142"/>
        <v>-3.0010000000000003</v>
      </c>
      <c r="AF718" t="str">
        <f t="shared" si="143"/>
        <v>Regular</v>
      </c>
    </row>
    <row r="719" spans="1:32" x14ac:dyDescent="0.25">
      <c r="A719" t="s">
        <v>182</v>
      </c>
      <c r="B719" s="1">
        <v>45274</v>
      </c>
      <c r="C719" s="1">
        <v>45276</v>
      </c>
      <c r="D719" s="4">
        <f t="shared" si="132"/>
        <v>2</v>
      </c>
      <c r="E719" s="4" t="str">
        <f>TEXT(Table1[[#This Row],[Order_Date]],"dddd")</f>
        <v>Thursday</v>
      </c>
      <c r="F719" s="4">
        <f t="shared" si="133"/>
        <v>12</v>
      </c>
      <c r="G719" t="str">
        <f t="shared" si="136"/>
        <v>December</v>
      </c>
      <c r="H719">
        <f t="shared" si="137"/>
        <v>2023</v>
      </c>
      <c r="I719" t="str">
        <f t="shared" si="138"/>
        <v>2023-Q4</v>
      </c>
      <c r="J719" t="s">
        <v>104</v>
      </c>
      <c r="K719" t="s">
        <v>183</v>
      </c>
      <c r="L719" t="s">
        <v>184</v>
      </c>
      <c r="M719" t="s">
        <v>47</v>
      </c>
      <c r="N719" t="s">
        <v>25</v>
      </c>
      <c r="O719" t="s">
        <v>149</v>
      </c>
      <c r="P719" t="s">
        <v>113</v>
      </c>
      <c r="Q719" t="s">
        <v>39</v>
      </c>
      <c r="R719" t="s">
        <v>185</v>
      </c>
      <c r="S719" t="s">
        <v>59</v>
      </c>
      <c r="T719" t="s">
        <v>101</v>
      </c>
      <c r="U719" t="s">
        <v>186</v>
      </c>
      <c r="V719" s="3">
        <v>3731.29</v>
      </c>
      <c r="W719" s="4">
        <v>5</v>
      </c>
      <c r="X719" s="2">
        <v>0.2</v>
      </c>
      <c r="Y719" s="3">
        <v>-708.51</v>
      </c>
      <c r="Z719" t="str">
        <f t="shared" si="134"/>
        <v>Normal</v>
      </c>
      <c r="AA719" t="str">
        <f t="shared" si="135"/>
        <v>High</v>
      </c>
      <c r="AB719" t="str">
        <f t="shared" si="139"/>
        <v>Loss</v>
      </c>
      <c r="AC719" s="3">
        <f t="shared" si="140"/>
        <v>-0.18988339153483111</v>
      </c>
      <c r="AD719" s="3">
        <f t="shared" si="141"/>
        <v>746.25800000000004</v>
      </c>
      <c r="AE719" s="3">
        <f t="shared" si="142"/>
        <v>-141.702</v>
      </c>
      <c r="AF719" t="str">
        <f t="shared" si="143"/>
        <v>Regular</v>
      </c>
    </row>
    <row r="720" spans="1:32" x14ac:dyDescent="0.25">
      <c r="A720" t="s">
        <v>4607</v>
      </c>
      <c r="B720" s="1">
        <v>45274</v>
      </c>
      <c r="C720" s="1">
        <v>45282</v>
      </c>
      <c r="D720" s="4">
        <f t="shared" si="132"/>
        <v>8</v>
      </c>
      <c r="E720" s="4" t="str">
        <f>TEXT(Table1[[#This Row],[Order_Date]],"dddd")</f>
        <v>Thursday</v>
      </c>
      <c r="F720" s="4">
        <f t="shared" si="133"/>
        <v>12</v>
      </c>
      <c r="G720" t="str">
        <f t="shared" si="136"/>
        <v>December</v>
      </c>
      <c r="H720">
        <f t="shared" si="137"/>
        <v>2023</v>
      </c>
      <c r="I720" t="str">
        <f t="shared" si="138"/>
        <v>2023-Q4</v>
      </c>
      <c r="J720" t="s">
        <v>55</v>
      </c>
      <c r="K720" t="s">
        <v>4608</v>
      </c>
      <c r="L720" t="s">
        <v>4609</v>
      </c>
      <c r="M720" t="s">
        <v>24</v>
      </c>
      <c r="N720" t="s">
        <v>25</v>
      </c>
      <c r="O720" t="s">
        <v>149</v>
      </c>
      <c r="P720" t="s">
        <v>113</v>
      </c>
      <c r="Q720" t="s">
        <v>66</v>
      </c>
      <c r="R720" t="s">
        <v>4610</v>
      </c>
      <c r="S720" t="s">
        <v>51</v>
      </c>
      <c r="T720" t="s">
        <v>127</v>
      </c>
      <c r="U720" t="s">
        <v>4611</v>
      </c>
      <c r="V720" s="3">
        <v>385.56</v>
      </c>
      <c r="W720" s="4">
        <v>9</v>
      </c>
      <c r="X720" s="2">
        <v>0</v>
      </c>
      <c r="Y720" s="3">
        <v>4.43</v>
      </c>
      <c r="Z720" t="str">
        <f t="shared" si="134"/>
        <v>Normal</v>
      </c>
      <c r="AA720" t="str">
        <f t="shared" si="135"/>
        <v>Low</v>
      </c>
      <c r="AB720" t="str">
        <f t="shared" si="139"/>
        <v>Low Profit</v>
      </c>
      <c r="AC720" s="3">
        <f t="shared" si="140"/>
        <v>1.1489781097624234E-2</v>
      </c>
      <c r="AD720" s="3">
        <f t="shared" si="141"/>
        <v>42.84</v>
      </c>
      <c r="AE720" s="3">
        <f t="shared" si="142"/>
        <v>0.49222222222222217</v>
      </c>
      <c r="AF720" t="str">
        <f t="shared" si="143"/>
        <v>Regular</v>
      </c>
    </row>
    <row r="721" spans="1:32" x14ac:dyDescent="0.25">
      <c r="A721" t="s">
        <v>5104</v>
      </c>
      <c r="B721" s="1">
        <v>45275</v>
      </c>
      <c r="C721" s="1">
        <v>45285</v>
      </c>
      <c r="D721" s="4">
        <f t="shared" si="132"/>
        <v>10</v>
      </c>
      <c r="E721" s="4" t="str">
        <f>TEXT(Table1[[#This Row],[Order_Date]],"dddd")</f>
        <v>Friday</v>
      </c>
      <c r="F721" s="4">
        <f t="shared" si="133"/>
        <v>12</v>
      </c>
      <c r="G721" t="str">
        <f t="shared" si="136"/>
        <v>December</v>
      </c>
      <c r="H721">
        <f t="shared" si="137"/>
        <v>2023</v>
      </c>
      <c r="I721" t="str">
        <f t="shared" si="138"/>
        <v>2023-Q4</v>
      </c>
      <c r="J721" t="s">
        <v>44</v>
      </c>
      <c r="K721" t="s">
        <v>5105</v>
      </c>
      <c r="L721" t="s">
        <v>5106</v>
      </c>
      <c r="M721" t="s">
        <v>36</v>
      </c>
      <c r="N721" t="s">
        <v>25</v>
      </c>
      <c r="O721" t="s">
        <v>156</v>
      </c>
      <c r="P721" t="s">
        <v>143</v>
      </c>
      <c r="Q721" t="s">
        <v>87</v>
      </c>
      <c r="R721" t="s">
        <v>5107</v>
      </c>
      <c r="S721" t="s">
        <v>59</v>
      </c>
      <c r="T721" t="s">
        <v>277</v>
      </c>
      <c r="U721" t="s">
        <v>5108</v>
      </c>
      <c r="V721" s="3">
        <v>1841.12</v>
      </c>
      <c r="W721" s="4">
        <v>5</v>
      </c>
      <c r="X721" s="2">
        <v>0.3</v>
      </c>
      <c r="Y721" s="3">
        <v>436.31</v>
      </c>
      <c r="Z721" t="str">
        <f t="shared" si="134"/>
        <v>Normal</v>
      </c>
      <c r="AA721" t="str">
        <f t="shared" si="135"/>
        <v>High</v>
      </c>
      <c r="AB721" t="str">
        <f t="shared" si="139"/>
        <v>Low Profit</v>
      </c>
      <c r="AC721" s="3">
        <f t="shared" si="140"/>
        <v>0.23698075084731035</v>
      </c>
      <c r="AD721" s="3">
        <f t="shared" si="141"/>
        <v>368.22399999999999</v>
      </c>
      <c r="AE721" s="3">
        <f t="shared" si="142"/>
        <v>87.262</v>
      </c>
      <c r="AF721" t="str">
        <f t="shared" si="143"/>
        <v>Regular</v>
      </c>
    </row>
    <row r="722" spans="1:32" x14ac:dyDescent="0.25">
      <c r="A722" t="s">
        <v>4834</v>
      </c>
      <c r="B722" s="1">
        <v>45276</v>
      </c>
      <c r="C722" s="1">
        <v>45280</v>
      </c>
      <c r="D722" s="4">
        <f t="shared" si="132"/>
        <v>4</v>
      </c>
      <c r="E722" s="4" t="str">
        <f>TEXT(Table1[[#This Row],[Order_Date]],"dddd")</f>
        <v>Saturday</v>
      </c>
      <c r="F722" s="4">
        <f t="shared" si="133"/>
        <v>12</v>
      </c>
      <c r="G722" t="str">
        <f t="shared" si="136"/>
        <v>December</v>
      </c>
      <c r="H722">
        <f t="shared" si="137"/>
        <v>2023</v>
      </c>
      <c r="I722" t="str">
        <f t="shared" si="138"/>
        <v>2023-Q4</v>
      </c>
      <c r="J722" t="s">
        <v>104</v>
      </c>
      <c r="K722" t="s">
        <v>4835</v>
      </c>
      <c r="L722" t="s">
        <v>4836</v>
      </c>
      <c r="M722" t="s">
        <v>47</v>
      </c>
      <c r="N722" t="s">
        <v>25</v>
      </c>
      <c r="O722" t="s">
        <v>26</v>
      </c>
      <c r="P722" t="s">
        <v>27</v>
      </c>
      <c r="Q722" t="s">
        <v>28</v>
      </c>
      <c r="R722" t="s">
        <v>4837</v>
      </c>
      <c r="S722" t="s">
        <v>59</v>
      </c>
      <c r="T722" t="s">
        <v>303</v>
      </c>
      <c r="U722" t="s">
        <v>4838</v>
      </c>
      <c r="V722" s="3">
        <v>2609.89</v>
      </c>
      <c r="W722" s="4">
        <v>7</v>
      </c>
      <c r="X722" s="2">
        <v>0.4</v>
      </c>
      <c r="Y722" s="3">
        <v>594.84</v>
      </c>
      <c r="Z722" t="str">
        <f t="shared" si="134"/>
        <v>Normal</v>
      </c>
      <c r="AA722" t="str">
        <f t="shared" si="135"/>
        <v>High</v>
      </c>
      <c r="AB722" t="str">
        <f t="shared" si="139"/>
        <v>High Profit</v>
      </c>
      <c r="AC722" s="3">
        <f t="shared" si="140"/>
        <v>0.2279176517017959</v>
      </c>
      <c r="AD722" s="3">
        <f t="shared" si="141"/>
        <v>372.84142857142854</v>
      </c>
      <c r="AE722" s="3">
        <f t="shared" si="142"/>
        <v>84.977142857142866</v>
      </c>
      <c r="AF722" t="str">
        <f t="shared" si="143"/>
        <v>Regular</v>
      </c>
    </row>
    <row r="723" spans="1:32" x14ac:dyDescent="0.25">
      <c r="A723" t="s">
        <v>6782</v>
      </c>
      <c r="B723" s="1">
        <v>45276</v>
      </c>
      <c r="C723" s="1">
        <v>45284</v>
      </c>
      <c r="D723" s="4">
        <f t="shared" si="132"/>
        <v>8</v>
      </c>
      <c r="E723" s="4" t="str">
        <f>TEXT(Table1[[#This Row],[Order_Date]],"dddd")</f>
        <v>Saturday</v>
      </c>
      <c r="F723" s="4">
        <f t="shared" si="133"/>
        <v>12</v>
      </c>
      <c r="G723" t="str">
        <f t="shared" si="136"/>
        <v>December</v>
      </c>
      <c r="H723">
        <f t="shared" si="137"/>
        <v>2023</v>
      </c>
      <c r="I723" t="str">
        <f t="shared" si="138"/>
        <v>2023-Q4</v>
      </c>
      <c r="J723" t="s">
        <v>21</v>
      </c>
      <c r="K723" t="s">
        <v>6783</v>
      </c>
      <c r="L723" t="s">
        <v>6784</v>
      </c>
      <c r="M723" t="s">
        <v>24</v>
      </c>
      <c r="N723" t="s">
        <v>25</v>
      </c>
      <c r="O723" t="s">
        <v>179</v>
      </c>
      <c r="P723" t="s">
        <v>27</v>
      </c>
      <c r="Q723" t="s">
        <v>87</v>
      </c>
      <c r="R723" t="s">
        <v>6785</v>
      </c>
      <c r="S723" t="s">
        <v>51</v>
      </c>
      <c r="T723" t="s">
        <v>151</v>
      </c>
      <c r="U723" t="s">
        <v>6786</v>
      </c>
      <c r="V723" s="3">
        <v>858.36</v>
      </c>
      <c r="W723" s="4">
        <v>4</v>
      </c>
      <c r="X723" s="2">
        <v>0.2</v>
      </c>
      <c r="Y723" s="3">
        <v>39.716317199999999</v>
      </c>
      <c r="Z723" t="str">
        <f t="shared" si="134"/>
        <v>Normal</v>
      </c>
      <c r="AA723" t="str">
        <f t="shared" si="135"/>
        <v>High</v>
      </c>
      <c r="AB723" t="str">
        <f t="shared" si="139"/>
        <v>Low Profit</v>
      </c>
      <c r="AC723" s="3">
        <f t="shared" si="140"/>
        <v>4.6269999999999999E-2</v>
      </c>
      <c r="AD723" s="3">
        <f t="shared" si="141"/>
        <v>214.59</v>
      </c>
      <c r="AE723" s="3">
        <f t="shared" si="142"/>
        <v>9.9290792999999997</v>
      </c>
      <c r="AF723" t="str">
        <f t="shared" si="143"/>
        <v>Regular</v>
      </c>
    </row>
    <row r="724" spans="1:32" x14ac:dyDescent="0.25">
      <c r="A724" t="s">
        <v>5327</v>
      </c>
      <c r="B724" s="1">
        <v>45276</v>
      </c>
      <c r="C724" s="1">
        <v>45285</v>
      </c>
      <c r="D724" s="4">
        <f t="shared" si="132"/>
        <v>9</v>
      </c>
      <c r="E724" s="4" t="str">
        <f>TEXT(Table1[[#This Row],[Order_Date]],"dddd")</f>
        <v>Saturday</v>
      </c>
      <c r="F724" s="4">
        <f t="shared" si="133"/>
        <v>12</v>
      </c>
      <c r="G724" t="str">
        <f t="shared" si="136"/>
        <v>December</v>
      </c>
      <c r="H724">
        <f t="shared" si="137"/>
        <v>2023</v>
      </c>
      <c r="I724" t="str">
        <f t="shared" si="138"/>
        <v>2023-Q4</v>
      </c>
      <c r="J724" t="s">
        <v>104</v>
      </c>
      <c r="K724" t="s">
        <v>5328</v>
      </c>
      <c r="L724" t="s">
        <v>5329</v>
      </c>
      <c r="M724" t="s">
        <v>24</v>
      </c>
      <c r="N724" t="s">
        <v>25</v>
      </c>
      <c r="O724" t="s">
        <v>156</v>
      </c>
      <c r="P724" t="s">
        <v>143</v>
      </c>
      <c r="Q724" t="s">
        <v>87</v>
      </c>
      <c r="R724" t="s">
        <v>5330</v>
      </c>
      <c r="S724" t="s">
        <v>59</v>
      </c>
      <c r="T724" t="s">
        <v>101</v>
      </c>
      <c r="U724" t="s">
        <v>5331</v>
      </c>
      <c r="V724" s="3">
        <v>1608.14</v>
      </c>
      <c r="W724" s="4">
        <v>7</v>
      </c>
      <c r="X724" s="2">
        <v>0.1</v>
      </c>
      <c r="Y724" s="3">
        <v>-14.96</v>
      </c>
      <c r="Z724" t="str">
        <f t="shared" si="134"/>
        <v>Normal</v>
      </c>
      <c r="AA724" t="str">
        <f t="shared" si="135"/>
        <v>Medium</v>
      </c>
      <c r="AB724" t="str">
        <f t="shared" si="139"/>
        <v>Loss</v>
      </c>
      <c r="AC724" s="3">
        <f t="shared" si="140"/>
        <v>-9.3026726528784801E-3</v>
      </c>
      <c r="AD724" s="3">
        <f t="shared" si="141"/>
        <v>229.73428571428573</v>
      </c>
      <c r="AE724" s="3">
        <f t="shared" si="142"/>
        <v>-2.1371428571428575</v>
      </c>
      <c r="AF724" t="str">
        <f t="shared" si="143"/>
        <v>Regular</v>
      </c>
    </row>
    <row r="725" spans="1:32" x14ac:dyDescent="0.25">
      <c r="A725" t="s">
        <v>4456</v>
      </c>
      <c r="B725" s="1">
        <v>45276</v>
      </c>
      <c r="C725" s="1">
        <v>45279</v>
      </c>
      <c r="D725" s="4">
        <f t="shared" si="132"/>
        <v>3</v>
      </c>
      <c r="E725" s="4" t="str">
        <f>TEXT(Table1[[#This Row],[Order_Date]],"dddd")</f>
        <v>Saturday</v>
      </c>
      <c r="F725" s="4">
        <f t="shared" si="133"/>
        <v>12</v>
      </c>
      <c r="G725" t="str">
        <f t="shared" si="136"/>
        <v>December</v>
      </c>
      <c r="H725">
        <f t="shared" si="137"/>
        <v>2023</v>
      </c>
      <c r="I725" t="str">
        <f t="shared" si="138"/>
        <v>2023-Q4</v>
      </c>
      <c r="J725" t="s">
        <v>21</v>
      </c>
      <c r="K725" t="s">
        <v>4457</v>
      </c>
      <c r="L725" t="s">
        <v>4458</v>
      </c>
      <c r="M725" t="s">
        <v>47</v>
      </c>
      <c r="N725" t="s">
        <v>25</v>
      </c>
      <c r="O725" t="s">
        <v>80</v>
      </c>
      <c r="P725" t="s">
        <v>49</v>
      </c>
      <c r="Q725" t="s">
        <v>87</v>
      </c>
      <c r="R725" t="s">
        <v>4459</v>
      </c>
      <c r="S725" t="s">
        <v>59</v>
      </c>
      <c r="T725" t="s">
        <v>60</v>
      </c>
      <c r="U725" t="s">
        <v>4460</v>
      </c>
      <c r="V725" s="3">
        <v>4278.03</v>
      </c>
      <c r="W725" s="4">
        <v>10</v>
      </c>
      <c r="X725" s="2">
        <v>0.4</v>
      </c>
      <c r="Y725" s="3">
        <v>883.75</v>
      </c>
      <c r="Z725" t="str">
        <f t="shared" si="134"/>
        <v>Normal</v>
      </c>
      <c r="AA725" t="str">
        <f t="shared" si="135"/>
        <v>High</v>
      </c>
      <c r="AB725" t="str">
        <f t="shared" si="139"/>
        <v>High Profit</v>
      </c>
      <c r="AC725" s="3">
        <f t="shared" si="140"/>
        <v>0.20657872899442034</v>
      </c>
      <c r="AD725" s="3">
        <f t="shared" si="141"/>
        <v>427.803</v>
      </c>
      <c r="AE725" s="3">
        <f t="shared" si="142"/>
        <v>88.375</v>
      </c>
      <c r="AF725" t="str">
        <f t="shared" si="143"/>
        <v>Regular</v>
      </c>
    </row>
    <row r="726" spans="1:32" x14ac:dyDescent="0.25">
      <c r="A726" t="s">
        <v>1332</v>
      </c>
      <c r="B726" s="1">
        <v>45277</v>
      </c>
      <c r="C726" s="1">
        <v>45281</v>
      </c>
      <c r="D726" s="4">
        <f t="shared" si="132"/>
        <v>4</v>
      </c>
      <c r="E726" s="4" t="str">
        <f>TEXT(Table1[[#This Row],[Order_Date]],"dddd")</f>
        <v>Sunday</v>
      </c>
      <c r="F726" s="4">
        <f t="shared" si="133"/>
        <v>12</v>
      </c>
      <c r="G726" t="str">
        <f t="shared" si="136"/>
        <v>December</v>
      </c>
      <c r="H726">
        <f t="shared" si="137"/>
        <v>2023</v>
      </c>
      <c r="I726" t="str">
        <f t="shared" si="138"/>
        <v>2023-Q4</v>
      </c>
      <c r="J726" t="s">
        <v>44</v>
      </c>
      <c r="K726" t="s">
        <v>1333</v>
      </c>
      <c r="L726" t="s">
        <v>1334</v>
      </c>
      <c r="M726" t="s">
        <v>47</v>
      </c>
      <c r="N726" t="s">
        <v>25</v>
      </c>
      <c r="O726" t="s">
        <v>142</v>
      </c>
      <c r="P726" t="s">
        <v>143</v>
      </c>
      <c r="Q726" t="s">
        <v>39</v>
      </c>
      <c r="R726" t="s">
        <v>1335</v>
      </c>
      <c r="S726" t="s">
        <v>30</v>
      </c>
      <c r="T726" t="s">
        <v>68</v>
      </c>
      <c r="U726" t="s">
        <v>1336</v>
      </c>
      <c r="V726" s="3">
        <v>1555.69</v>
      </c>
      <c r="W726" s="4">
        <v>8</v>
      </c>
      <c r="X726" s="2">
        <v>0.1</v>
      </c>
      <c r="Y726" s="3">
        <v>71.981776300000007</v>
      </c>
      <c r="Z726" t="str">
        <f t="shared" si="134"/>
        <v>Normal</v>
      </c>
      <c r="AA726" t="str">
        <f t="shared" si="135"/>
        <v>Medium</v>
      </c>
      <c r="AB726" t="str">
        <f t="shared" si="139"/>
        <v>Low Profit</v>
      </c>
      <c r="AC726" s="3">
        <f t="shared" si="140"/>
        <v>4.6270000000000006E-2</v>
      </c>
      <c r="AD726" s="3">
        <f t="shared" si="141"/>
        <v>194.46125000000001</v>
      </c>
      <c r="AE726" s="3">
        <f t="shared" si="142"/>
        <v>8.9977220375000009</v>
      </c>
      <c r="AF726" t="str">
        <f t="shared" si="143"/>
        <v>Regular</v>
      </c>
    </row>
    <row r="727" spans="1:32" x14ac:dyDescent="0.25">
      <c r="A727" t="s">
        <v>1795</v>
      </c>
      <c r="B727" s="1">
        <v>45277</v>
      </c>
      <c r="C727" s="1">
        <v>45286</v>
      </c>
      <c r="D727" s="4">
        <f t="shared" si="132"/>
        <v>9</v>
      </c>
      <c r="E727" s="4" t="str">
        <f>TEXT(Table1[[#This Row],[Order_Date]],"dddd")</f>
        <v>Sunday</v>
      </c>
      <c r="F727" s="4">
        <f t="shared" si="133"/>
        <v>12</v>
      </c>
      <c r="G727" t="str">
        <f t="shared" si="136"/>
        <v>December</v>
      </c>
      <c r="H727">
        <f t="shared" si="137"/>
        <v>2023</v>
      </c>
      <c r="I727" t="str">
        <f t="shared" si="138"/>
        <v>2023-Q4</v>
      </c>
      <c r="J727" t="s">
        <v>21</v>
      </c>
      <c r="K727" t="s">
        <v>1796</v>
      </c>
      <c r="L727" t="s">
        <v>1797</v>
      </c>
      <c r="M727" t="s">
        <v>47</v>
      </c>
      <c r="N727" t="s">
        <v>25</v>
      </c>
      <c r="O727" t="s">
        <v>80</v>
      </c>
      <c r="P727" t="s">
        <v>49</v>
      </c>
      <c r="Q727" t="s">
        <v>28</v>
      </c>
      <c r="R727" t="s">
        <v>1798</v>
      </c>
      <c r="S727" t="s">
        <v>51</v>
      </c>
      <c r="T727" t="s">
        <v>108</v>
      </c>
      <c r="U727" t="s">
        <v>1799</v>
      </c>
      <c r="V727" s="3">
        <v>1356.86</v>
      </c>
      <c r="W727" s="4">
        <v>3</v>
      </c>
      <c r="X727" s="2">
        <v>0.1</v>
      </c>
      <c r="Y727" s="3">
        <v>124.46</v>
      </c>
      <c r="Z727" t="str">
        <f t="shared" si="134"/>
        <v>Normal</v>
      </c>
      <c r="AA727" t="str">
        <f t="shared" si="135"/>
        <v>Medium</v>
      </c>
      <c r="AB727" t="str">
        <f t="shared" si="139"/>
        <v>Low Profit</v>
      </c>
      <c r="AC727" s="3">
        <f t="shared" si="140"/>
        <v>9.1726486151850598E-2</v>
      </c>
      <c r="AD727" s="3">
        <f t="shared" si="141"/>
        <v>452.28666666666663</v>
      </c>
      <c r="AE727" s="3">
        <f t="shared" si="142"/>
        <v>41.486666666666665</v>
      </c>
      <c r="AF727" t="str">
        <f t="shared" si="143"/>
        <v>Regular</v>
      </c>
    </row>
    <row r="728" spans="1:32" x14ac:dyDescent="0.25">
      <c r="A728" t="s">
        <v>976</v>
      </c>
      <c r="B728" s="1">
        <v>45278</v>
      </c>
      <c r="C728" s="1">
        <v>45281</v>
      </c>
      <c r="D728" s="4">
        <f t="shared" si="132"/>
        <v>3</v>
      </c>
      <c r="E728" s="4" t="str">
        <f>TEXT(Table1[[#This Row],[Order_Date]],"dddd")</f>
        <v>Monday</v>
      </c>
      <c r="F728" s="4">
        <f t="shared" si="133"/>
        <v>12</v>
      </c>
      <c r="G728" t="str">
        <f t="shared" si="136"/>
        <v>December</v>
      </c>
      <c r="H728">
        <f t="shared" si="137"/>
        <v>2023</v>
      </c>
      <c r="I728" t="str">
        <f t="shared" si="138"/>
        <v>2023-Q4</v>
      </c>
      <c r="J728" t="s">
        <v>21</v>
      </c>
      <c r="K728" t="s">
        <v>977</v>
      </c>
      <c r="L728" t="s">
        <v>978</v>
      </c>
      <c r="M728" t="s">
        <v>36</v>
      </c>
      <c r="N728" t="s">
        <v>25</v>
      </c>
      <c r="O728" t="s">
        <v>65</v>
      </c>
      <c r="P728" t="s">
        <v>27</v>
      </c>
      <c r="Q728" t="s">
        <v>66</v>
      </c>
      <c r="R728" t="s">
        <v>979</v>
      </c>
      <c r="S728" t="s">
        <v>30</v>
      </c>
      <c r="T728" t="s">
        <v>41</v>
      </c>
      <c r="U728" t="s">
        <v>980</v>
      </c>
      <c r="V728" s="3">
        <v>4186.3</v>
      </c>
      <c r="W728" s="4">
        <v>6</v>
      </c>
      <c r="X728" s="2">
        <v>0.4</v>
      </c>
      <c r="Y728" s="3">
        <v>-780.95</v>
      </c>
      <c r="Z728" t="str">
        <f t="shared" si="134"/>
        <v>Normal</v>
      </c>
      <c r="AA728" t="str">
        <f t="shared" si="135"/>
        <v>High</v>
      </c>
      <c r="AB728" t="str">
        <f t="shared" si="139"/>
        <v>Loss</v>
      </c>
      <c r="AC728" s="3">
        <f t="shared" si="140"/>
        <v>-0.18654898120058286</v>
      </c>
      <c r="AD728" s="3">
        <f t="shared" si="141"/>
        <v>697.7166666666667</v>
      </c>
      <c r="AE728" s="3">
        <f t="shared" si="142"/>
        <v>-130.15833333333333</v>
      </c>
      <c r="AF728" t="str">
        <f t="shared" si="143"/>
        <v>Regular</v>
      </c>
    </row>
    <row r="729" spans="1:32" x14ac:dyDescent="0.25">
      <c r="A729" t="s">
        <v>4990</v>
      </c>
      <c r="B729" s="1">
        <v>45278</v>
      </c>
      <c r="C729" s="1">
        <v>45281</v>
      </c>
      <c r="D729" s="4">
        <f t="shared" si="132"/>
        <v>3</v>
      </c>
      <c r="E729" s="4" t="str">
        <f>TEXT(Table1[[#This Row],[Order_Date]],"dddd")</f>
        <v>Monday</v>
      </c>
      <c r="F729" s="4">
        <f t="shared" si="133"/>
        <v>12</v>
      </c>
      <c r="G729" t="str">
        <f t="shared" si="136"/>
        <v>December</v>
      </c>
      <c r="H729">
        <f t="shared" si="137"/>
        <v>2023</v>
      </c>
      <c r="I729" t="str">
        <f t="shared" si="138"/>
        <v>2023-Q4</v>
      </c>
      <c r="J729" t="s">
        <v>44</v>
      </c>
      <c r="K729" t="s">
        <v>4991</v>
      </c>
      <c r="L729" t="s">
        <v>4992</v>
      </c>
      <c r="M729" t="s">
        <v>36</v>
      </c>
      <c r="N729" t="s">
        <v>25</v>
      </c>
      <c r="O729" t="s">
        <v>65</v>
      </c>
      <c r="P729" t="s">
        <v>27</v>
      </c>
      <c r="Q729" t="s">
        <v>66</v>
      </c>
      <c r="R729" t="s">
        <v>4993</v>
      </c>
      <c r="S729" t="s">
        <v>51</v>
      </c>
      <c r="T729" t="s">
        <v>94</v>
      </c>
      <c r="U729" t="s">
        <v>4994</v>
      </c>
      <c r="V729" s="3">
        <v>2038.67</v>
      </c>
      <c r="W729" s="4">
        <v>9</v>
      </c>
      <c r="X729" s="2">
        <v>0</v>
      </c>
      <c r="Y729" s="3">
        <v>-262.19</v>
      </c>
      <c r="Z729" t="str">
        <f t="shared" si="134"/>
        <v>Normal</v>
      </c>
      <c r="AA729" t="str">
        <f t="shared" si="135"/>
        <v>Low</v>
      </c>
      <c r="AB729" t="str">
        <f t="shared" si="139"/>
        <v>Loss</v>
      </c>
      <c r="AC729" s="3">
        <f t="shared" si="140"/>
        <v>-0.12860835740948756</v>
      </c>
      <c r="AD729" s="3">
        <f t="shared" si="141"/>
        <v>226.51888888888891</v>
      </c>
      <c r="AE729" s="3">
        <f t="shared" si="142"/>
        <v>-29.132222222222222</v>
      </c>
      <c r="AF729" t="str">
        <f t="shared" si="143"/>
        <v>Regular</v>
      </c>
    </row>
    <row r="730" spans="1:32" x14ac:dyDescent="0.25">
      <c r="A730" t="s">
        <v>3063</v>
      </c>
      <c r="B730" s="1">
        <v>45278</v>
      </c>
      <c r="C730" s="1">
        <v>45282</v>
      </c>
      <c r="D730" s="4">
        <f t="shared" si="132"/>
        <v>4</v>
      </c>
      <c r="E730" s="4" t="str">
        <f>TEXT(Table1[[#This Row],[Order_Date]],"dddd")</f>
        <v>Monday</v>
      </c>
      <c r="F730" s="4">
        <f t="shared" si="133"/>
        <v>12</v>
      </c>
      <c r="G730" t="str">
        <f t="shared" si="136"/>
        <v>December</v>
      </c>
      <c r="H730">
        <f t="shared" si="137"/>
        <v>2023</v>
      </c>
      <c r="I730" t="str">
        <f t="shared" si="138"/>
        <v>2023-Q4</v>
      </c>
      <c r="J730" t="s">
        <v>55</v>
      </c>
      <c r="K730" t="s">
        <v>3064</v>
      </c>
      <c r="L730" t="s">
        <v>3065</v>
      </c>
      <c r="M730" t="s">
        <v>47</v>
      </c>
      <c r="N730" t="s">
        <v>25</v>
      </c>
      <c r="O730" t="s">
        <v>451</v>
      </c>
      <c r="P730" t="s">
        <v>38</v>
      </c>
      <c r="Q730" t="s">
        <v>39</v>
      </c>
      <c r="R730" t="s">
        <v>3066</v>
      </c>
      <c r="S730" t="s">
        <v>51</v>
      </c>
      <c r="T730" t="s">
        <v>127</v>
      </c>
      <c r="U730" t="s">
        <v>3067</v>
      </c>
      <c r="V730" s="3">
        <v>3035.34</v>
      </c>
      <c r="W730" s="4">
        <v>1</v>
      </c>
      <c r="X730" s="2">
        <v>0.1</v>
      </c>
      <c r="Y730" s="3">
        <v>8.83</v>
      </c>
      <c r="Z730" t="str">
        <f t="shared" si="134"/>
        <v>Normal</v>
      </c>
      <c r="AA730" t="str">
        <f t="shared" si="135"/>
        <v>Medium</v>
      </c>
      <c r="AB730" t="str">
        <f t="shared" si="139"/>
        <v>Low Profit</v>
      </c>
      <c r="AC730" s="3">
        <f t="shared" si="140"/>
        <v>2.9090645529001691E-3</v>
      </c>
      <c r="AD730" s="3">
        <f t="shared" si="141"/>
        <v>3035.34</v>
      </c>
      <c r="AE730" s="3">
        <f t="shared" si="142"/>
        <v>8.83</v>
      </c>
      <c r="AF730" t="str">
        <f t="shared" si="143"/>
        <v>Regular</v>
      </c>
    </row>
    <row r="731" spans="1:32" x14ac:dyDescent="0.25">
      <c r="A731" t="s">
        <v>1061</v>
      </c>
      <c r="B731" s="1">
        <v>45279</v>
      </c>
      <c r="C731" s="1">
        <v>45280</v>
      </c>
      <c r="D731" s="4">
        <f t="shared" si="132"/>
        <v>1</v>
      </c>
      <c r="E731" s="4" t="str">
        <f>TEXT(Table1[[#This Row],[Order_Date]],"dddd")</f>
        <v>Tuesday</v>
      </c>
      <c r="F731" s="4">
        <f t="shared" si="133"/>
        <v>12</v>
      </c>
      <c r="G731" t="str">
        <f t="shared" si="136"/>
        <v>December</v>
      </c>
      <c r="H731">
        <f t="shared" si="137"/>
        <v>2023</v>
      </c>
      <c r="I731" t="str">
        <f t="shared" si="138"/>
        <v>2023-Q4</v>
      </c>
      <c r="J731" t="s">
        <v>55</v>
      </c>
      <c r="K731" t="s">
        <v>1062</v>
      </c>
      <c r="L731" t="s">
        <v>1063</v>
      </c>
      <c r="M731" t="s">
        <v>36</v>
      </c>
      <c r="N731" t="s">
        <v>25</v>
      </c>
      <c r="O731" t="s">
        <v>65</v>
      </c>
      <c r="P731" t="s">
        <v>27</v>
      </c>
      <c r="Q731" t="s">
        <v>66</v>
      </c>
      <c r="R731" t="s">
        <v>1064</v>
      </c>
      <c r="S731" t="s">
        <v>59</v>
      </c>
      <c r="T731" t="s">
        <v>101</v>
      </c>
      <c r="U731" t="s">
        <v>1065</v>
      </c>
      <c r="V731" s="3">
        <v>857.63</v>
      </c>
      <c r="W731" s="4">
        <v>8</v>
      </c>
      <c r="X731" s="2">
        <v>0.2</v>
      </c>
      <c r="Y731" s="3">
        <v>204.93</v>
      </c>
      <c r="Z731" t="str">
        <f t="shared" si="134"/>
        <v>Normal</v>
      </c>
      <c r="AA731" t="str">
        <f t="shared" si="135"/>
        <v>High</v>
      </c>
      <c r="AB731" t="str">
        <f t="shared" si="139"/>
        <v>Low Profit</v>
      </c>
      <c r="AC731" s="3">
        <f t="shared" si="140"/>
        <v>0.23894919720625446</v>
      </c>
      <c r="AD731" s="3">
        <f t="shared" si="141"/>
        <v>107.20375</v>
      </c>
      <c r="AE731" s="3">
        <f t="shared" si="142"/>
        <v>25.616250000000001</v>
      </c>
      <c r="AF731" t="str">
        <f t="shared" si="143"/>
        <v>Regular</v>
      </c>
    </row>
    <row r="732" spans="1:32" x14ac:dyDescent="0.25">
      <c r="A732" t="s">
        <v>4247</v>
      </c>
      <c r="B732" s="1">
        <v>45280</v>
      </c>
      <c r="C732" s="1">
        <v>45286</v>
      </c>
      <c r="D732" s="4">
        <f t="shared" si="132"/>
        <v>6</v>
      </c>
      <c r="E732" s="4" t="str">
        <f>TEXT(Table1[[#This Row],[Order_Date]],"dddd")</f>
        <v>Wednesday</v>
      </c>
      <c r="F732" s="4">
        <f t="shared" si="133"/>
        <v>12</v>
      </c>
      <c r="G732" t="str">
        <f t="shared" si="136"/>
        <v>December</v>
      </c>
      <c r="H732">
        <f t="shared" si="137"/>
        <v>2023</v>
      </c>
      <c r="I732" t="str">
        <f t="shared" si="138"/>
        <v>2023-Q4</v>
      </c>
      <c r="J732" t="s">
        <v>104</v>
      </c>
      <c r="K732" t="s">
        <v>7402</v>
      </c>
      <c r="L732" t="s">
        <v>4248</v>
      </c>
      <c r="M732" t="s">
        <v>24</v>
      </c>
      <c r="N732" t="s">
        <v>25</v>
      </c>
      <c r="O732" t="s">
        <v>119</v>
      </c>
      <c r="P732" t="s">
        <v>120</v>
      </c>
      <c r="Q732" t="s">
        <v>87</v>
      </c>
      <c r="R732" t="s">
        <v>4249</v>
      </c>
      <c r="S732" t="s">
        <v>59</v>
      </c>
      <c r="T732" t="s">
        <v>303</v>
      </c>
      <c r="U732" t="s">
        <v>4250</v>
      </c>
      <c r="V732" s="3">
        <v>1378.86</v>
      </c>
      <c r="W732" s="4">
        <v>3</v>
      </c>
      <c r="X732" s="2">
        <v>0.1</v>
      </c>
      <c r="Y732" s="3">
        <v>216.77</v>
      </c>
      <c r="Z732" t="str">
        <f t="shared" si="134"/>
        <v>Normal</v>
      </c>
      <c r="AA732" t="str">
        <f t="shared" si="135"/>
        <v>Medium</v>
      </c>
      <c r="AB732" t="str">
        <f t="shared" si="139"/>
        <v>Low Profit</v>
      </c>
      <c r="AC732" s="3">
        <f t="shared" si="140"/>
        <v>0.15720957892751986</v>
      </c>
      <c r="AD732" s="3">
        <f t="shared" si="141"/>
        <v>459.61999999999995</v>
      </c>
      <c r="AE732" s="3">
        <f t="shared" si="142"/>
        <v>72.256666666666675</v>
      </c>
      <c r="AF732" t="str">
        <f t="shared" si="143"/>
        <v>Regular</v>
      </c>
    </row>
    <row r="733" spans="1:32" x14ac:dyDescent="0.25">
      <c r="A733" t="s">
        <v>5128</v>
      </c>
      <c r="B733" s="1">
        <v>45280</v>
      </c>
      <c r="C733" s="1">
        <v>45282</v>
      </c>
      <c r="D733" s="4">
        <f t="shared" si="132"/>
        <v>2</v>
      </c>
      <c r="E733" s="4" t="str">
        <f>TEXT(Table1[[#This Row],[Order_Date]],"dddd")</f>
        <v>Wednesday</v>
      </c>
      <c r="F733" s="4">
        <f t="shared" si="133"/>
        <v>12</v>
      </c>
      <c r="G733" t="str">
        <f t="shared" si="136"/>
        <v>December</v>
      </c>
      <c r="H733">
        <f t="shared" si="137"/>
        <v>2023</v>
      </c>
      <c r="I733" t="str">
        <f t="shared" si="138"/>
        <v>2023-Q4</v>
      </c>
      <c r="J733" t="s">
        <v>104</v>
      </c>
      <c r="K733" t="s">
        <v>5129</v>
      </c>
      <c r="L733" t="s">
        <v>5130</v>
      </c>
      <c r="M733" t="s">
        <v>47</v>
      </c>
      <c r="N733" t="s">
        <v>25</v>
      </c>
      <c r="O733" t="s">
        <v>162</v>
      </c>
      <c r="P733" t="s">
        <v>163</v>
      </c>
      <c r="Q733" t="s">
        <v>66</v>
      </c>
      <c r="R733" t="s">
        <v>5131</v>
      </c>
      <c r="S733" t="s">
        <v>30</v>
      </c>
      <c r="T733" t="s">
        <v>41</v>
      </c>
      <c r="U733" t="s">
        <v>5132</v>
      </c>
      <c r="V733" s="3">
        <v>1320.56</v>
      </c>
      <c r="W733" s="4">
        <v>8</v>
      </c>
      <c r="X733" s="2">
        <v>0.4</v>
      </c>
      <c r="Y733" s="3">
        <v>6.6</v>
      </c>
      <c r="Z733" t="str">
        <f t="shared" si="134"/>
        <v>Normal</v>
      </c>
      <c r="AA733" t="str">
        <f t="shared" si="135"/>
        <v>High</v>
      </c>
      <c r="AB733" t="str">
        <f t="shared" si="139"/>
        <v>Low Profit</v>
      </c>
      <c r="AC733" s="3">
        <f t="shared" si="140"/>
        <v>4.9978796874053429E-3</v>
      </c>
      <c r="AD733" s="3">
        <f t="shared" si="141"/>
        <v>165.07</v>
      </c>
      <c r="AE733" s="3">
        <f t="shared" si="142"/>
        <v>0.82499999999999996</v>
      </c>
      <c r="AF733" t="str">
        <f t="shared" si="143"/>
        <v>Regular</v>
      </c>
    </row>
    <row r="734" spans="1:32" x14ac:dyDescent="0.25">
      <c r="A734" t="s">
        <v>6248</v>
      </c>
      <c r="B734" s="1">
        <v>45281</v>
      </c>
      <c r="C734" s="1">
        <v>45285</v>
      </c>
      <c r="D734" s="4">
        <f t="shared" si="132"/>
        <v>4</v>
      </c>
      <c r="E734" s="4" t="str">
        <f>TEXT(Table1[[#This Row],[Order_Date]],"dddd")</f>
        <v>Thursday</v>
      </c>
      <c r="F734" s="4">
        <f t="shared" si="133"/>
        <v>12</v>
      </c>
      <c r="G734" t="str">
        <f t="shared" si="136"/>
        <v>December</v>
      </c>
      <c r="H734">
        <f t="shared" si="137"/>
        <v>2023</v>
      </c>
      <c r="I734" t="str">
        <f t="shared" si="138"/>
        <v>2023-Q4</v>
      </c>
      <c r="J734" t="s">
        <v>21</v>
      </c>
      <c r="K734" t="s">
        <v>6249</v>
      </c>
      <c r="L734" t="s">
        <v>6250</v>
      </c>
      <c r="M734" t="s">
        <v>24</v>
      </c>
      <c r="N734" t="s">
        <v>25</v>
      </c>
      <c r="O734" t="s">
        <v>99</v>
      </c>
      <c r="P734" t="s">
        <v>74</v>
      </c>
      <c r="Q734" t="s">
        <v>66</v>
      </c>
      <c r="R734" t="s">
        <v>6251</v>
      </c>
      <c r="S734" t="s">
        <v>59</v>
      </c>
      <c r="T734" t="s">
        <v>303</v>
      </c>
      <c r="U734" t="s">
        <v>6252</v>
      </c>
      <c r="V734" s="3">
        <v>2180.6799999999998</v>
      </c>
      <c r="W734" s="4">
        <v>2</v>
      </c>
      <c r="X734" s="2">
        <v>0</v>
      </c>
      <c r="Y734" s="3">
        <v>-355.03</v>
      </c>
      <c r="Z734" t="str">
        <f t="shared" si="134"/>
        <v>Normal</v>
      </c>
      <c r="AA734" t="str">
        <f t="shared" si="135"/>
        <v>Low</v>
      </c>
      <c r="AB734" t="str">
        <f t="shared" si="139"/>
        <v>Loss</v>
      </c>
      <c r="AC734" s="3">
        <f t="shared" si="140"/>
        <v>-0.16280701432580663</v>
      </c>
      <c r="AD734" s="3">
        <f t="shared" si="141"/>
        <v>1090.3399999999999</v>
      </c>
      <c r="AE734" s="3">
        <f t="shared" si="142"/>
        <v>-177.51499999999999</v>
      </c>
      <c r="AF734" t="str">
        <f t="shared" si="143"/>
        <v>Regular</v>
      </c>
    </row>
    <row r="735" spans="1:32" x14ac:dyDescent="0.25">
      <c r="A735" t="s">
        <v>1678</v>
      </c>
      <c r="B735" s="1">
        <v>45281</v>
      </c>
      <c r="C735" s="1">
        <v>45289</v>
      </c>
      <c r="D735" s="4">
        <f t="shared" si="132"/>
        <v>8</v>
      </c>
      <c r="E735" s="4" t="str">
        <f>TEXT(Table1[[#This Row],[Order_Date]],"dddd")</f>
        <v>Thursday</v>
      </c>
      <c r="F735" s="4">
        <f t="shared" si="133"/>
        <v>12</v>
      </c>
      <c r="G735" t="str">
        <f t="shared" si="136"/>
        <v>December</v>
      </c>
      <c r="H735">
        <f t="shared" si="137"/>
        <v>2023</v>
      </c>
      <c r="I735" t="str">
        <f t="shared" si="138"/>
        <v>2023-Q4</v>
      </c>
      <c r="J735" t="s">
        <v>21</v>
      </c>
      <c r="K735" t="s">
        <v>1679</v>
      </c>
      <c r="L735" t="s">
        <v>1680</v>
      </c>
      <c r="M735" t="s">
        <v>36</v>
      </c>
      <c r="N735" t="s">
        <v>25</v>
      </c>
      <c r="O735" t="s">
        <v>149</v>
      </c>
      <c r="P735" t="s">
        <v>113</v>
      </c>
      <c r="Q735" t="s">
        <v>87</v>
      </c>
      <c r="R735" t="s">
        <v>1681</v>
      </c>
      <c r="S735" t="s">
        <v>51</v>
      </c>
      <c r="T735" t="s">
        <v>127</v>
      </c>
      <c r="U735" t="s">
        <v>1682</v>
      </c>
      <c r="V735" s="3">
        <v>3121.12</v>
      </c>
      <c r="W735" s="4">
        <v>7</v>
      </c>
      <c r="X735" s="2">
        <v>0</v>
      </c>
      <c r="Y735" s="3">
        <v>765.74</v>
      </c>
      <c r="Z735" t="str">
        <f t="shared" si="134"/>
        <v>Normal</v>
      </c>
      <c r="AA735" t="str">
        <f t="shared" si="135"/>
        <v>Low</v>
      </c>
      <c r="AB735" t="str">
        <f t="shared" si="139"/>
        <v>High Profit</v>
      </c>
      <c r="AC735" s="3">
        <f t="shared" si="140"/>
        <v>0.24534141590198391</v>
      </c>
      <c r="AD735" s="3">
        <f t="shared" si="141"/>
        <v>445.87428571428569</v>
      </c>
      <c r="AE735" s="3">
        <f t="shared" si="142"/>
        <v>109.39142857142858</v>
      </c>
      <c r="AF735" t="str">
        <f t="shared" si="143"/>
        <v>Regular</v>
      </c>
    </row>
    <row r="736" spans="1:32" x14ac:dyDescent="0.25">
      <c r="A736" t="s">
        <v>2977</v>
      </c>
      <c r="B736" s="1">
        <v>45281</v>
      </c>
      <c r="C736" s="1">
        <v>45285</v>
      </c>
      <c r="D736" s="4">
        <f t="shared" si="132"/>
        <v>4</v>
      </c>
      <c r="E736" s="4" t="str">
        <f>TEXT(Table1[[#This Row],[Order_Date]],"dddd")</f>
        <v>Thursday</v>
      </c>
      <c r="F736" s="4">
        <f t="shared" si="133"/>
        <v>12</v>
      </c>
      <c r="G736" t="str">
        <f t="shared" si="136"/>
        <v>December</v>
      </c>
      <c r="H736">
        <f t="shared" si="137"/>
        <v>2023</v>
      </c>
      <c r="I736" t="str">
        <f t="shared" si="138"/>
        <v>2023-Q4</v>
      </c>
      <c r="J736" t="s">
        <v>104</v>
      </c>
      <c r="K736" t="s">
        <v>2978</v>
      </c>
      <c r="L736" t="s">
        <v>2979</v>
      </c>
      <c r="M736" t="s">
        <v>36</v>
      </c>
      <c r="N736" t="s">
        <v>25</v>
      </c>
      <c r="O736" t="s">
        <v>48</v>
      </c>
      <c r="P736" t="s">
        <v>49</v>
      </c>
      <c r="Q736" t="s">
        <v>39</v>
      </c>
      <c r="R736" t="s">
        <v>2980</v>
      </c>
      <c r="S736" t="s">
        <v>59</v>
      </c>
      <c r="T736" t="s">
        <v>60</v>
      </c>
      <c r="U736" t="s">
        <v>2981</v>
      </c>
      <c r="V736" s="3">
        <v>687.49</v>
      </c>
      <c r="W736" s="4">
        <v>8</v>
      </c>
      <c r="X736" s="2">
        <v>0.4</v>
      </c>
      <c r="Y736" s="3">
        <v>204.92</v>
      </c>
      <c r="Z736" t="str">
        <f t="shared" si="134"/>
        <v>Normal</v>
      </c>
      <c r="AA736" t="str">
        <f t="shared" si="135"/>
        <v>High</v>
      </c>
      <c r="AB736" t="str">
        <f t="shared" si="139"/>
        <v>Low Profit</v>
      </c>
      <c r="AC736" s="3">
        <f t="shared" si="140"/>
        <v>0.2980697901060379</v>
      </c>
      <c r="AD736" s="3">
        <f t="shared" si="141"/>
        <v>85.936250000000001</v>
      </c>
      <c r="AE736" s="3">
        <f t="shared" si="142"/>
        <v>25.614999999999998</v>
      </c>
      <c r="AF736" t="str">
        <f t="shared" si="143"/>
        <v>Regular</v>
      </c>
    </row>
    <row r="737" spans="1:32" x14ac:dyDescent="0.25">
      <c r="A737" t="s">
        <v>1708</v>
      </c>
      <c r="B737" s="1">
        <v>45282</v>
      </c>
      <c r="C737" s="1">
        <v>45288</v>
      </c>
      <c r="D737" s="4">
        <f t="shared" si="132"/>
        <v>6</v>
      </c>
      <c r="E737" s="4" t="str">
        <f>TEXT(Table1[[#This Row],[Order_Date]],"dddd")</f>
        <v>Friday</v>
      </c>
      <c r="F737" s="4">
        <f t="shared" si="133"/>
        <v>12</v>
      </c>
      <c r="G737" t="str">
        <f t="shared" si="136"/>
        <v>December</v>
      </c>
      <c r="H737">
        <f t="shared" si="137"/>
        <v>2023</v>
      </c>
      <c r="I737" t="str">
        <f t="shared" si="138"/>
        <v>2023-Q4</v>
      </c>
      <c r="J737" t="s">
        <v>104</v>
      </c>
      <c r="K737" t="s">
        <v>1709</v>
      </c>
      <c r="L737" t="s">
        <v>1710</v>
      </c>
      <c r="M737" t="s">
        <v>47</v>
      </c>
      <c r="N737" t="s">
        <v>25</v>
      </c>
      <c r="O737" t="s">
        <v>73</v>
      </c>
      <c r="P737" t="s">
        <v>74</v>
      </c>
      <c r="Q737" t="s">
        <v>28</v>
      </c>
      <c r="R737" t="s">
        <v>1711</v>
      </c>
      <c r="S737" t="s">
        <v>51</v>
      </c>
      <c r="T737" t="s">
        <v>151</v>
      </c>
      <c r="U737" t="s">
        <v>1712</v>
      </c>
      <c r="V737" s="3">
        <v>1752.89</v>
      </c>
      <c r="W737" s="4">
        <v>7</v>
      </c>
      <c r="X737" s="2">
        <v>0.3</v>
      </c>
      <c r="Y737" s="3">
        <v>66.17</v>
      </c>
      <c r="Z737" t="str">
        <f t="shared" si="134"/>
        <v>Normal</v>
      </c>
      <c r="AA737" t="str">
        <f t="shared" si="135"/>
        <v>High</v>
      </c>
      <c r="AB737" t="str">
        <f t="shared" si="139"/>
        <v>Low Profit</v>
      </c>
      <c r="AC737" s="3">
        <f t="shared" si="140"/>
        <v>3.7749088647890054E-2</v>
      </c>
      <c r="AD737" s="3">
        <f t="shared" si="141"/>
        <v>250.41285714285715</v>
      </c>
      <c r="AE737" s="3">
        <f t="shared" si="142"/>
        <v>9.4528571428571428</v>
      </c>
      <c r="AF737" t="str">
        <f t="shared" si="143"/>
        <v>Regular</v>
      </c>
    </row>
    <row r="738" spans="1:32" x14ac:dyDescent="0.25">
      <c r="A738" t="s">
        <v>3020</v>
      </c>
      <c r="B738" s="1">
        <v>45283</v>
      </c>
      <c r="C738" s="1">
        <v>45286</v>
      </c>
      <c r="D738" s="4">
        <f t="shared" si="132"/>
        <v>3</v>
      </c>
      <c r="E738" s="4" t="str">
        <f>TEXT(Table1[[#This Row],[Order_Date]],"dddd")</f>
        <v>Saturday</v>
      </c>
      <c r="F738" s="4">
        <f t="shared" si="133"/>
        <v>12</v>
      </c>
      <c r="G738" t="str">
        <f t="shared" si="136"/>
        <v>December</v>
      </c>
      <c r="H738">
        <f t="shared" si="137"/>
        <v>2023</v>
      </c>
      <c r="I738" t="str">
        <f t="shared" si="138"/>
        <v>2023-Q4</v>
      </c>
      <c r="J738" t="s">
        <v>44</v>
      </c>
      <c r="K738" t="s">
        <v>3021</v>
      </c>
      <c r="L738" t="s">
        <v>3022</v>
      </c>
      <c r="M738" t="s">
        <v>36</v>
      </c>
      <c r="N738" t="s">
        <v>25</v>
      </c>
      <c r="O738" t="s">
        <v>201</v>
      </c>
      <c r="P738" t="s">
        <v>113</v>
      </c>
      <c r="Q738" t="s">
        <v>28</v>
      </c>
      <c r="R738" t="s">
        <v>3023</v>
      </c>
      <c r="S738" t="s">
        <v>59</v>
      </c>
      <c r="T738" t="s">
        <v>303</v>
      </c>
      <c r="U738" t="s">
        <v>3024</v>
      </c>
      <c r="V738" s="3">
        <v>1522.95</v>
      </c>
      <c r="W738" s="4">
        <v>4</v>
      </c>
      <c r="X738" s="2">
        <v>0.3</v>
      </c>
      <c r="Y738" s="3">
        <v>-151.59</v>
      </c>
      <c r="Z738" t="str">
        <f t="shared" si="134"/>
        <v>Normal</v>
      </c>
      <c r="AA738" t="str">
        <f t="shared" si="135"/>
        <v>High</v>
      </c>
      <c r="AB738" t="str">
        <f t="shared" si="139"/>
        <v>Loss</v>
      </c>
      <c r="AC738" s="3">
        <f t="shared" si="140"/>
        <v>-9.9537082635674179E-2</v>
      </c>
      <c r="AD738" s="3">
        <f t="shared" si="141"/>
        <v>380.73750000000001</v>
      </c>
      <c r="AE738" s="3">
        <f t="shared" si="142"/>
        <v>-37.897500000000001</v>
      </c>
      <c r="AF738" t="str">
        <f t="shared" si="143"/>
        <v>Regular</v>
      </c>
    </row>
    <row r="739" spans="1:32" x14ac:dyDescent="0.25">
      <c r="A739" t="s">
        <v>5821</v>
      </c>
      <c r="B739" s="1">
        <v>45283</v>
      </c>
      <c r="C739" s="1">
        <v>45284</v>
      </c>
      <c r="D739" s="4">
        <f t="shared" si="132"/>
        <v>1</v>
      </c>
      <c r="E739" s="4" t="str">
        <f>TEXT(Table1[[#This Row],[Order_Date]],"dddd")</f>
        <v>Saturday</v>
      </c>
      <c r="F739" s="4">
        <f t="shared" si="133"/>
        <v>12</v>
      </c>
      <c r="G739" t="str">
        <f t="shared" si="136"/>
        <v>December</v>
      </c>
      <c r="H739">
        <f t="shared" si="137"/>
        <v>2023</v>
      </c>
      <c r="I739" t="str">
        <f t="shared" si="138"/>
        <v>2023-Q4</v>
      </c>
      <c r="J739" t="s">
        <v>44</v>
      </c>
      <c r="K739" t="s">
        <v>5822</v>
      </c>
      <c r="L739" t="s">
        <v>5823</v>
      </c>
      <c r="M739" t="s">
        <v>36</v>
      </c>
      <c r="N739" t="s">
        <v>25</v>
      </c>
      <c r="O739" t="s">
        <v>119</v>
      </c>
      <c r="P739" t="s">
        <v>120</v>
      </c>
      <c r="Q739" t="s">
        <v>66</v>
      </c>
      <c r="R739" t="s">
        <v>5824</v>
      </c>
      <c r="S739" t="s">
        <v>30</v>
      </c>
      <c r="T739" t="s">
        <v>41</v>
      </c>
      <c r="U739" t="s">
        <v>5376</v>
      </c>
      <c r="V739" s="3">
        <v>1335.5</v>
      </c>
      <c r="W739" s="4">
        <v>10</v>
      </c>
      <c r="X739" s="2">
        <v>0</v>
      </c>
      <c r="Y739" s="3">
        <v>58.01</v>
      </c>
      <c r="Z739" t="str">
        <f t="shared" si="134"/>
        <v>Normal</v>
      </c>
      <c r="AA739" t="str">
        <f t="shared" si="135"/>
        <v>Low</v>
      </c>
      <c r="AB739" t="str">
        <f t="shared" si="139"/>
        <v>Low Profit</v>
      </c>
      <c r="AC739" s="3">
        <f t="shared" si="140"/>
        <v>4.3436915013103705E-2</v>
      </c>
      <c r="AD739" s="3">
        <f t="shared" si="141"/>
        <v>133.55000000000001</v>
      </c>
      <c r="AE739" s="3">
        <f t="shared" si="142"/>
        <v>5.8010000000000002</v>
      </c>
      <c r="AF739" t="str">
        <f t="shared" si="143"/>
        <v>Regular</v>
      </c>
    </row>
    <row r="740" spans="1:32" x14ac:dyDescent="0.25">
      <c r="A740" t="s">
        <v>5778</v>
      </c>
      <c r="B740" s="1">
        <v>45283</v>
      </c>
      <c r="C740" s="1">
        <v>45287</v>
      </c>
      <c r="D740" s="4">
        <f t="shared" si="132"/>
        <v>4</v>
      </c>
      <c r="E740" s="4" t="str">
        <f>TEXT(Table1[[#This Row],[Order_Date]],"dddd")</f>
        <v>Saturday</v>
      </c>
      <c r="F740" s="4">
        <f t="shared" si="133"/>
        <v>12</v>
      </c>
      <c r="G740" t="str">
        <f t="shared" si="136"/>
        <v>December</v>
      </c>
      <c r="H740">
        <f t="shared" si="137"/>
        <v>2023</v>
      </c>
      <c r="I740" t="str">
        <f t="shared" si="138"/>
        <v>2023-Q4</v>
      </c>
      <c r="J740" t="s">
        <v>104</v>
      </c>
      <c r="K740" t="s">
        <v>5779</v>
      </c>
      <c r="L740" t="s">
        <v>5780</v>
      </c>
      <c r="M740" t="s">
        <v>24</v>
      </c>
      <c r="N740" t="s">
        <v>25</v>
      </c>
      <c r="O740" t="s">
        <v>190</v>
      </c>
      <c r="P740" t="s">
        <v>120</v>
      </c>
      <c r="Q740" t="s">
        <v>28</v>
      </c>
      <c r="R740" t="s">
        <v>5781</v>
      </c>
      <c r="S740" t="s">
        <v>51</v>
      </c>
      <c r="T740" t="s">
        <v>94</v>
      </c>
      <c r="U740" t="s">
        <v>5622</v>
      </c>
      <c r="V740" s="3">
        <v>1679.88</v>
      </c>
      <c r="W740" s="4">
        <v>5</v>
      </c>
      <c r="X740" s="2">
        <v>0.4</v>
      </c>
      <c r="Y740" s="3">
        <v>5.26</v>
      </c>
      <c r="Z740" t="str">
        <f t="shared" si="134"/>
        <v>Normal</v>
      </c>
      <c r="AA740" t="str">
        <f t="shared" si="135"/>
        <v>High</v>
      </c>
      <c r="AB740" t="str">
        <f t="shared" si="139"/>
        <v>Low Profit</v>
      </c>
      <c r="AC740" s="3">
        <f t="shared" si="140"/>
        <v>3.131176036383551E-3</v>
      </c>
      <c r="AD740" s="3">
        <f t="shared" si="141"/>
        <v>335.976</v>
      </c>
      <c r="AE740" s="3">
        <f t="shared" si="142"/>
        <v>1.052</v>
      </c>
      <c r="AF740" t="str">
        <f t="shared" si="143"/>
        <v>Regular</v>
      </c>
    </row>
    <row r="741" spans="1:32" x14ac:dyDescent="0.25">
      <c r="A741" t="s">
        <v>1429</v>
      </c>
      <c r="B741" s="1">
        <v>45284</v>
      </c>
      <c r="C741" s="1">
        <v>45285</v>
      </c>
      <c r="D741" s="4">
        <f t="shared" si="132"/>
        <v>1</v>
      </c>
      <c r="E741" s="4" t="str">
        <f>TEXT(Table1[[#This Row],[Order_Date]],"dddd")</f>
        <v>Sunday</v>
      </c>
      <c r="F741" s="4">
        <f t="shared" si="133"/>
        <v>12</v>
      </c>
      <c r="G741" t="str">
        <f t="shared" si="136"/>
        <v>December</v>
      </c>
      <c r="H741">
        <f t="shared" si="137"/>
        <v>2023</v>
      </c>
      <c r="I741" t="str">
        <f t="shared" si="138"/>
        <v>2023-Q4</v>
      </c>
      <c r="J741" t="s">
        <v>21</v>
      </c>
      <c r="K741" t="s">
        <v>1430</v>
      </c>
      <c r="L741" t="s">
        <v>1431</v>
      </c>
      <c r="M741" t="s">
        <v>24</v>
      </c>
      <c r="N741" t="s">
        <v>25</v>
      </c>
      <c r="O741" t="s">
        <v>142</v>
      </c>
      <c r="P741" t="s">
        <v>143</v>
      </c>
      <c r="Q741" t="s">
        <v>28</v>
      </c>
      <c r="R741" t="s">
        <v>1432</v>
      </c>
      <c r="S741" t="s">
        <v>59</v>
      </c>
      <c r="T741" t="s">
        <v>60</v>
      </c>
      <c r="U741" t="s">
        <v>1433</v>
      </c>
      <c r="V741" s="3">
        <v>1063.23</v>
      </c>
      <c r="W741" s="4">
        <v>1</v>
      </c>
      <c r="X741" s="2">
        <v>0.3</v>
      </c>
      <c r="Y741" s="3">
        <v>107.91</v>
      </c>
      <c r="Z741" t="str">
        <f t="shared" si="134"/>
        <v>Normal</v>
      </c>
      <c r="AA741" t="str">
        <f t="shared" si="135"/>
        <v>High</v>
      </c>
      <c r="AB741" t="str">
        <f t="shared" si="139"/>
        <v>Low Profit</v>
      </c>
      <c r="AC741" s="3">
        <f t="shared" si="140"/>
        <v>0.10149262154002427</v>
      </c>
      <c r="AD741" s="3">
        <f t="shared" si="141"/>
        <v>1063.23</v>
      </c>
      <c r="AE741" s="3">
        <f t="shared" si="142"/>
        <v>107.91</v>
      </c>
      <c r="AF741" t="str">
        <f t="shared" si="143"/>
        <v>Regular</v>
      </c>
    </row>
    <row r="742" spans="1:32" x14ac:dyDescent="0.25">
      <c r="A742" t="s">
        <v>2573</v>
      </c>
      <c r="B742" s="1">
        <v>45284</v>
      </c>
      <c r="C742" s="1">
        <v>45289</v>
      </c>
      <c r="D742" s="4">
        <f t="shared" si="132"/>
        <v>5</v>
      </c>
      <c r="E742" s="4" t="str">
        <f>TEXT(Table1[[#This Row],[Order_Date]],"dddd")</f>
        <v>Sunday</v>
      </c>
      <c r="F742" s="4">
        <f t="shared" si="133"/>
        <v>12</v>
      </c>
      <c r="G742" t="str">
        <f t="shared" si="136"/>
        <v>December</v>
      </c>
      <c r="H742">
        <f t="shared" si="137"/>
        <v>2023</v>
      </c>
      <c r="I742" t="str">
        <f t="shared" si="138"/>
        <v>2023-Q4</v>
      </c>
      <c r="J742" t="s">
        <v>104</v>
      </c>
      <c r="K742" t="s">
        <v>2574</v>
      </c>
      <c r="L742" t="s">
        <v>2575</v>
      </c>
      <c r="M742" t="s">
        <v>47</v>
      </c>
      <c r="N742" t="s">
        <v>25</v>
      </c>
      <c r="O742" t="s">
        <v>142</v>
      </c>
      <c r="P742" t="s">
        <v>143</v>
      </c>
      <c r="Q742" t="s">
        <v>28</v>
      </c>
      <c r="R742" t="s">
        <v>2576</v>
      </c>
      <c r="S742" t="s">
        <v>30</v>
      </c>
      <c r="T742" t="s">
        <v>82</v>
      </c>
      <c r="U742" t="s">
        <v>2577</v>
      </c>
      <c r="V742" s="3">
        <v>1023.01</v>
      </c>
      <c r="W742" s="4">
        <v>3</v>
      </c>
      <c r="X742" s="2">
        <v>0.1</v>
      </c>
      <c r="Y742" s="3">
        <v>-47.28</v>
      </c>
      <c r="Z742" t="str">
        <f t="shared" si="134"/>
        <v>Normal</v>
      </c>
      <c r="AA742" t="str">
        <f t="shared" si="135"/>
        <v>Medium</v>
      </c>
      <c r="AB742" t="str">
        <f t="shared" si="139"/>
        <v>Loss</v>
      </c>
      <c r="AC742" s="3">
        <f t="shared" si="140"/>
        <v>-4.6216557022903004E-2</v>
      </c>
      <c r="AD742" s="3">
        <f t="shared" si="141"/>
        <v>341.00333333333333</v>
      </c>
      <c r="AE742" s="3">
        <f t="shared" si="142"/>
        <v>-15.76</v>
      </c>
      <c r="AF742" t="str">
        <f t="shared" si="143"/>
        <v>Regular</v>
      </c>
    </row>
    <row r="743" spans="1:32" x14ac:dyDescent="0.25">
      <c r="A743" t="s">
        <v>2820</v>
      </c>
      <c r="B743" s="1">
        <v>45284</v>
      </c>
      <c r="C743" s="1">
        <v>45289</v>
      </c>
      <c r="D743" s="4">
        <f t="shared" si="132"/>
        <v>5</v>
      </c>
      <c r="E743" s="4" t="str">
        <f>TEXT(Table1[[#This Row],[Order_Date]],"dddd")</f>
        <v>Sunday</v>
      </c>
      <c r="F743" s="4">
        <f t="shared" si="133"/>
        <v>12</v>
      </c>
      <c r="G743" t="str">
        <f t="shared" si="136"/>
        <v>December</v>
      </c>
      <c r="H743">
        <f t="shared" si="137"/>
        <v>2023</v>
      </c>
      <c r="I743" t="str">
        <f t="shared" si="138"/>
        <v>2023-Q4</v>
      </c>
      <c r="J743" t="s">
        <v>44</v>
      </c>
      <c r="K743" t="s">
        <v>2821</v>
      </c>
      <c r="L743" t="s">
        <v>2822</v>
      </c>
      <c r="M743" t="s">
        <v>24</v>
      </c>
      <c r="N743" t="s">
        <v>25</v>
      </c>
      <c r="O743" t="s">
        <v>162</v>
      </c>
      <c r="P743" t="s">
        <v>163</v>
      </c>
      <c r="Q743" t="s">
        <v>87</v>
      </c>
      <c r="R743" t="s">
        <v>2823</v>
      </c>
      <c r="S743" t="s">
        <v>59</v>
      </c>
      <c r="T743" t="s">
        <v>60</v>
      </c>
      <c r="U743" t="s">
        <v>2824</v>
      </c>
      <c r="V743" s="3">
        <v>464.98</v>
      </c>
      <c r="W743" s="4">
        <v>10</v>
      </c>
      <c r="X743" s="2">
        <v>0.2</v>
      </c>
      <c r="Y743" s="3">
        <v>95.22</v>
      </c>
      <c r="Z743" t="str">
        <f t="shared" si="134"/>
        <v>Normal</v>
      </c>
      <c r="AA743" t="str">
        <f t="shared" si="135"/>
        <v>High</v>
      </c>
      <c r="AB743" t="str">
        <f t="shared" si="139"/>
        <v>Low Profit</v>
      </c>
      <c r="AC743" s="3">
        <f t="shared" si="140"/>
        <v>0.20478300141941588</v>
      </c>
      <c r="AD743" s="3">
        <f t="shared" si="141"/>
        <v>46.498000000000005</v>
      </c>
      <c r="AE743" s="3">
        <f t="shared" si="142"/>
        <v>9.5220000000000002</v>
      </c>
      <c r="AF743" t="str">
        <f t="shared" si="143"/>
        <v>Regular</v>
      </c>
    </row>
    <row r="744" spans="1:32" x14ac:dyDescent="0.25">
      <c r="A744" t="s">
        <v>818</v>
      </c>
      <c r="B744" s="1">
        <v>45285</v>
      </c>
      <c r="C744" s="1">
        <v>45289</v>
      </c>
      <c r="D744" s="4">
        <f t="shared" si="132"/>
        <v>4</v>
      </c>
      <c r="E744" s="4" t="str">
        <f>TEXT(Table1[[#This Row],[Order_Date]],"dddd")</f>
        <v>Monday</v>
      </c>
      <c r="F744" s="4">
        <f t="shared" si="133"/>
        <v>12</v>
      </c>
      <c r="G744" t="str">
        <f t="shared" si="136"/>
        <v>December</v>
      </c>
      <c r="H744">
        <f t="shared" si="137"/>
        <v>2023</v>
      </c>
      <c r="I744" t="str">
        <f t="shared" si="138"/>
        <v>2023-Q4</v>
      </c>
      <c r="J744" t="s">
        <v>21</v>
      </c>
      <c r="K744" t="s">
        <v>819</v>
      </c>
      <c r="L744" t="s">
        <v>820</v>
      </c>
      <c r="M744" t="s">
        <v>36</v>
      </c>
      <c r="N744" t="s">
        <v>25</v>
      </c>
      <c r="O744" t="s">
        <v>255</v>
      </c>
      <c r="P744" t="s">
        <v>143</v>
      </c>
      <c r="Q744" t="s">
        <v>66</v>
      </c>
      <c r="R744" t="s">
        <v>821</v>
      </c>
      <c r="S744" t="s">
        <v>59</v>
      </c>
      <c r="T744" t="s">
        <v>101</v>
      </c>
      <c r="U744" t="s">
        <v>822</v>
      </c>
      <c r="V744" s="3">
        <v>596.36</v>
      </c>
      <c r="W744" s="4">
        <v>9</v>
      </c>
      <c r="X744" s="2">
        <v>0</v>
      </c>
      <c r="Y744" s="3">
        <v>65.28</v>
      </c>
      <c r="Z744" t="str">
        <f t="shared" si="134"/>
        <v>Normal</v>
      </c>
      <c r="AA744" t="str">
        <f t="shared" si="135"/>
        <v>Low</v>
      </c>
      <c r="AB744" t="str">
        <f t="shared" si="139"/>
        <v>Low Profit</v>
      </c>
      <c r="AC744" s="3">
        <f t="shared" si="140"/>
        <v>0.10946408209806158</v>
      </c>
      <c r="AD744" s="3">
        <f t="shared" si="141"/>
        <v>66.262222222222221</v>
      </c>
      <c r="AE744" s="3">
        <f t="shared" si="142"/>
        <v>7.2533333333333339</v>
      </c>
      <c r="AF744" t="str">
        <f t="shared" si="143"/>
        <v>Regular</v>
      </c>
    </row>
    <row r="745" spans="1:32" x14ac:dyDescent="0.25">
      <c r="A745" t="s">
        <v>2730</v>
      </c>
      <c r="B745" s="1">
        <v>45285</v>
      </c>
      <c r="C745" s="1">
        <v>45291</v>
      </c>
      <c r="D745" s="4">
        <f t="shared" si="132"/>
        <v>6</v>
      </c>
      <c r="E745" s="4" t="str">
        <f>TEXT(Table1[[#This Row],[Order_Date]],"dddd")</f>
        <v>Monday</v>
      </c>
      <c r="F745" s="4">
        <f t="shared" si="133"/>
        <v>12</v>
      </c>
      <c r="G745" t="str">
        <f t="shared" si="136"/>
        <v>December</v>
      </c>
      <c r="H745">
        <f t="shared" si="137"/>
        <v>2023</v>
      </c>
      <c r="I745" t="str">
        <f t="shared" si="138"/>
        <v>2023-Q4</v>
      </c>
      <c r="J745" t="s">
        <v>55</v>
      </c>
      <c r="K745" t="s">
        <v>2731</v>
      </c>
      <c r="L745" t="s">
        <v>2732</v>
      </c>
      <c r="M745" t="s">
        <v>24</v>
      </c>
      <c r="N745" t="s">
        <v>25</v>
      </c>
      <c r="O745" t="s">
        <v>48</v>
      </c>
      <c r="P745" t="s">
        <v>49</v>
      </c>
      <c r="Q745" t="s">
        <v>87</v>
      </c>
      <c r="R745" t="s">
        <v>2733</v>
      </c>
      <c r="S745" t="s">
        <v>51</v>
      </c>
      <c r="T745" t="s">
        <v>94</v>
      </c>
      <c r="U745" t="s">
        <v>2734</v>
      </c>
      <c r="V745" s="3">
        <v>1634.18</v>
      </c>
      <c r="W745" s="4">
        <v>6</v>
      </c>
      <c r="X745" s="2">
        <v>0.4</v>
      </c>
      <c r="Y745" s="3">
        <v>438.72</v>
      </c>
      <c r="Z745" t="str">
        <f t="shared" si="134"/>
        <v>Normal</v>
      </c>
      <c r="AA745" t="str">
        <f t="shared" si="135"/>
        <v>High</v>
      </c>
      <c r="AB745" t="str">
        <f t="shared" si="139"/>
        <v>Low Profit</v>
      </c>
      <c r="AC745" s="3">
        <f t="shared" si="140"/>
        <v>0.26846491818526724</v>
      </c>
      <c r="AD745" s="3">
        <f t="shared" si="141"/>
        <v>272.36333333333334</v>
      </c>
      <c r="AE745" s="3">
        <f t="shared" si="142"/>
        <v>73.12</v>
      </c>
      <c r="AF745" t="str">
        <f t="shared" si="143"/>
        <v>Regular</v>
      </c>
    </row>
    <row r="746" spans="1:32" x14ac:dyDescent="0.25">
      <c r="A746" t="s">
        <v>5507</v>
      </c>
      <c r="B746" s="1">
        <v>45286</v>
      </c>
      <c r="C746" s="1">
        <v>45290</v>
      </c>
      <c r="D746" s="4">
        <f t="shared" si="132"/>
        <v>4</v>
      </c>
      <c r="E746" s="4" t="str">
        <f>TEXT(Table1[[#This Row],[Order_Date]],"dddd")</f>
        <v>Tuesday</v>
      </c>
      <c r="F746" s="4">
        <f t="shared" si="133"/>
        <v>12</v>
      </c>
      <c r="G746" t="str">
        <f t="shared" si="136"/>
        <v>December</v>
      </c>
      <c r="H746">
        <f t="shared" si="137"/>
        <v>2023</v>
      </c>
      <c r="I746" t="str">
        <f t="shared" si="138"/>
        <v>2023-Q4</v>
      </c>
      <c r="J746" t="s">
        <v>55</v>
      </c>
      <c r="K746" t="s">
        <v>5508</v>
      </c>
      <c r="L746" t="s">
        <v>5509</v>
      </c>
      <c r="M746" t="s">
        <v>47</v>
      </c>
      <c r="N746" t="s">
        <v>25</v>
      </c>
      <c r="O746" t="s">
        <v>65</v>
      </c>
      <c r="P746" t="s">
        <v>27</v>
      </c>
      <c r="Q746" t="s">
        <v>39</v>
      </c>
      <c r="R746" t="s">
        <v>5510</v>
      </c>
      <c r="S746" t="s">
        <v>51</v>
      </c>
      <c r="T746" t="s">
        <v>52</v>
      </c>
      <c r="U746" t="s">
        <v>5511</v>
      </c>
      <c r="V746" s="3">
        <v>1947.61</v>
      </c>
      <c r="W746" s="4">
        <v>7</v>
      </c>
      <c r="X746" s="2">
        <v>0.4</v>
      </c>
      <c r="Y746" s="3">
        <v>561.84</v>
      </c>
      <c r="Z746" t="str">
        <f t="shared" si="134"/>
        <v>Normal</v>
      </c>
      <c r="AA746" t="str">
        <f t="shared" si="135"/>
        <v>High</v>
      </c>
      <c r="AB746" t="str">
        <f t="shared" si="139"/>
        <v>High Profit</v>
      </c>
      <c r="AC746" s="3">
        <f t="shared" si="140"/>
        <v>0.28847664573502912</v>
      </c>
      <c r="AD746" s="3">
        <f t="shared" si="141"/>
        <v>278.22999999999996</v>
      </c>
      <c r="AE746" s="3">
        <f t="shared" si="142"/>
        <v>80.262857142857143</v>
      </c>
      <c r="AF746" t="str">
        <f t="shared" si="143"/>
        <v>Regular</v>
      </c>
    </row>
    <row r="747" spans="1:32" x14ac:dyDescent="0.25">
      <c r="A747" t="s">
        <v>4930</v>
      </c>
      <c r="B747" s="1">
        <v>45287</v>
      </c>
      <c r="C747" s="1">
        <v>45293</v>
      </c>
      <c r="D747" s="4">
        <f t="shared" si="132"/>
        <v>6</v>
      </c>
      <c r="E747" s="4" t="str">
        <f>TEXT(Table1[[#This Row],[Order_Date]],"dddd")</f>
        <v>Wednesday</v>
      </c>
      <c r="F747" s="4">
        <f t="shared" si="133"/>
        <v>12</v>
      </c>
      <c r="G747" t="str">
        <f t="shared" si="136"/>
        <v>December</v>
      </c>
      <c r="H747">
        <f t="shared" si="137"/>
        <v>2023</v>
      </c>
      <c r="I747" t="str">
        <f t="shared" si="138"/>
        <v>2023-Q4</v>
      </c>
      <c r="J747" t="s">
        <v>55</v>
      </c>
      <c r="K747" t="s">
        <v>4931</v>
      </c>
      <c r="L747" t="s">
        <v>4932</v>
      </c>
      <c r="M747" t="s">
        <v>36</v>
      </c>
      <c r="N747" t="s">
        <v>25</v>
      </c>
      <c r="O747" t="s">
        <v>255</v>
      </c>
      <c r="P747" t="s">
        <v>143</v>
      </c>
      <c r="Q747" t="s">
        <v>39</v>
      </c>
      <c r="R747" t="s">
        <v>4933</v>
      </c>
      <c r="S747" t="s">
        <v>59</v>
      </c>
      <c r="T747" t="s">
        <v>60</v>
      </c>
      <c r="U747" t="s">
        <v>4934</v>
      </c>
      <c r="V747" s="3">
        <v>2800.46</v>
      </c>
      <c r="W747" s="4">
        <v>5</v>
      </c>
      <c r="X747" s="2">
        <v>0.1</v>
      </c>
      <c r="Y747" s="3">
        <v>834.44</v>
      </c>
      <c r="Z747" t="str">
        <f t="shared" si="134"/>
        <v>Normal</v>
      </c>
      <c r="AA747" t="str">
        <f t="shared" si="135"/>
        <v>Medium</v>
      </c>
      <c r="AB747" t="str">
        <f t="shared" si="139"/>
        <v>High Profit</v>
      </c>
      <c r="AC747" s="3">
        <f t="shared" si="140"/>
        <v>0.29796533426651339</v>
      </c>
      <c r="AD747" s="3">
        <f t="shared" si="141"/>
        <v>560.09199999999998</v>
      </c>
      <c r="AE747" s="3">
        <f t="shared" si="142"/>
        <v>166.88800000000001</v>
      </c>
      <c r="AF747" t="str">
        <f t="shared" si="143"/>
        <v>Regular</v>
      </c>
    </row>
    <row r="748" spans="1:32" x14ac:dyDescent="0.25">
      <c r="A748" t="s">
        <v>4632</v>
      </c>
      <c r="B748" s="1">
        <v>45287</v>
      </c>
      <c r="C748" s="1">
        <v>45291</v>
      </c>
      <c r="D748" s="4">
        <f t="shared" si="132"/>
        <v>4</v>
      </c>
      <c r="E748" s="4" t="str">
        <f>TEXT(Table1[[#This Row],[Order_Date]],"dddd")</f>
        <v>Wednesday</v>
      </c>
      <c r="F748" s="4">
        <f t="shared" si="133"/>
        <v>12</v>
      </c>
      <c r="G748" t="str">
        <f t="shared" si="136"/>
        <v>December</v>
      </c>
      <c r="H748">
        <f t="shared" si="137"/>
        <v>2023</v>
      </c>
      <c r="I748" t="str">
        <f t="shared" si="138"/>
        <v>2023-Q4</v>
      </c>
      <c r="J748" t="s">
        <v>44</v>
      </c>
      <c r="K748" t="s">
        <v>4633</v>
      </c>
      <c r="L748" t="s">
        <v>4634</v>
      </c>
      <c r="M748" t="s">
        <v>47</v>
      </c>
      <c r="N748" t="s">
        <v>25</v>
      </c>
      <c r="O748" t="s">
        <v>37</v>
      </c>
      <c r="P748" t="s">
        <v>38</v>
      </c>
      <c r="Q748" t="s">
        <v>87</v>
      </c>
      <c r="R748" t="s">
        <v>4635</v>
      </c>
      <c r="S748" t="s">
        <v>51</v>
      </c>
      <c r="T748" t="s">
        <v>94</v>
      </c>
      <c r="U748" t="s">
        <v>4636</v>
      </c>
      <c r="V748" s="3">
        <v>3879.56</v>
      </c>
      <c r="W748" s="4">
        <v>9</v>
      </c>
      <c r="X748" s="2">
        <v>0.3</v>
      </c>
      <c r="Y748" s="3">
        <v>-225.59</v>
      </c>
      <c r="Z748" t="str">
        <f t="shared" si="134"/>
        <v>Normal</v>
      </c>
      <c r="AA748" t="str">
        <f t="shared" si="135"/>
        <v>High</v>
      </c>
      <c r="AB748" t="str">
        <f t="shared" si="139"/>
        <v>Loss</v>
      </c>
      <c r="AC748" s="3">
        <f t="shared" si="140"/>
        <v>-5.8148346719731105E-2</v>
      </c>
      <c r="AD748" s="3">
        <f t="shared" si="141"/>
        <v>431.0622222222222</v>
      </c>
      <c r="AE748" s="3">
        <f t="shared" si="142"/>
        <v>-25.065555555555555</v>
      </c>
      <c r="AF748" t="str">
        <f t="shared" si="143"/>
        <v>Regular</v>
      </c>
    </row>
    <row r="749" spans="1:32" x14ac:dyDescent="0.25">
      <c r="A749" t="s">
        <v>2681</v>
      </c>
      <c r="B749" s="1">
        <v>45287</v>
      </c>
      <c r="C749" s="1">
        <v>45293</v>
      </c>
      <c r="D749" s="4">
        <f t="shared" si="132"/>
        <v>6</v>
      </c>
      <c r="E749" s="4" t="str">
        <f>TEXT(Table1[[#This Row],[Order_Date]],"dddd")</f>
        <v>Wednesday</v>
      </c>
      <c r="F749" s="4">
        <f t="shared" si="133"/>
        <v>12</v>
      </c>
      <c r="G749" t="str">
        <f t="shared" si="136"/>
        <v>December</v>
      </c>
      <c r="H749">
        <f t="shared" si="137"/>
        <v>2023</v>
      </c>
      <c r="I749" t="str">
        <f t="shared" si="138"/>
        <v>2023-Q4</v>
      </c>
      <c r="J749" t="s">
        <v>44</v>
      </c>
      <c r="K749" t="s">
        <v>2682</v>
      </c>
      <c r="L749" t="s">
        <v>2683</v>
      </c>
      <c r="M749" t="s">
        <v>36</v>
      </c>
      <c r="N749" t="s">
        <v>25</v>
      </c>
      <c r="O749" t="s">
        <v>99</v>
      </c>
      <c r="P749" t="s">
        <v>74</v>
      </c>
      <c r="Q749" t="s">
        <v>28</v>
      </c>
      <c r="R749" t="s">
        <v>2684</v>
      </c>
      <c r="S749" t="s">
        <v>30</v>
      </c>
      <c r="T749" t="s">
        <v>68</v>
      </c>
      <c r="U749" t="s">
        <v>2685</v>
      </c>
      <c r="V749" s="3">
        <v>189.67</v>
      </c>
      <c r="W749" s="4">
        <v>4</v>
      </c>
      <c r="X749" s="2">
        <v>0.4</v>
      </c>
      <c r="Y749" s="3">
        <v>8.67</v>
      </c>
      <c r="Z749" t="str">
        <f t="shared" si="134"/>
        <v>Normal</v>
      </c>
      <c r="AA749" t="str">
        <f t="shared" si="135"/>
        <v>High</v>
      </c>
      <c r="AB749" t="str">
        <f t="shared" si="139"/>
        <v>Low Profit</v>
      </c>
      <c r="AC749" s="3">
        <f t="shared" si="140"/>
        <v>4.5710971687668057E-2</v>
      </c>
      <c r="AD749" s="3">
        <f t="shared" si="141"/>
        <v>47.417499999999997</v>
      </c>
      <c r="AE749" s="3">
        <f t="shared" si="142"/>
        <v>2.1675</v>
      </c>
      <c r="AF749" t="str">
        <f t="shared" si="143"/>
        <v>Regular</v>
      </c>
    </row>
    <row r="750" spans="1:32" x14ac:dyDescent="0.25">
      <c r="A750" t="s">
        <v>748</v>
      </c>
      <c r="B750" s="1">
        <v>45287</v>
      </c>
      <c r="C750" s="1">
        <v>45297</v>
      </c>
      <c r="D750" s="4">
        <f t="shared" si="132"/>
        <v>10</v>
      </c>
      <c r="E750" s="4" t="str">
        <f>TEXT(Table1[[#This Row],[Order_Date]],"dddd")</f>
        <v>Wednesday</v>
      </c>
      <c r="F750" s="4">
        <f t="shared" si="133"/>
        <v>12</v>
      </c>
      <c r="G750" t="str">
        <f t="shared" si="136"/>
        <v>December</v>
      </c>
      <c r="H750">
        <f t="shared" si="137"/>
        <v>2023</v>
      </c>
      <c r="I750" t="str">
        <f t="shared" si="138"/>
        <v>2023-Q4</v>
      </c>
      <c r="J750" t="s">
        <v>21</v>
      </c>
      <c r="K750" t="s">
        <v>749</v>
      </c>
      <c r="L750" t="s">
        <v>750</v>
      </c>
      <c r="M750" t="s">
        <v>36</v>
      </c>
      <c r="N750" t="s">
        <v>25</v>
      </c>
      <c r="O750" t="s">
        <v>611</v>
      </c>
      <c r="P750" t="s">
        <v>74</v>
      </c>
      <c r="Q750" t="s">
        <v>28</v>
      </c>
      <c r="R750" t="s">
        <v>751</v>
      </c>
      <c r="S750" t="s">
        <v>30</v>
      </c>
      <c r="T750" t="s">
        <v>41</v>
      </c>
      <c r="U750" t="s">
        <v>752</v>
      </c>
      <c r="V750" s="3">
        <v>1267.73</v>
      </c>
      <c r="W750" s="4">
        <v>10</v>
      </c>
      <c r="X750" s="2">
        <v>0.2</v>
      </c>
      <c r="Y750" s="3">
        <v>-79.099999999999994</v>
      </c>
      <c r="Z750" t="str">
        <f t="shared" si="134"/>
        <v>Normal</v>
      </c>
      <c r="AA750" t="str">
        <f t="shared" si="135"/>
        <v>High</v>
      </c>
      <c r="AB750" t="str">
        <f t="shared" si="139"/>
        <v>Loss</v>
      </c>
      <c r="AC750" s="3">
        <f t="shared" si="140"/>
        <v>-6.2394989469366502E-2</v>
      </c>
      <c r="AD750" s="3">
        <f t="shared" si="141"/>
        <v>126.773</v>
      </c>
      <c r="AE750" s="3">
        <f t="shared" si="142"/>
        <v>-7.9099999999999993</v>
      </c>
      <c r="AF750" t="str">
        <f t="shared" si="143"/>
        <v>Regular</v>
      </c>
    </row>
    <row r="751" spans="1:32" x14ac:dyDescent="0.25">
      <c r="A751" t="s">
        <v>1785</v>
      </c>
      <c r="B751" s="1">
        <v>45289</v>
      </c>
      <c r="C751" s="1">
        <v>45294</v>
      </c>
      <c r="D751" s="4">
        <f t="shared" si="132"/>
        <v>5</v>
      </c>
      <c r="E751" s="4" t="str">
        <f>TEXT(Table1[[#This Row],[Order_Date]],"dddd")</f>
        <v>Friday</v>
      </c>
      <c r="F751" s="4">
        <f t="shared" si="133"/>
        <v>12</v>
      </c>
      <c r="G751" t="str">
        <f t="shared" si="136"/>
        <v>December</v>
      </c>
      <c r="H751">
        <f t="shared" si="137"/>
        <v>2023</v>
      </c>
      <c r="I751" t="str">
        <f t="shared" si="138"/>
        <v>2023-Q4</v>
      </c>
      <c r="J751" t="s">
        <v>104</v>
      </c>
      <c r="K751" t="s">
        <v>1786</v>
      </c>
      <c r="L751" t="s">
        <v>1787</v>
      </c>
      <c r="M751" t="s">
        <v>24</v>
      </c>
      <c r="N751" t="s">
        <v>25</v>
      </c>
      <c r="O751" t="s">
        <v>201</v>
      </c>
      <c r="P751" t="s">
        <v>113</v>
      </c>
      <c r="Q751" t="s">
        <v>28</v>
      </c>
      <c r="R751" t="s">
        <v>1788</v>
      </c>
      <c r="S751" t="s">
        <v>30</v>
      </c>
      <c r="T751" t="s">
        <v>41</v>
      </c>
      <c r="U751" t="s">
        <v>1789</v>
      </c>
      <c r="V751" s="3">
        <v>484.65</v>
      </c>
      <c r="W751" s="4">
        <v>7</v>
      </c>
      <c r="X751" s="2">
        <v>0.2</v>
      </c>
      <c r="Y751" s="3">
        <v>-30.37</v>
      </c>
      <c r="Z751" t="str">
        <f t="shared" si="134"/>
        <v>Normal</v>
      </c>
      <c r="AA751" t="str">
        <f t="shared" si="135"/>
        <v>High</v>
      </c>
      <c r="AB751" t="str">
        <f t="shared" si="139"/>
        <v>Loss</v>
      </c>
      <c r="AC751" s="3">
        <f t="shared" si="140"/>
        <v>-6.2663777984112254E-2</v>
      </c>
      <c r="AD751" s="3">
        <f t="shared" si="141"/>
        <v>69.23571428571428</v>
      </c>
      <c r="AE751" s="3">
        <f t="shared" si="142"/>
        <v>-4.338571428571429</v>
      </c>
      <c r="AF751" t="str">
        <f t="shared" si="143"/>
        <v>Regular</v>
      </c>
    </row>
    <row r="752" spans="1:32" x14ac:dyDescent="0.25">
      <c r="A752" t="s">
        <v>1839</v>
      </c>
      <c r="B752" s="1">
        <v>45289</v>
      </c>
      <c r="C752" s="1">
        <v>45290</v>
      </c>
      <c r="D752" s="4">
        <f t="shared" si="132"/>
        <v>1</v>
      </c>
      <c r="E752" s="4" t="str">
        <f>TEXT(Table1[[#This Row],[Order_Date]],"dddd")</f>
        <v>Friday</v>
      </c>
      <c r="F752" s="4">
        <f t="shared" si="133"/>
        <v>12</v>
      </c>
      <c r="G752" t="str">
        <f t="shared" si="136"/>
        <v>December</v>
      </c>
      <c r="H752">
        <f t="shared" si="137"/>
        <v>2023</v>
      </c>
      <c r="I752" t="str">
        <f t="shared" si="138"/>
        <v>2023-Q4</v>
      </c>
      <c r="J752" t="s">
        <v>104</v>
      </c>
      <c r="K752" t="s">
        <v>1840</v>
      </c>
      <c r="L752" t="s">
        <v>1841</v>
      </c>
      <c r="M752" t="s">
        <v>47</v>
      </c>
      <c r="N752" t="s">
        <v>25</v>
      </c>
      <c r="O752" t="s">
        <v>119</v>
      </c>
      <c r="P752" t="s">
        <v>120</v>
      </c>
      <c r="Q752" t="s">
        <v>66</v>
      </c>
      <c r="R752" t="s">
        <v>1842</v>
      </c>
      <c r="S752" t="s">
        <v>30</v>
      </c>
      <c r="T752" t="s">
        <v>68</v>
      </c>
      <c r="U752" t="s">
        <v>1843</v>
      </c>
      <c r="V752" s="3">
        <v>2494.1799999999998</v>
      </c>
      <c r="W752" s="4">
        <v>4</v>
      </c>
      <c r="X752" s="2">
        <v>0.4</v>
      </c>
      <c r="Y752" s="3">
        <v>425.27</v>
      </c>
      <c r="Z752" t="str">
        <f t="shared" si="134"/>
        <v>Normal</v>
      </c>
      <c r="AA752" t="str">
        <f t="shared" si="135"/>
        <v>High</v>
      </c>
      <c r="AB752" t="str">
        <f t="shared" si="139"/>
        <v>Low Profit</v>
      </c>
      <c r="AC752" s="3">
        <f t="shared" si="140"/>
        <v>0.17050493548982029</v>
      </c>
      <c r="AD752" s="3">
        <f t="shared" si="141"/>
        <v>623.54499999999996</v>
      </c>
      <c r="AE752" s="3">
        <f t="shared" si="142"/>
        <v>106.3175</v>
      </c>
      <c r="AF752" t="str">
        <f t="shared" si="143"/>
        <v>Regular</v>
      </c>
    </row>
    <row r="753" spans="1:32" x14ac:dyDescent="0.25">
      <c r="A753" t="s">
        <v>4784</v>
      </c>
      <c r="B753" s="1">
        <v>45289</v>
      </c>
      <c r="C753" s="1">
        <v>45290</v>
      </c>
      <c r="D753" s="4">
        <f t="shared" si="132"/>
        <v>1</v>
      </c>
      <c r="E753" s="4" t="str">
        <f>TEXT(Table1[[#This Row],[Order_Date]],"dddd")</f>
        <v>Friday</v>
      </c>
      <c r="F753" s="4">
        <f t="shared" si="133"/>
        <v>12</v>
      </c>
      <c r="G753" t="str">
        <f t="shared" si="136"/>
        <v>December</v>
      </c>
      <c r="H753">
        <f t="shared" si="137"/>
        <v>2023</v>
      </c>
      <c r="I753" t="str">
        <f t="shared" si="138"/>
        <v>2023-Q4</v>
      </c>
      <c r="J753" t="s">
        <v>21</v>
      </c>
      <c r="K753" t="s">
        <v>4785</v>
      </c>
      <c r="L753" t="s">
        <v>4786</v>
      </c>
      <c r="M753" t="s">
        <v>36</v>
      </c>
      <c r="N753" t="s">
        <v>25</v>
      </c>
      <c r="O753" t="s">
        <v>80</v>
      </c>
      <c r="P753" t="s">
        <v>49</v>
      </c>
      <c r="Q753" t="s">
        <v>39</v>
      </c>
      <c r="R753" t="s">
        <v>4787</v>
      </c>
      <c r="S753" t="s">
        <v>59</v>
      </c>
      <c r="T753" t="s">
        <v>101</v>
      </c>
      <c r="U753" t="s">
        <v>4788</v>
      </c>
      <c r="V753" s="3">
        <v>3869.55</v>
      </c>
      <c r="W753" s="4">
        <v>7</v>
      </c>
      <c r="X753" s="2">
        <v>0.1</v>
      </c>
      <c r="Y753" s="3">
        <v>993.72</v>
      </c>
      <c r="Z753" t="str">
        <f t="shared" si="134"/>
        <v>Normal</v>
      </c>
      <c r="AA753" t="str">
        <f t="shared" si="135"/>
        <v>Medium</v>
      </c>
      <c r="AB753" t="str">
        <f t="shared" si="139"/>
        <v>High Profit</v>
      </c>
      <c r="AC753" s="3">
        <f t="shared" si="140"/>
        <v>0.25680505485133931</v>
      </c>
      <c r="AD753" s="3">
        <f t="shared" si="141"/>
        <v>552.7928571428572</v>
      </c>
      <c r="AE753" s="3">
        <f t="shared" si="142"/>
        <v>141.96</v>
      </c>
      <c r="AF753" t="str">
        <f t="shared" si="143"/>
        <v>Regular</v>
      </c>
    </row>
    <row r="754" spans="1:32" x14ac:dyDescent="0.25">
      <c r="A754" t="s">
        <v>1946</v>
      </c>
      <c r="B754" s="1">
        <v>45289</v>
      </c>
      <c r="C754" s="1">
        <v>45291</v>
      </c>
      <c r="D754" s="4">
        <f t="shared" si="132"/>
        <v>2</v>
      </c>
      <c r="E754" s="4" t="str">
        <f>TEXT(Table1[[#This Row],[Order_Date]],"dddd")</f>
        <v>Friday</v>
      </c>
      <c r="F754" s="4">
        <f t="shared" si="133"/>
        <v>12</v>
      </c>
      <c r="G754" t="str">
        <f t="shared" si="136"/>
        <v>December</v>
      </c>
      <c r="H754">
        <f t="shared" si="137"/>
        <v>2023</v>
      </c>
      <c r="I754" t="str">
        <f t="shared" si="138"/>
        <v>2023-Q4</v>
      </c>
      <c r="J754" t="s">
        <v>21</v>
      </c>
      <c r="K754" t="s">
        <v>1947</v>
      </c>
      <c r="L754" t="s">
        <v>1948</v>
      </c>
      <c r="M754" t="s">
        <v>36</v>
      </c>
      <c r="N754" t="s">
        <v>25</v>
      </c>
      <c r="O754" t="s">
        <v>37</v>
      </c>
      <c r="P754" t="s">
        <v>38</v>
      </c>
      <c r="Q754" t="s">
        <v>87</v>
      </c>
      <c r="R754" t="s">
        <v>1949</v>
      </c>
      <c r="S754" t="s">
        <v>30</v>
      </c>
      <c r="T754" t="s">
        <v>82</v>
      </c>
      <c r="U754" t="s">
        <v>1950</v>
      </c>
      <c r="V754" s="3">
        <v>188.98</v>
      </c>
      <c r="W754" s="4">
        <v>4</v>
      </c>
      <c r="X754" s="2">
        <v>0.3</v>
      </c>
      <c r="Y754" s="3">
        <v>23.61</v>
      </c>
      <c r="Z754" t="str">
        <f t="shared" si="134"/>
        <v>Normal</v>
      </c>
      <c r="AA754" t="str">
        <f t="shared" si="135"/>
        <v>High</v>
      </c>
      <c r="AB754" t="str">
        <f t="shared" si="139"/>
        <v>Low Profit</v>
      </c>
      <c r="AC754" s="3">
        <f t="shared" si="140"/>
        <v>0.12493385543443751</v>
      </c>
      <c r="AD754" s="3">
        <f t="shared" si="141"/>
        <v>47.244999999999997</v>
      </c>
      <c r="AE754" s="3">
        <f t="shared" si="142"/>
        <v>5.9024999999999999</v>
      </c>
      <c r="AF754" t="str">
        <f t="shared" si="143"/>
        <v>Regular</v>
      </c>
    </row>
    <row r="755" spans="1:32" x14ac:dyDescent="0.25">
      <c r="A755" t="s">
        <v>4193</v>
      </c>
      <c r="B755" s="1">
        <v>45290</v>
      </c>
      <c r="C755" s="1">
        <v>45297</v>
      </c>
      <c r="D755" s="4">
        <f t="shared" si="132"/>
        <v>7</v>
      </c>
      <c r="E755" s="4" t="str">
        <f>TEXT(Table1[[#This Row],[Order_Date]],"dddd")</f>
        <v>Saturday</v>
      </c>
      <c r="F755" s="4">
        <f t="shared" si="133"/>
        <v>12</v>
      </c>
      <c r="G755" t="str">
        <f t="shared" si="136"/>
        <v>December</v>
      </c>
      <c r="H755">
        <f t="shared" si="137"/>
        <v>2023</v>
      </c>
      <c r="I755" t="str">
        <f t="shared" si="138"/>
        <v>2023-Q4</v>
      </c>
      <c r="J755" t="s">
        <v>104</v>
      </c>
      <c r="K755" t="s">
        <v>4194</v>
      </c>
      <c r="L755" t="s">
        <v>4195</v>
      </c>
      <c r="M755" t="s">
        <v>24</v>
      </c>
      <c r="N755" t="s">
        <v>25</v>
      </c>
      <c r="O755" t="s">
        <v>99</v>
      </c>
      <c r="P755" t="s">
        <v>74</v>
      </c>
      <c r="Q755" t="s">
        <v>28</v>
      </c>
      <c r="R755" t="s">
        <v>4196</v>
      </c>
      <c r="S755" t="s">
        <v>59</v>
      </c>
      <c r="T755" t="s">
        <v>303</v>
      </c>
      <c r="U755" t="s">
        <v>4197</v>
      </c>
      <c r="V755" s="3">
        <v>4195.9399999999996</v>
      </c>
      <c r="W755" s="4">
        <v>5</v>
      </c>
      <c r="X755" s="2">
        <v>0</v>
      </c>
      <c r="Y755" s="3">
        <v>346.22</v>
      </c>
      <c r="Z755" t="str">
        <f t="shared" si="134"/>
        <v>Normal</v>
      </c>
      <c r="AA755" t="str">
        <f t="shared" si="135"/>
        <v>Low</v>
      </c>
      <c r="AB755" t="str">
        <f t="shared" si="139"/>
        <v>Low Profit</v>
      </c>
      <c r="AC755" s="3">
        <f t="shared" si="140"/>
        <v>8.2513095992793051E-2</v>
      </c>
      <c r="AD755" s="3">
        <f t="shared" si="141"/>
        <v>839.18799999999987</v>
      </c>
      <c r="AE755" s="3">
        <f t="shared" si="142"/>
        <v>69.244</v>
      </c>
      <c r="AF755" t="str">
        <f t="shared" si="143"/>
        <v>Regular</v>
      </c>
    </row>
    <row r="756" spans="1:32" x14ac:dyDescent="0.25">
      <c r="A756" t="s">
        <v>5217</v>
      </c>
      <c r="B756" s="1">
        <v>45290</v>
      </c>
      <c r="C756" s="1">
        <v>45292</v>
      </c>
      <c r="D756" s="4">
        <f t="shared" si="132"/>
        <v>2</v>
      </c>
      <c r="E756" s="4" t="str">
        <f>TEXT(Table1[[#This Row],[Order_Date]],"dddd")</f>
        <v>Saturday</v>
      </c>
      <c r="F756" s="4">
        <f t="shared" si="133"/>
        <v>12</v>
      </c>
      <c r="G756" t="str">
        <f t="shared" si="136"/>
        <v>December</v>
      </c>
      <c r="H756">
        <f t="shared" si="137"/>
        <v>2023</v>
      </c>
      <c r="I756" t="str">
        <f t="shared" si="138"/>
        <v>2023-Q4</v>
      </c>
      <c r="J756" t="s">
        <v>55</v>
      </c>
      <c r="K756" t="s">
        <v>5218</v>
      </c>
      <c r="L756" t="s">
        <v>5219</v>
      </c>
      <c r="M756" t="s">
        <v>47</v>
      </c>
      <c r="N756" t="s">
        <v>25</v>
      </c>
      <c r="O756" t="s">
        <v>244</v>
      </c>
      <c r="P756" t="s">
        <v>163</v>
      </c>
      <c r="Q756" t="s">
        <v>87</v>
      </c>
      <c r="R756" t="s">
        <v>5220</v>
      </c>
      <c r="S756" t="s">
        <v>59</v>
      </c>
      <c r="T756" t="s">
        <v>303</v>
      </c>
      <c r="U756" t="s">
        <v>304</v>
      </c>
      <c r="V756" s="3">
        <v>4652.46</v>
      </c>
      <c r="W756" s="4">
        <v>7</v>
      </c>
      <c r="X756" s="2">
        <v>0.4</v>
      </c>
      <c r="Y756" s="3">
        <v>161.12</v>
      </c>
      <c r="Z756" t="str">
        <f t="shared" si="134"/>
        <v>Normal</v>
      </c>
      <c r="AA756" t="str">
        <f t="shared" si="135"/>
        <v>High</v>
      </c>
      <c r="AB756" t="str">
        <f t="shared" si="139"/>
        <v>Low Profit</v>
      </c>
      <c r="AC756" s="3">
        <f t="shared" si="140"/>
        <v>3.4631141374670604E-2</v>
      </c>
      <c r="AD756" s="3">
        <f t="shared" si="141"/>
        <v>664.63714285714286</v>
      </c>
      <c r="AE756" s="3">
        <f t="shared" si="142"/>
        <v>23.017142857142858</v>
      </c>
      <c r="AF756" t="str">
        <f t="shared" si="143"/>
        <v>Regular</v>
      </c>
    </row>
    <row r="757" spans="1:32" x14ac:dyDescent="0.25">
      <c r="A757" t="s">
        <v>1986</v>
      </c>
      <c r="B757" s="1">
        <v>45290</v>
      </c>
      <c r="C757" s="1">
        <v>45295</v>
      </c>
      <c r="D757" s="4">
        <f t="shared" si="132"/>
        <v>5</v>
      </c>
      <c r="E757" s="4" t="str">
        <f>TEXT(Table1[[#This Row],[Order_Date]],"dddd")</f>
        <v>Saturday</v>
      </c>
      <c r="F757" s="4">
        <f t="shared" si="133"/>
        <v>12</v>
      </c>
      <c r="G757" t="str">
        <f t="shared" si="136"/>
        <v>December</v>
      </c>
      <c r="H757">
        <f t="shared" si="137"/>
        <v>2023</v>
      </c>
      <c r="I757" t="str">
        <f t="shared" si="138"/>
        <v>2023-Q4</v>
      </c>
      <c r="J757" t="s">
        <v>44</v>
      </c>
      <c r="K757" t="s">
        <v>1987</v>
      </c>
      <c r="L757" t="s">
        <v>1988</v>
      </c>
      <c r="M757" t="s">
        <v>36</v>
      </c>
      <c r="N757" t="s">
        <v>25</v>
      </c>
      <c r="O757" t="s">
        <v>227</v>
      </c>
      <c r="P757" t="s">
        <v>49</v>
      </c>
      <c r="Q757" t="s">
        <v>87</v>
      </c>
      <c r="R757" t="s">
        <v>1989</v>
      </c>
      <c r="S757" t="s">
        <v>30</v>
      </c>
      <c r="T757" t="s">
        <v>68</v>
      </c>
      <c r="U757" t="s">
        <v>1990</v>
      </c>
      <c r="V757" s="3">
        <v>2522.44</v>
      </c>
      <c r="W757" s="4">
        <v>10</v>
      </c>
      <c r="X757" s="2">
        <v>0.4</v>
      </c>
      <c r="Y757" s="3">
        <v>421.19</v>
      </c>
      <c r="Z757" t="str">
        <f t="shared" si="134"/>
        <v>Normal</v>
      </c>
      <c r="AA757" t="str">
        <f t="shared" si="135"/>
        <v>High</v>
      </c>
      <c r="AB757" t="str">
        <f t="shared" si="139"/>
        <v>Low Profit</v>
      </c>
      <c r="AC757" s="3">
        <f t="shared" si="140"/>
        <v>0.16697721254023881</v>
      </c>
      <c r="AD757" s="3">
        <f t="shared" si="141"/>
        <v>252.244</v>
      </c>
      <c r="AE757" s="3">
        <f t="shared" si="142"/>
        <v>42.119</v>
      </c>
      <c r="AF757" t="str">
        <f t="shared" si="143"/>
        <v>Regular</v>
      </c>
    </row>
    <row r="758" spans="1:32" x14ac:dyDescent="0.25">
      <c r="A758" t="s">
        <v>2261</v>
      </c>
      <c r="B758" s="1">
        <v>45291</v>
      </c>
      <c r="C758" s="1">
        <v>45295</v>
      </c>
      <c r="D758" s="4">
        <f t="shared" si="132"/>
        <v>4</v>
      </c>
      <c r="E758" s="4" t="str">
        <f>TEXT(Table1[[#This Row],[Order_Date]],"dddd")</f>
        <v>Sunday</v>
      </c>
      <c r="F758" s="4">
        <f t="shared" si="133"/>
        <v>12</v>
      </c>
      <c r="G758" t="str">
        <f t="shared" si="136"/>
        <v>December</v>
      </c>
      <c r="H758">
        <f t="shared" si="137"/>
        <v>2023</v>
      </c>
      <c r="I758" t="str">
        <f t="shared" si="138"/>
        <v>2023-Q4</v>
      </c>
      <c r="J758" t="s">
        <v>104</v>
      </c>
      <c r="K758" t="s">
        <v>2262</v>
      </c>
      <c r="L758" t="s">
        <v>2263</v>
      </c>
      <c r="M758" t="s">
        <v>24</v>
      </c>
      <c r="N758" t="s">
        <v>25</v>
      </c>
      <c r="O758" t="s">
        <v>119</v>
      </c>
      <c r="P758" t="s">
        <v>120</v>
      </c>
      <c r="Q758" t="s">
        <v>66</v>
      </c>
      <c r="R758" t="s">
        <v>2264</v>
      </c>
      <c r="S758" t="s">
        <v>59</v>
      </c>
      <c r="T758" t="s">
        <v>60</v>
      </c>
      <c r="U758" t="s">
        <v>2265</v>
      </c>
      <c r="V758" s="3">
        <v>4496.9799999999996</v>
      </c>
      <c r="W758" s="4">
        <v>8</v>
      </c>
      <c r="X758" s="2">
        <v>0.1</v>
      </c>
      <c r="Y758" s="3">
        <v>802.67</v>
      </c>
      <c r="Z758" t="str">
        <f t="shared" si="134"/>
        <v>Normal</v>
      </c>
      <c r="AA758" t="str">
        <f t="shared" si="135"/>
        <v>Medium</v>
      </c>
      <c r="AB758" t="str">
        <f t="shared" si="139"/>
        <v>High Profit</v>
      </c>
      <c r="AC758" s="3">
        <f t="shared" si="140"/>
        <v>0.17849089833621676</v>
      </c>
      <c r="AD758" s="3">
        <f t="shared" si="141"/>
        <v>562.12249999999995</v>
      </c>
      <c r="AE758" s="3">
        <f t="shared" si="142"/>
        <v>100.33374999999999</v>
      </c>
      <c r="AF758" t="str">
        <f t="shared" si="143"/>
        <v>Regular</v>
      </c>
    </row>
    <row r="759" spans="1:32" x14ac:dyDescent="0.25">
      <c r="A759" t="s">
        <v>4042</v>
      </c>
      <c r="B759" s="1">
        <v>45291</v>
      </c>
      <c r="C759" s="1">
        <v>45299</v>
      </c>
      <c r="D759" s="4">
        <f t="shared" si="132"/>
        <v>8</v>
      </c>
      <c r="E759" s="4" t="str">
        <f>TEXT(Table1[[#This Row],[Order_Date]],"dddd")</f>
        <v>Sunday</v>
      </c>
      <c r="F759" s="4">
        <f t="shared" si="133"/>
        <v>12</v>
      </c>
      <c r="G759" t="str">
        <f t="shared" si="136"/>
        <v>December</v>
      </c>
      <c r="H759">
        <f t="shared" si="137"/>
        <v>2023</v>
      </c>
      <c r="I759" t="str">
        <f t="shared" si="138"/>
        <v>2023-Q4</v>
      </c>
      <c r="J759" t="s">
        <v>44</v>
      </c>
      <c r="K759" t="s">
        <v>4043</v>
      </c>
      <c r="L759" t="s">
        <v>4044</v>
      </c>
      <c r="M759" t="s">
        <v>24</v>
      </c>
      <c r="N759" t="s">
        <v>25</v>
      </c>
      <c r="O759" t="s">
        <v>119</v>
      </c>
      <c r="P759" t="s">
        <v>120</v>
      </c>
      <c r="Q759" t="s">
        <v>66</v>
      </c>
      <c r="R759" t="s">
        <v>4045</v>
      </c>
      <c r="S759" t="s">
        <v>51</v>
      </c>
      <c r="T759" t="s">
        <v>151</v>
      </c>
      <c r="U759" t="s">
        <v>4046</v>
      </c>
      <c r="V759" s="3">
        <v>3668.05</v>
      </c>
      <c r="W759" s="4">
        <v>9</v>
      </c>
      <c r="X759" s="2">
        <v>0.4</v>
      </c>
      <c r="Y759" s="3">
        <v>-537.70000000000005</v>
      </c>
      <c r="Z759" t="str">
        <f t="shared" si="134"/>
        <v>Normal</v>
      </c>
      <c r="AA759" t="str">
        <f t="shared" si="135"/>
        <v>High</v>
      </c>
      <c r="AB759" t="str">
        <f t="shared" si="139"/>
        <v>Loss</v>
      </c>
      <c r="AC759" s="3">
        <f t="shared" si="140"/>
        <v>-0.14659015007974266</v>
      </c>
      <c r="AD759" s="3">
        <f t="shared" si="141"/>
        <v>407.56111111111113</v>
      </c>
      <c r="AE759" s="3">
        <f t="shared" si="142"/>
        <v>-59.744444444444447</v>
      </c>
      <c r="AF759" t="str">
        <f t="shared" si="143"/>
        <v>Regular</v>
      </c>
    </row>
    <row r="760" spans="1:32" x14ac:dyDescent="0.25">
      <c r="A760" t="s">
        <v>1449</v>
      </c>
      <c r="B760" s="1">
        <v>45291</v>
      </c>
      <c r="C760" s="1">
        <v>45298</v>
      </c>
      <c r="D760" s="4">
        <f t="shared" si="132"/>
        <v>7</v>
      </c>
      <c r="E760" s="4" t="str">
        <f>TEXT(Table1[[#This Row],[Order_Date]],"dddd")</f>
        <v>Sunday</v>
      </c>
      <c r="F760" s="4">
        <f t="shared" si="133"/>
        <v>12</v>
      </c>
      <c r="G760" t="str">
        <f t="shared" si="136"/>
        <v>December</v>
      </c>
      <c r="H760">
        <f t="shared" si="137"/>
        <v>2023</v>
      </c>
      <c r="I760" t="str">
        <f t="shared" si="138"/>
        <v>2023-Q4</v>
      </c>
      <c r="J760" t="s">
        <v>44</v>
      </c>
      <c r="K760" t="s">
        <v>1450</v>
      </c>
      <c r="L760" t="s">
        <v>1451</v>
      </c>
      <c r="M760" t="s">
        <v>36</v>
      </c>
      <c r="N760" t="s">
        <v>25</v>
      </c>
      <c r="O760" t="s">
        <v>80</v>
      </c>
      <c r="P760" t="s">
        <v>49</v>
      </c>
      <c r="Q760" t="s">
        <v>66</v>
      </c>
      <c r="R760" t="s">
        <v>1452</v>
      </c>
      <c r="S760" t="s">
        <v>59</v>
      </c>
      <c r="T760" t="s">
        <v>277</v>
      </c>
      <c r="U760" t="s">
        <v>1453</v>
      </c>
      <c r="V760" s="3">
        <v>2386.75</v>
      </c>
      <c r="W760" s="4">
        <v>2</v>
      </c>
      <c r="X760" s="2">
        <v>0.1</v>
      </c>
      <c r="Y760" s="3">
        <v>623.82000000000005</v>
      </c>
      <c r="Z760" t="str">
        <f t="shared" si="134"/>
        <v>Normal</v>
      </c>
      <c r="AA760" t="str">
        <f t="shared" si="135"/>
        <v>Medium</v>
      </c>
      <c r="AB760" t="str">
        <f t="shared" si="139"/>
        <v>High Profit</v>
      </c>
      <c r="AC760" s="3">
        <f t="shared" si="140"/>
        <v>0.26136796899549597</v>
      </c>
      <c r="AD760" s="3">
        <f t="shared" si="141"/>
        <v>1193.375</v>
      </c>
      <c r="AE760" s="3">
        <f t="shared" si="142"/>
        <v>311.91000000000003</v>
      </c>
      <c r="AF760" t="str">
        <f t="shared" si="143"/>
        <v>Regular</v>
      </c>
    </row>
    <row r="761" spans="1:32" x14ac:dyDescent="0.25">
      <c r="A761" t="s">
        <v>1663</v>
      </c>
      <c r="B761" s="1">
        <v>45292</v>
      </c>
      <c r="C761" s="1">
        <v>45302</v>
      </c>
      <c r="D761" s="4">
        <f t="shared" si="132"/>
        <v>10</v>
      </c>
      <c r="E761" s="4" t="str">
        <f>TEXT(Table1[[#This Row],[Order_Date]],"dddd")</f>
        <v>Monday</v>
      </c>
      <c r="F761" s="4">
        <f t="shared" si="133"/>
        <v>1</v>
      </c>
      <c r="G761" t="str">
        <f t="shared" si="136"/>
        <v>January</v>
      </c>
      <c r="H761">
        <f t="shared" si="137"/>
        <v>2024</v>
      </c>
      <c r="I761" t="str">
        <f t="shared" si="138"/>
        <v>2024-Q1</v>
      </c>
      <c r="J761" t="s">
        <v>104</v>
      </c>
      <c r="K761" t="s">
        <v>1664</v>
      </c>
      <c r="L761" t="s">
        <v>1665</v>
      </c>
      <c r="M761" t="s">
        <v>24</v>
      </c>
      <c r="N761" t="s">
        <v>25</v>
      </c>
      <c r="O761" t="s">
        <v>26</v>
      </c>
      <c r="P761" t="s">
        <v>27</v>
      </c>
      <c r="Q761" t="s">
        <v>87</v>
      </c>
      <c r="R761" t="s">
        <v>1666</v>
      </c>
      <c r="S761" t="s">
        <v>51</v>
      </c>
      <c r="T761" t="s">
        <v>151</v>
      </c>
      <c r="U761" t="s">
        <v>1667</v>
      </c>
      <c r="V761" s="3">
        <v>550.91999999999996</v>
      </c>
      <c r="W761" s="4">
        <v>2</v>
      </c>
      <c r="X761" s="2">
        <v>0.2</v>
      </c>
      <c r="Y761" s="3">
        <v>55.97</v>
      </c>
      <c r="Z761" t="str">
        <f t="shared" si="134"/>
        <v>Normal</v>
      </c>
      <c r="AA761" t="str">
        <f t="shared" si="135"/>
        <v>High</v>
      </c>
      <c r="AB761" t="str">
        <f t="shared" si="139"/>
        <v>Low Profit</v>
      </c>
      <c r="AC761" s="3">
        <f t="shared" si="140"/>
        <v>0.10159369781456473</v>
      </c>
      <c r="AD761" s="3">
        <f t="shared" si="141"/>
        <v>275.45999999999998</v>
      </c>
      <c r="AE761" s="3">
        <f t="shared" si="142"/>
        <v>27.984999999999999</v>
      </c>
      <c r="AF761" t="str">
        <f t="shared" si="143"/>
        <v>Regular</v>
      </c>
    </row>
    <row r="762" spans="1:32" x14ac:dyDescent="0.25">
      <c r="A762" t="s">
        <v>1756</v>
      </c>
      <c r="B762" s="1">
        <v>45293</v>
      </c>
      <c r="C762" s="1">
        <v>45297</v>
      </c>
      <c r="D762" s="4">
        <f t="shared" si="132"/>
        <v>4</v>
      </c>
      <c r="E762" s="4" t="str">
        <f>TEXT(Table1[[#This Row],[Order_Date]],"dddd")</f>
        <v>Tuesday</v>
      </c>
      <c r="F762" s="4">
        <f t="shared" si="133"/>
        <v>1</v>
      </c>
      <c r="G762" t="str">
        <f t="shared" si="136"/>
        <v>January</v>
      </c>
      <c r="H762">
        <f t="shared" si="137"/>
        <v>2024</v>
      </c>
      <c r="I762" t="str">
        <f t="shared" si="138"/>
        <v>2024-Q1</v>
      </c>
      <c r="J762" t="s">
        <v>104</v>
      </c>
      <c r="K762" t="s">
        <v>1757</v>
      </c>
      <c r="L762" t="s">
        <v>1758</v>
      </c>
      <c r="M762" t="s">
        <v>24</v>
      </c>
      <c r="N762" t="s">
        <v>25</v>
      </c>
      <c r="O762" t="s">
        <v>113</v>
      </c>
      <c r="P762" t="s">
        <v>113</v>
      </c>
      <c r="Q762" t="s">
        <v>66</v>
      </c>
      <c r="R762" t="s">
        <v>7403</v>
      </c>
      <c r="S762" t="s">
        <v>59</v>
      </c>
      <c r="T762" t="s">
        <v>60</v>
      </c>
      <c r="U762" t="s">
        <v>1759</v>
      </c>
      <c r="V762" s="3">
        <v>4879.82</v>
      </c>
      <c r="W762" s="4">
        <v>6</v>
      </c>
      <c r="X762" s="2">
        <v>0.3</v>
      </c>
      <c r="Y762" s="3">
        <v>1451.54</v>
      </c>
      <c r="Z762" t="str">
        <f t="shared" si="134"/>
        <v>Outlier</v>
      </c>
      <c r="AA762" t="str">
        <f t="shared" si="135"/>
        <v>High</v>
      </c>
      <c r="AB762" t="str">
        <f t="shared" si="139"/>
        <v>High Profit</v>
      </c>
      <c r="AC762" s="3">
        <f t="shared" si="140"/>
        <v>0.29745769311163117</v>
      </c>
      <c r="AD762" s="3">
        <f t="shared" si="141"/>
        <v>813.30333333333328</v>
      </c>
      <c r="AE762" s="3">
        <f t="shared" si="142"/>
        <v>241.92333333333332</v>
      </c>
      <c r="AF762" t="str">
        <f t="shared" si="143"/>
        <v>Regular</v>
      </c>
    </row>
    <row r="763" spans="1:32" x14ac:dyDescent="0.25">
      <c r="A763" t="s">
        <v>1956</v>
      </c>
      <c r="B763" s="1">
        <v>45293</v>
      </c>
      <c r="C763" s="1">
        <v>45298</v>
      </c>
      <c r="D763" s="4">
        <f t="shared" si="132"/>
        <v>5</v>
      </c>
      <c r="E763" s="4" t="str">
        <f>TEXT(Table1[[#This Row],[Order_Date]],"dddd")</f>
        <v>Tuesday</v>
      </c>
      <c r="F763" s="4">
        <f t="shared" si="133"/>
        <v>1</v>
      </c>
      <c r="G763" t="str">
        <f t="shared" si="136"/>
        <v>January</v>
      </c>
      <c r="H763">
        <f t="shared" si="137"/>
        <v>2024</v>
      </c>
      <c r="I763" t="str">
        <f t="shared" si="138"/>
        <v>2024-Q1</v>
      </c>
      <c r="J763" t="s">
        <v>44</v>
      </c>
      <c r="K763" t="s">
        <v>1957</v>
      </c>
      <c r="L763" t="s">
        <v>1958</v>
      </c>
      <c r="M763" t="s">
        <v>36</v>
      </c>
      <c r="N763" t="s">
        <v>25</v>
      </c>
      <c r="O763" t="s">
        <v>48</v>
      </c>
      <c r="P763" t="s">
        <v>49</v>
      </c>
      <c r="Q763" t="s">
        <v>39</v>
      </c>
      <c r="R763" t="s">
        <v>1959</v>
      </c>
      <c r="S763" t="s">
        <v>59</v>
      </c>
      <c r="T763" t="s">
        <v>303</v>
      </c>
      <c r="U763" t="s">
        <v>1960</v>
      </c>
      <c r="V763" s="3">
        <v>1444.22</v>
      </c>
      <c r="W763" s="4">
        <v>9</v>
      </c>
      <c r="X763" s="2">
        <v>0.3</v>
      </c>
      <c r="Y763" s="3">
        <v>17.21</v>
      </c>
      <c r="Z763" t="str">
        <f t="shared" si="134"/>
        <v>Normal</v>
      </c>
      <c r="AA763" t="str">
        <f t="shared" si="135"/>
        <v>High</v>
      </c>
      <c r="AB763" t="str">
        <f t="shared" si="139"/>
        <v>Low Profit</v>
      </c>
      <c r="AC763" s="3">
        <f t="shared" si="140"/>
        <v>1.1916467020260071E-2</v>
      </c>
      <c r="AD763" s="3">
        <f t="shared" si="141"/>
        <v>160.4688888888889</v>
      </c>
      <c r="AE763" s="3">
        <f t="shared" si="142"/>
        <v>1.9122222222222223</v>
      </c>
      <c r="AF763" t="str">
        <f t="shared" si="143"/>
        <v>Regular</v>
      </c>
    </row>
    <row r="764" spans="1:32" x14ac:dyDescent="0.25">
      <c r="A764" t="s">
        <v>5835</v>
      </c>
      <c r="B764" s="1">
        <v>45293</v>
      </c>
      <c r="C764" s="1">
        <v>45296</v>
      </c>
      <c r="D764" s="4">
        <f t="shared" si="132"/>
        <v>3</v>
      </c>
      <c r="E764" s="4" t="str">
        <f>TEXT(Table1[[#This Row],[Order_Date]],"dddd")</f>
        <v>Tuesday</v>
      </c>
      <c r="F764" s="4">
        <f t="shared" si="133"/>
        <v>1</v>
      </c>
      <c r="G764" t="str">
        <f t="shared" si="136"/>
        <v>January</v>
      </c>
      <c r="H764">
        <f t="shared" si="137"/>
        <v>2024</v>
      </c>
      <c r="I764" t="str">
        <f t="shared" si="138"/>
        <v>2024-Q1</v>
      </c>
      <c r="J764" t="s">
        <v>44</v>
      </c>
      <c r="K764" t="s">
        <v>5836</v>
      </c>
      <c r="L764" t="s">
        <v>5837</v>
      </c>
      <c r="M764" t="s">
        <v>47</v>
      </c>
      <c r="N764" t="s">
        <v>25</v>
      </c>
      <c r="O764" t="s">
        <v>227</v>
      </c>
      <c r="P764" t="s">
        <v>49</v>
      </c>
      <c r="Q764" t="s">
        <v>66</v>
      </c>
      <c r="R764" t="s">
        <v>5838</v>
      </c>
      <c r="S764" t="s">
        <v>51</v>
      </c>
      <c r="T764" t="s">
        <v>127</v>
      </c>
      <c r="U764" t="s">
        <v>5839</v>
      </c>
      <c r="V764" s="3">
        <v>497.63</v>
      </c>
      <c r="W764" s="4">
        <v>7</v>
      </c>
      <c r="X764" s="2">
        <v>0.3</v>
      </c>
      <c r="Y764" s="3">
        <v>-88.5</v>
      </c>
      <c r="Z764" t="str">
        <f t="shared" si="134"/>
        <v>Normal</v>
      </c>
      <c r="AA764" t="str">
        <f t="shared" si="135"/>
        <v>High</v>
      </c>
      <c r="AB764" t="str">
        <f t="shared" si="139"/>
        <v>Loss</v>
      </c>
      <c r="AC764" s="3">
        <f t="shared" si="140"/>
        <v>-0.17784297570484095</v>
      </c>
      <c r="AD764" s="3">
        <f t="shared" si="141"/>
        <v>71.09</v>
      </c>
      <c r="AE764" s="3">
        <f t="shared" si="142"/>
        <v>-12.642857142857142</v>
      </c>
      <c r="AF764" t="str">
        <f t="shared" si="143"/>
        <v>Regular</v>
      </c>
    </row>
    <row r="765" spans="1:32" x14ac:dyDescent="0.25">
      <c r="A765" t="s">
        <v>6936</v>
      </c>
      <c r="B765" s="1">
        <v>45294</v>
      </c>
      <c r="C765" s="1">
        <v>45302</v>
      </c>
      <c r="D765" s="4">
        <f t="shared" si="132"/>
        <v>8</v>
      </c>
      <c r="E765" s="4" t="str">
        <f>TEXT(Table1[[#This Row],[Order_Date]],"dddd")</f>
        <v>Wednesday</v>
      </c>
      <c r="F765" s="4">
        <f t="shared" si="133"/>
        <v>1</v>
      </c>
      <c r="G765" t="str">
        <f t="shared" si="136"/>
        <v>January</v>
      </c>
      <c r="H765">
        <f t="shared" si="137"/>
        <v>2024</v>
      </c>
      <c r="I765" t="str">
        <f t="shared" si="138"/>
        <v>2024-Q1</v>
      </c>
      <c r="J765" t="s">
        <v>104</v>
      </c>
      <c r="K765" t="s">
        <v>6937</v>
      </c>
      <c r="L765" t="s">
        <v>6938</v>
      </c>
      <c r="M765" t="s">
        <v>24</v>
      </c>
      <c r="N765" t="s">
        <v>25</v>
      </c>
      <c r="O765" t="s">
        <v>233</v>
      </c>
      <c r="P765" t="s">
        <v>163</v>
      </c>
      <c r="Q765" t="s">
        <v>39</v>
      </c>
      <c r="R765" t="s">
        <v>6939</v>
      </c>
      <c r="S765" t="s">
        <v>59</v>
      </c>
      <c r="T765" t="s">
        <v>60</v>
      </c>
      <c r="U765" t="s">
        <v>6940</v>
      </c>
      <c r="V765" s="3">
        <v>2563.56</v>
      </c>
      <c r="W765" s="4">
        <v>1</v>
      </c>
      <c r="X765" s="2">
        <v>0.1</v>
      </c>
      <c r="Y765" s="3">
        <v>-364.53</v>
      </c>
      <c r="Z765" t="str">
        <f t="shared" si="134"/>
        <v>Normal</v>
      </c>
      <c r="AA765" t="str">
        <f t="shared" si="135"/>
        <v>Medium</v>
      </c>
      <c r="AB765" t="str">
        <f t="shared" si="139"/>
        <v>Loss</v>
      </c>
      <c r="AC765" s="3">
        <f t="shared" si="140"/>
        <v>-0.14219678884051865</v>
      </c>
      <c r="AD765" s="3">
        <f t="shared" si="141"/>
        <v>2563.56</v>
      </c>
      <c r="AE765" s="3">
        <f t="shared" si="142"/>
        <v>-364.53</v>
      </c>
      <c r="AF765" t="str">
        <f t="shared" si="143"/>
        <v>Regular</v>
      </c>
    </row>
    <row r="766" spans="1:32" x14ac:dyDescent="0.25">
      <c r="A766" t="s">
        <v>4091</v>
      </c>
      <c r="B766" s="1">
        <v>45294</v>
      </c>
      <c r="C766" s="1">
        <v>45298</v>
      </c>
      <c r="D766" s="4">
        <f t="shared" si="132"/>
        <v>4</v>
      </c>
      <c r="E766" s="4" t="str">
        <f>TEXT(Table1[[#This Row],[Order_Date]],"dddd")</f>
        <v>Wednesday</v>
      </c>
      <c r="F766" s="4">
        <f t="shared" si="133"/>
        <v>1</v>
      </c>
      <c r="G766" t="str">
        <f t="shared" si="136"/>
        <v>January</v>
      </c>
      <c r="H766">
        <f t="shared" si="137"/>
        <v>2024</v>
      </c>
      <c r="I766" t="str">
        <f t="shared" si="138"/>
        <v>2024-Q1</v>
      </c>
      <c r="J766" t="s">
        <v>44</v>
      </c>
      <c r="K766" t="s">
        <v>4092</v>
      </c>
      <c r="L766" t="s">
        <v>4093</v>
      </c>
      <c r="M766" t="s">
        <v>47</v>
      </c>
      <c r="N766" t="s">
        <v>25</v>
      </c>
      <c r="O766" t="s">
        <v>156</v>
      </c>
      <c r="P766" t="s">
        <v>143</v>
      </c>
      <c r="Q766" t="s">
        <v>39</v>
      </c>
      <c r="R766" t="s">
        <v>4094</v>
      </c>
      <c r="S766" t="s">
        <v>51</v>
      </c>
      <c r="T766" t="s">
        <v>151</v>
      </c>
      <c r="U766" t="s">
        <v>4095</v>
      </c>
      <c r="V766" s="3">
        <v>3196.76</v>
      </c>
      <c r="W766" s="4">
        <v>6</v>
      </c>
      <c r="X766" s="2">
        <v>0.1</v>
      </c>
      <c r="Y766" s="3">
        <v>-163.72999999999999</v>
      </c>
      <c r="Z766" t="str">
        <f t="shared" si="134"/>
        <v>Normal</v>
      </c>
      <c r="AA766" t="str">
        <f t="shared" si="135"/>
        <v>Medium</v>
      </c>
      <c r="AB766" t="str">
        <f t="shared" si="139"/>
        <v>Loss</v>
      </c>
      <c r="AC766" s="3">
        <f t="shared" si="140"/>
        <v>-5.1217482701234995E-2</v>
      </c>
      <c r="AD766" s="3">
        <f t="shared" si="141"/>
        <v>532.79333333333341</v>
      </c>
      <c r="AE766" s="3">
        <f t="shared" si="142"/>
        <v>-27.28833333333333</v>
      </c>
      <c r="AF766" t="str">
        <f t="shared" si="143"/>
        <v>Regular</v>
      </c>
    </row>
    <row r="767" spans="1:32" x14ac:dyDescent="0.25">
      <c r="A767" t="s">
        <v>1519</v>
      </c>
      <c r="B767" s="1">
        <v>45294</v>
      </c>
      <c r="C767" s="1">
        <v>45298</v>
      </c>
      <c r="D767" s="4">
        <f t="shared" si="132"/>
        <v>4</v>
      </c>
      <c r="E767" s="4" t="str">
        <f>TEXT(Table1[[#This Row],[Order_Date]],"dddd")</f>
        <v>Wednesday</v>
      </c>
      <c r="F767" s="4">
        <f t="shared" si="133"/>
        <v>1</v>
      </c>
      <c r="G767" t="str">
        <f t="shared" si="136"/>
        <v>January</v>
      </c>
      <c r="H767">
        <f t="shared" si="137"/>
        <v>2024</v>
      </c>
      <c r="I767" t="str">
        <f t="shared" si="138"/>
        <v>2024-Q1</v>
      </c>
      <c r="J767" t="s">
        <v>21</v>
      </c>
      <c r="K767" t="s">
        <v>1520</v>
      </c>
      <c r="L767" t="s">
        <v>1521</v>
      </c>
      <c r="M767" t="s">
        <v>36</v>
      </c>
      <c r="N767" t="s">
        <v>25</v>
      </c>
      <c r="O767" t="s">
        <v>142</v>
      </c>
      <c r="P767" t="s">
        <v>143</v>
      </c>
      <c r="Q767" t="s">
        <v>87</v>
      </c>
      <c r="R767" t="s">
        <v>1522</v>
      </c>
      <c r="S767" t="s">
        <v>51</v>
      </c>
      <c r="T767" t="s">
        <v>108</v>
      </c>
      <c r="U767" t="s">
        <v>1523</v>
      </c>
      <c r="V767" s="3">
        <v>2977.14</v>
      </c>
      <c r="W767" s="4">
        <v>7</v>
      </c>
      <c r="X767" s="2">
        <v>0.3</v>
      </c>
      <c r="Y767" s="3">
        <v>286.27</v>
      </c>
      <c r="Z767" t="str">
        <f t="shared" si="134"/>
        <v>Normal</v>
      </c>
      <c r="AA767" t="str">
        <f t="shared" si="135"/>
        <v>High</v>
      </c>
      <c r="AB767" t="str">
        <f t="shared" si="139"/>
        <v>Low Profit</v>
      </c>
      <c r="AC767" s="3">
        <f t="shared" si="140"/>
        <v>9.6156042376240286E-2</v>
      </c>
      <c r="AD767" s="3">
        <f t="shared" si="141"/>
        <v>425.30571428571426</v>
      </c>
      <c r="AE767" s="3">
        <f t="shared" si="142"/>
        <v>40.895714285714284</v>
      </c>
      <c r="AF767" t="str">
        <f t="shared" si="143"/>
        <v>Regular</v>
      </c>
    </row>
    <row r="768" spans="1:32" x14ac:dyDescent="0.25">
      <c r="A768" t="s">
        <v>3215</v>
      </c>
      <c r="B768" s="1">
        <v>45294</v>
      </c>
      <c r="C768" s="1">
        <v>45296</v>
      </c>
      <c r="D768" s="4">
        <f t="shared" si="132"/>
        <v>2</v>
      </c>
      <c r="E768" s="4" t="str">
        <f>TEXT(Table1[[#This Row],[Order_Date]],"dddd")</f>
        <v>Wednesday</v>
      </c>
      <c r="F768" s="4">
        <f t="shared" si="133"/>
        <v>1</v>
      </c>
      <c r="G768" t="str">
        <f t="shared" si="136"/>
        <v>January</v>
      </c>
      <c r="H768">
        <f t="shared" si="137"/>
        <v>2024</v>
      </c>
      <c r="I768" t="str">
        <f t="shared" si="138"/>
        <v>2024-Q1</v>
      </c>
      <c r="J768" t="s">
        <v>104</v>
      </c>
      <c r="K768" t="s">
        <v>3216</v>
      </c>
      <c r="L768" t="s">
        <v>3217</v>
      </c>
      <c r="M768" t="s">
        <v>24</v>
      </c>
      <c r="N768" t="s">
        <v>25</v>
      </c>
      <c r="O768" t="s">
        <v>37</v>
      </c>
      <c r="P768" t="s">
        <v>38</v>
      </c>
      <c r="Q768" t="s">
        <v>39</v>
      </c>
      <c r="R768" t="s">
        <v>3218</v>
      </c>
      <c r="S768" t="s">
        <v>51</v>
      </c>
      <c r="T768" t="s">
        <v>127</v>
      </c>
      <c r="U768" t="s">
        <v>3219</v>
      </c>
      <c r="V768" s="3">
        <v>2966.85</v>
      </c>
      <c r="W768" s="4">
        <v>3</v>
      </c>
      <c r="X768" s="2">
        <v>0.4</v>
      </c>
      <c r="Y768" s="3">
        <v>-114.19</v>
      </c>
      <c r="Z768" t="str">
        <f t="shared" si="134"/>
        <v>Normal</v>
      </c>
      <c r="AA768" t="str">
        <f t="shared" si="135"/>
        <v>High</v>
      </c>
      <c r="AB768" t="str">
        <f t="shared" si="139"/>
        <v>Loss</v>
      </c>
      <c r="AC768" s="3">
        <f t="shared" si="140"/>
        <v>-3.8488632724943968E-2</v>
      </c>
      <c r="AD768" s="3">
        <f t="shared" si="141"/>
        <v>988.94999999999993</v>
      </c>
      <c r="AE768" s="3">
        <f t="shared" si="142"/>
        <v>-38.063333333333333</v>
      </c>
      <c r="AF768" t="str">
        <f t="shared" si="143"/>
        <v>Regular</v>
      </c>
    </row>
    <row r="769" spans="1:32" x14ac:dyDescent="0.25">
      <c r="A769" t="s">
        <v>843</v>
      </c>
      <c r="B769" s="1">
        <v>45294</v>
      </c>
      <c r="C769" s="1">
        <f>B769+5</f>
        <v>45299</v>
      </c>
      <c r="D769" s="4">
        <f t="shared" si="132"/>
        <v>5</v>
      </c>
      <c r="E769" s="4" t="str">
        <f>TEXT(Table1[[#This Row],[Order_Date]],"dddd")</f>
        <v>Wednesday</v>
      </c>
      <c r="F769" s="4">
        <f t="shared" si="133"/>
        <v>1</v>
      </c>
      <c r="G769" t="str">
        <f t="shared" si="136"/>
        <v>January</v>
      </c>
      <c r="H769">
        <f t="shared" si="137"/>
        <v>2024</v>
      </c>
      <c r="I769" t="str">
        <f t="shared" si="138"/>
        <v>2024-Q1</v>
      </c>
      <c r="J769" t="s">
        <v>55</v>
      </c>
      <c r="K769" t="s">
        <v>844</v>
      </c>
      <c r="L769" t="s">
        <v>845</v>
      </c>
      <c r="M769" t="s">
        <v>36</v>
      </c>
      <c r="N769" t="s">
        <v>25</v>
      </c>
      <c r="O769" t="s">
        <v>244</v>
      </c>
      <c r="P769" t="s">
        <v>163</v>
      </c>
      <c r="Q769" t="s">
        <v>87</v>
      </c>
      <c r="R769" t="s">
        <v>846</v>
      </c>
      <c r="S769" t="s">
        <v>51</v>
      </c>
      <c r="T769" t="s">
        <v>52</v>
      </c>
      <c r="U769" t="s">
        <v>847</v>
      </c>
      <c r="V769" s="3">
        <v>4956.45</v>
      </c>
      <c r="W769" s="4">
        <v>9</v>
      </c>
      <c r="X769" s="2">
        <v>0</v>
      </c>
      <c r="Y769" s="3">
        <v>63.68</v>
      </c>
      <c r="Z769" t="str">
        <f t="shared" si="134"/>
        <v>Normal</v>
      </c>
      <c r="AA769" t="str">
        <f t="shared" si="135"/>
        <v>Low</v>
      </c>
      <c r="AB769" t="str">
        <f t="shared" si="139"/>
        <v>Low Profit</v>
      </c>
      <c r="AC769" s="3">
        <f t="shared" si="140"/>
        <v>1.2847905254769039E-2</v>
      </c>
      <c r="AD769" s="3">
        <f t="shared" si="141"/>
        <v>550.7166666666667</v>
      </c>
      <c r="AE769" s="3">
        <f t="shared" si="142"/>
        <v>7.0755555555555558</v>
      </c>
      <c r="AF769" t="str">
        <f t="shared" si="143"/>
        <v>Regular</v>
      </c>
    </row>
    <row r="770" spans="1:32" x14ac:dyDescent="0.25">
      <c r="A770" t="s">
        <v>3615</v>
      </c>
      <c r="B770" s="1">
        <v>45294</v>
      </c>
      <c r="C770" s="1">
        <v>45301</v>
      </c>
      <c r="D770" s="4">
        <f t="shared" ref="D770:D833" si="144">C770-B770</f>
        <v>7</v>
      </c>
      <c r="E770" s="4" t="str">
        <f>TEXT(Table1[[#This Row],[Order_Date]],"dddd")</f>
        <v>Wednesday</v>
      </c>
      <c r="F770" s="4">
        <f t="shared" ref="F770:F833" si="145">MONTH(B770)</f>
        <v>1</v>
      </c>
      <c r="G770" t="str">
        <f t="shared" si="136"/>
        <v>January</v>
      </c>
      <c r="H770">
        <f t="shared" si="137"/>
        <v>2024</v>
      </c>
      <c r="I770" t="str">
        <f t="shared" si="138"/>
        <v>2024-Q1</v>
      </c>
      <c r="J770" t="s">
        <v>104</v>
      </c>
      <c r="K770" t="s">
        <v>3616</v>
      </c>
      <c r="L770" t="s">
        <v>3617</v>
      </c>
      <c r="M770" t="s">
        <v>36</v>
      </c>
      <c r="N770" t="s">
        <v>25</v>
      </c>
      <c r="O770" t="s">
        <v>244</v>
      </c>
      <c r="P770" t="s">
        <v>163</v>
      </c>
      <c r="Q770" t="s">
        <v>66</v>
      </c>
      <c r="R770" t="s">
        <v>3618</v>
      </c>
      <c r="S770" t="s">
        <v>30</v>
      </c>
      <c r="T770" t="s">
        <v>68</v>
      </c>
      <c r="U770" t="s">
        <v>3619</v>
      </c>
      <c r="V770" s="3">
        <v>4239.62</v>
      </c>
      <c r="W770" s="4">
        <v>8</v>
      </c>
      <c r="X770" s="2">
        <v>0.1</v>
      </c>
      <c r="Y770" s="3">
        <v>218.55</v>
      </c>
      <c r="Z770" t="str">
        <f t="shared" ref="Z770:Z833" si="146">IF(OR(Y770&lt;-800.884,Y770&gt;1030.126),"Outlier","Normal")</f>
        <v>Normal</v>
      </c>
      <c r="AA770" t="str">
        <f t="shared" ref="AA770:AA833" si="147">IF(X770&lt;10%,"Low",IF(X770&lt;0.2,"Medium","High"))</f>
        <v>Medium</v>
      </c>
      <c r="AB770" t="str">
        <f t="shared" si="139"/>
        <v>Low Profit</v>
      </c>
      <c r="AC770" s="3">
        <f t="shared" si="140"/>
        <v>5.1549431316957654E-2</v>
      </c>
      <c r="AD770" s="3">
        <f t="shared" si="141"/>
        <v>529.95249999999999</v>
      </c>
      <c r="AE770" s="3">
        <f t="shared" si="142"/>
        <v>27.318750000000001</v>
      </c>
      <c r="AF770" t="str">
        <f t="shared" si="143"/>
        <v>Regular</v>
      </c>
    </row>
    <row r="771" spans="1:32" x14ac:dyDescent="0.25">
      <c r="A771" t="s">
        <v>4227</v>
      </c>
      <c r="B771" s="1">
        <v>45295</v>
      </c>
      <c r="C771" s="1">
        <v>45298</v>
      </c>
      <c r="D771" s="4">
        <f t="shared" si="144"/>
        <v>3</v>
      </c>
      <c r="E771" s="4" t="str">
        <f>TEXT(Table1[[#This Row],[Order_Date]],"dddd")</f>
        <v>Thursday</v>
      </c>
      <c r="F771" s="4">
        <f t="shared" si="145"/>
        <v>1</v>
      </c>
      <c r="G771" t="str">
        <f t="shared" ref="G771:G834" si="148">TEXT(B771,"mmmm")</f>
        <v>January</v>
      </c>
      <c r="H771">
        <f t="shared" ref="H771:H834" si="149">YEAR(B771)</f>
        <v>2024</v>
      </c>
      <c r="I771" t="str">
        <f t="shared" ref="I771:I834" si="150">H771 &amp; "-Q" &amp; INT((MONTH(B771)+2)/3)</f>
        <v>2024-Q1</v>
      </c>
      <c r="J771" t="s">
        <v>44</v>
      </c>
      <c r="K771" t="s">
        <v>4228</v>
      </c>
      <c r="L771" t="s">
        <v>4229</v>
      </c>
      <c r="M771" t="s">
        <v>36</v>
      </c>
      <c r="N771" t="s">
        <v>25</v>
      </c>
      <c r="O771" t="s">
        <v>190</v>
      </c>
      <c r="P771" t="s">
        <v>120</v>
      </c>
      <c r="Q771" t="s">
        <v>87</v>
      </c>
      <c r="R771" t="s">
        <v>4230</v>
      </c>
      <c r="S771" t="s">
        <v>30</v>
      </c>
      <c r="T771" t="s">
        <v>68</v>
      </c>
      <c r="U771" t="s">
        <v>4231</v>
      </c>
      <c r="V771" s="3">
        <v>3211.35</v>
      </c>
      <c r="W771" s="4">
        <v>6</v>
      </c>
      <c r="X771" s="2">
        <v>0.2</v>
      </c>
      <c r="Y771" s="3">
        <v>-490.74</v>
      </c>
      <c r="Z771" t="str">
        <f t="shared" si="146"/>
        <v>Normal</v>
      </c>
      <c r="AA771" t="str">
        <f t="shared" si="147"/>
        <v>High</v>
      </c>
      <c r="AB771" t="str">
        <f t="shared" ref="AB771:AB834" si="151">IF(Y771&lt;0, "Loss", IF(Y771&lt;500,"Low Profit", "High Profit"))</f>
        <v>Loss</v>
      </c>
      <c r="AC771" s="3">
        <f t="shared" ref="AC771:AC834" si="152">Y771/V771</f>
        <v>-0.15281423700312954</v>
      </c>
      <c r="AD771" s="3">
        <f t="shared" ref="AD771:AD834" si="153">V771/W771</f>
        <v>535.22500000000002</v>
      </c>
      <c r="AE771" s="3">
        <f t="shared" ref="AE771:AE834" si="154">Y771/W771</f>
        <v>-81.790000000000006</v>
      </c>
      <c r="AF771" t="str">
        <f t="shared" ref="AF771:AF834" si="155">IF(V771&gt;5000,"High value", "Regular")</f>
        <v>Regular</v>
      </c>
    </row>
    <row r="772" spans="1:32" x14ac:dyDescent="0.25">
      <c r="A772" t="s">
        <v>2418</v>
      </c>
      <c r="B772" s="1">
        <v>45296</v>
      </c>
      <c r="C772" s="1">
        <v>45302</v>
      </c>
      <c r="D772" s="4">
        <f t="shared" si="144"/>
        <v>6</v>
      </c>
      <c r="E772" s="4" t="str">
        <f>TEXT(Table1[[#This Row],[Order_Date]],"dddd")</f>
        <v>Friday</v>
      </c>
      <c r="F772" s="4">
        <f t="shared" si="145"/>
        <v>1</v>
      </c>
      <c r="G772" t="str">
        <f t="shared" si="148"/>
        <v>January</v>
      </c>
      <c r="H772">
        <f t="shared" si="149"/>
        <v>2024</v>
      </c>
      <c r="I772" t="str">
        <f t="shared" si="150"/>
        <v>2024-Q1</v>
      </c>
      <c r="J772" t="s">
        <v>104</v>
      </c>
      <c r="K772" t="s">
        <v>2419</v>
      </c>
      <c r="L772" t="s">
        <v>2420</v>
      </c>
      <c r="M772" t="s">
        <v>24</v>
      </c>
      <c r="N772" t="s">
        <v>25</v>
      </c>
      <c r="O772" t="s">
        <v>255</v>
      </c>
      <c r="P772" t="s">
        <v>143</v>
      </c>
      <c r="Q772" t="s">
        <v>66</v>
      </c>
      <c r="R772" t="s">
        <v>2421</v>
      </c>
      <c r="S772" t="s">
        <v>51</v>
      </c>
      <c r="T772" t="s">
        <v>151</v>
      </c>
      <c r="U772" t="s">
        <v>2422</v>
      </c>
      <c r="V772" s="3">
        <v>2196.98</v>
      </c>
      <c r="W772" s="4">
        <v>2</v>
      </c>
      <c r="X772" s="2">
        <v>0.4</v>
      </c>
      <c r="Y772" s="3">
        <v>376.69</v>
      </c>
      <c r="Z772" t="str">
        <f t="shared" si="146"/>
        <v>Normal</v>
      </c>
      <c r="AA772" t="str">
        <f t="shared" si="147"/>
        <v>High</v>
      </c>
      <c r="AB772" t="str">
        <f t="shared" si="151"/>
        <v>Low Profit</v>
      </c>
      <c r="AC772" s="3">
        <f t="shared" si="152"/>
        <v>0.17145809247239391</v>
      </c>
      <c r="AD772" s="3">
        <f t="shared" si="153"/>
        <v>1098.49</v>
      </c>
      <c r="AE772" s="3">
        <f t="shared" si="154"/>
        <v>188.345</v>
      </c>
      <c r="AF772" t="str">
        <f t="shared" si="155"/>
        <v>Regular</v>
      </c>
    </row>
    <row r="773" spans="1:32" x14ac:dyDescent="0.25">
      <c r="A773" t="s">
        <v>1805</v>
      </c>
      <c r="B773" s="1">
        <v>45296</v>
      </c>
      <c r="C773" s="1">
        <v>45304</v>
      </c>
      <c r="D773" s="4">
        <f t="shared" si="144"/>
        <v>8</v>
      </c>
      <c r="E773" s="4" t="str">
        <f>TEXT(Table1[[#This Row],[Order_Date]],"dddd")</f>
        <v>Friday</v>
      </c>
      <c r="F773" s="4">
        <f t="shared" si="145"/>
        <v>1</v>
      </c>
      <c r="G773" t="str">
        <f t="shared" si="148"/>
        <v>January</v>
      </c>
      <c r="H773">
        <f t="shared" si="149"/>
        <v>2024</v>
      </c>
      <c r="I773" t="str">
        <f t="shared" si="150"/>
        <v>2024-Q1</v>
      </c>
      <c r="J773" t="s">
        <v>44</v>
      </c>
      <c r="K773" t="s">
        <v>1806</v>
      </c>
      <c r="L773" t="s">
        <v>1807</v>
      </c>
      <c r="M773" t="s">
        <v>36</v>
      </c>
      <c r="N773" t="s">
        <v>25</v>
      </c>
      <c r="O773" t="s">
        <v>227</v>
      </c>
      <c r="P773" t="s">
        <v>49</v>
      </c>
      <c r="Q773" t="s">
        <v>87</v>
      </c>
      <c r="R773" t="s">
        <v>1808</v>
      </c>
      <c r="S773" t="s">
        <v>51</v>
      </c>
      <c r="T773" t="s">
        <v>52</v>
      </c>
      <c r="U773" t="s">
        <v>1809</v>
      </c>
      <c r="V773" s="3">
        <v>1051.22</v>
      </c>
      <c r="W773" s="4">
        <v>10</v>
      </c>
      <c r="X773" s="2">
        <v>0.4</v>
      </c>
      <c r="Y773" s="3">
        <v>59.88</v>
      </c>
      <c r="Z773" t="str">
        <f t="shared" si="146"/>
        <v>Normal</v>
      </c>
      <c r="AA773" t="str">
        <f t="shared" si="147"/>
        <v>High</v>
      </c>
      <c r="AB773" t="str">
        <f t="shared" si="151"/>
        <v>Low Profit</v>
      </c>
      <c r="AC773" s="3">
        <f t="shared" si="152"/>
        <v>5.696238656037747E-2</v>
      </c>
      <c r="AD773" s="3">
        <f t="shared" si="153"/>
        <v>105.122</v>
      </c>
      <c r="AE773" s="3">
        <f t="shared" si="154"/>
        <v>5.9880000000000004</v>
      </c>
      <c r="AF773" t="str">
        <f t="shared" si="155"/>
        <v>Regular</v>
      </c>
    </row>
    <row r="774" spans="1:32" x14ac:dyDescent="0.25">
      <c r="A774" t="s">
        <v>4902</v>
      </c>
      <c r="B774" s="1">
        <v>45297</v>
      </c>
      <c r="C774" s="1">
        <v>45301</v>
      </c>
      <c r="D774" s="4">
        <f t="shared" si="144"/>
        <v>4</v>
      </c>
      <c r="E774" s="4" t="str">
        <f>TEXT(Table1[[#This Row],[Order_Date]],"dddd")</f>
        <v>Saturday</v>
      </c>
      <c r="F774" s="4">
        <f t="shared" si="145"/>
        <v>1</v>
      </c>
      <c r="G774" t="str">
        <f t="shared" si="148"/>
        <v>January</v>
      </c>
      <c r="H774">
        <f t="shared" si="149"/>
        <v>2024</v>
      </c>
      <c r="I774" t="str">
        <f t="shared" si="150"/>
        <v>2024-Q1</v>
      </c>
      <c r="J774" t="s">
        <v>55</v>
      </c>
      <c r="K774" t="s">
        <v>4903</v>
      </c>
      <c r="L774" t="s">
        <v>4904</v>
      </c>
      <c r="M774" t="s">
        <v>36</v>
      </c>
      <c r="N774" t="s">
        <v>25</v>
      </c>
      <c r="O774" t="s">
        <v>511</v>
      </c>
      <c r="P774" t="s">
        <v>120</v>
      </c>
      <c r="Q774" t="s">
        <v>87</v>
      </c>
      <c r="R774" t="s">
        <v>4905</v>
      </c>
      <c r="S774" t="s">
        <v>59</v>
      </c>
      <c r="T774" t="s">
        <v>101</v>
      </c>
      <c r="U774" t="s">
        <v>4906</v>
      </c>
      <c r="V774" s="3">
        <v>2770.86</v>
      </c>
      <c r="W774" s="4">
        <v>4</v>
      </c>
      <c r="X774" s="2">
        <v>0.1</v>
      </c>
      <c r="Y774" s="3">
        <v>-173.32</v>
      </c>
      <c r="Z774" t="str">
        <f t="shared" si="146"/>
        <v>Normal</v>
      </c>
      <c r="AA774" t="str">
        <f t="shared" si="147"/>
        <v>Medium</v>
      </c>
      <c r="AB774" t="str">
        <f t="shared" si="151"/>
        <v>Loss</v>
      </c>
      <c r="AC774" s="3">
        <f t="shared" si="152"/>
        <v>-6.2550976953003753E-2</v>
      </c>
      <c r="AD774" s="3">
        <f t="shared" si="153"/>
        <v>692.71500000000003</v>
      </c>
      <c r="AE774" s="3">
        <f t="shared" si="154"/>
        <v>-43.33</v>
      </c>
      <c r="AF774" t="str">
        <f t="shared" si="155"/>
        <v>Regular</v>
      </c>
    </row>
    <row r="775" spans="1:32" x14ac:dyDescent="0.25">
      <c r="A775" t="s">
        <v>703</v>
      </c>
      <c r="B775" s="1">
        <v>45297</v>
      </c>
      <c r="C775" s="1">
        <v>45306</v>
      </c>
      <c r="D775" s="4">
        <f t="shared" si="144"/>
        <v>9</v>
      </c>
      <c r="E775" s="4" t="str">
        <f>TEXT(Table1[[#This Row],[Order_Date]],"dddd")</f>
        <v>Saturday</v>
      </c>
      <c r="F775" s="4">
        <f t="shared" si="145"/>
        <v>1</v>
      </c>
      <c r="G775" t="str">
        <f t="shared" si="148"/>
        <v>January</v>
      </c>
      <c r="H775">
        <f t="shared" si="149"/>
        <v>2024</v>
      </c>
      <c r="I775" t="str">
        <f t="shared" si="150"/>
        <v>2024-Q1</v>
      </c>
      <c r="J775" t="s">
        <v>44</v>
      </c>
      <c r="K775" t="s">
        <v>704</v>
      </c>
      <c r="L775" t="s">
        <v>705</v>
      </c>
      <c r="M775" t="s">
        <v>47</v>
      </c>
      <c r="N775" t="s">
        <v>25</v>
      </c>
      <c r="O775" t="s">
        <v>119</v>
      </c>
      <c r="P775" t="s">
        <v>120</v>
      </c>
      <c r="Q775" t="s">
        <v>28</v>
      </c>
      <c r="R775" t="s">
        <v>706</v>
      </c>
      <c r="S775" t="s">
        <v>51</v>
      </c>
      <c r="T775" t="s">
        <v>94</v>
      </c>
      <c r="U775" t="s">
        <v>707</v>
      </c>
      <c r="V775" s="3">
        <v>1418.46</v>
      </c>
      <c r="W775" s="4">
        <v>6</v>
      </c>
      <c r="X775" s="2">
        <v>0.4</v>
      </c>
      <c r="Y775" s="3">
        <v>123.89</v>
      </c>
      <c r="Z775" t="str">
        <f t="shared" si="146"/>
        <v>Normal</v>
      </c>
      <c r="AA775" t="str">
        <f t="shared" si="147"/>
        <v>High</v>
      </c>
      <c r="AB775" t="str">
        <f t="shared" si="151"/>
        <v>Low Profit</v>
      </c>
      <c r="AC775" s="3">
        <f t="shared" si="152"/>
        <v>8.7341201020825404E-2</v>
      </c>
      <c r="AD775" s="3">
        <f t="shared" si="153"/>
        <v>236.41</v>
      </c>
      <c r="AE775" s="3">
        <f t="shared" si="154"/>
        <v>20.648333333333333</v>
      </c>
      <c r="AF775" t="str">
        <f t="shared" si="155"/>
        <v>Regular</v>
      </c>
    </row>
    <row r="776" spans="1:32" x14ac:dyDescent="0.25">
      <c r="A776" t="s">
        <v>4622</v>
      </c>
      <c r="B776" s="1">
        <v>45298</v>
      </c>
      <c r="C776" s="1">
        <v>45300</v>
      </c>
      <c r="D776" s="4">
        <f t="shared" si="144"/>
        <v>2</v>
      </c>
      <c r="E776" s="4" t="str">
        <f>TEXT(Table1[[#This Row],[Order_Date]],"dddd")</f>
        <v>Sunday</v>
      </c>
      <c r="F776" s="4">
        <f t="shared" si="145"/>
        <v>1</v>
      </c>
      <c r="G776" t="str">
        <f t="shared" si="148"/>
        <v>January</v>
      </c>
      <c r="H776">
        <f t="shared" si="149"/>
        <v>2024</v>
      </c>
      <c r="I776" t="str">
        <f t="shared" si="150"/>
        <v>2024-Q1</v>
      </c>
      <c r="J776" t="s">
        <v>21</v>
      </c>
      <c r="K776" t="s">
        <v>4623</v>
      </c>
      <c r="L776" t="s">
        <v>4624</v>
      </c>
      <c r="M776" t="s">
        <v>47</v>
      </c>
      <c r="N776" t="s">
        <v>25</v>
      </c>
      <c r="O776" t="s">
        <v>37</v>
      </c>
      <c r="P776" t="s">
        <v>38</v>
      </c>
      <c r="Q776" t="s">
        <v>87</v>
      </c>
      <c r="R776" t="s">
        <v>4625</v>
      </c>
      <c r="S776" t="s">
        <v>51</v>
      </c>
      <c r="T776" t="s">
        <v>52</v>
      </c>
      <c r="U776" t="s">
        <v>4626</v>
      </c>
      <c r="V776" s="3">
        <v>3054.12</v>
      </c>
      <c r="W776" s="4">
        <v>8</v>
      </c>
      <c r="X776" s="2">
        <v>0</v>
      </c>
      <c r="Y776" s="3">
        <v>-409.47</v>
      </c>
      <c r="Z776" t="str">
        <f t="shared" si="146"/>
        <v>Normal</v>
      </c>
      <c r="AA776" t="str">
        <f t="shared" si="147"/>
        <v>Low</v>
      </c>
      <c r="AB776" t="str">
        <f t="shared" si="151"/>
        <v>Loss</v>
      </c>
      <c r="AC776" s="3">
        <f t="shared" si="152"/>
        <v>-0.13407135279556798</v>
      </c>
      <c r="AD776" s="3">
        <f t="shared" si="153"/>
        <v>381.76499999999999</v>
      </c>
      <c r="AE776" s="3">
        <f t="shared" si="154"/>
        <v>-51.183750000000003</v>
      </c>
      <c r="AF776" t="str">
        <f t="shared" si="155"/>
        <v>Regular</v>
      </c>
    </row>
    <row r="777" spans="1:32" x14ac:dyDescent="0.25">
      <c r="A777" t="s">
        <v>6542</v>
      </c>
      <c r="B777" s="1">
        <v>45299</v>
      </c>
      <c r="C777" s="1">
        <v>45307</v>
      </c>
      <c r="D777" s="4">
        <f t="shared" si="144"/>
        <v>8</v>
      </c>
      <c r="E777" s="4" t="str">
        <f>TEXT(Table1[[#This Row],[Order_Date]],"dddd")</f>
        <v>Monday</v>
      </c>
      <c r="F777" s="4">
        <f t="shared" si="145"/>
        <v>1</v>
      </c>
      <c r="G777" t="str">
        <f t="shared" si="148"/>
        <v>January</v>
      </c>
      <c r="H777">
        <f t="shared" si="149"/>
        <v>2024</v>
      </c>
      <c r="I777" t="str">
        <f t="shared" si="150"/>
        <v>2024-Q1</v>
      </c>
      <c r="J777" t="s">
        <v>104</v>
      </c>
      <c r="K777" t="s">
        <v>6543</v>
      </c>
      <c r="L777" t="s">
        <v>6544</v>
      </c>
      <c r="M777" t="s">
        <v>24</v>
      </c>
      <c r="N777" t="s">
        <v>25</v>
      </c>
      <c r="O777" t="s">
        <v>511</v>
      </c>
      <c r="P777" t="s">
        <v>120</v>
      </c>
      <c r="Q777" t="s">
        <v>39</v>
      </c>
      <c r="R777" t="s">
        <v>6545</v>
      </c>
      <c r="S777" t="s">
        <v>51</v>
      </c>
      <c r="T777" t="s">
        <v>151</v>
      </c>
      <c r="U777" t="s">
        <v>6546</v>
      </c>
      <c r="V777" s="3">
        <v>3390.18</v>
      </c>
      <c r="W777" s="4">
        <v>5</v>
      </c>
      <c r="X777" s="2">
        <v>0.2</v>
      </c>
      <c r="Y777" s="3">
        <v>309.67</v>
      </c>
      <c r="Z777" t="str">
        <f t="shared" si="146"/>
        <v>Normal</v>
      </c>
      <c r="AA777" t="str">
        <f t="shared" si="147"/>
        <v>High</v>
      </c>
      <c r="AB777" t="str">
        <f t="shared" si="151"/>
        <v>Low Profit</v>
      </c>
      <c r="AC777" s="3">
        <f t="shared" si="152"/>
        <v>9.1343232512727954E-2</v>
      </c>
      <c r="AD777" s="3">
        <f t="shared" si="153"/>
        <v>678.03599999999994</v>
      </c>
      <c r="AE777" s="3">
        <f t="shared" si="154"/>
        <v>61.934000000000005</v>
      </c>
      <c r="AF777" t="str">
        <f t="shared" si="155"/>
        <v>Regular</v>
      </c>
    </row>
    <row r="778" spans="1:32" x14ac:dyDescent="0.25">
      <c r="A778" t="s">
        <v>1907</v>
      </c>
      <c r="B778" s="1">
        <v>45299</v>
      </c>
      <c r="C778" s="1">
        <v>45301</v>
      </c>
      <c r="D778" s="4">
        <f t="shared" si="144"/>
        <v>2</v>
      </c>
      <c r="E778" s="4" t="str">
        <f>TEXT(Table1[[#This Row],[Order_Date]],"dddd")</f>
        <v>Monday</v>
      </c>
      <c r="F778" s="4">
        <f t="shared" si="145"/>
        <v>1</v>
      </c>
      <c r="G778" t="str">
        <f t="shared" si="148"/>
        <v>January</v>
      </c>
      <c r="H778">
        <f t="shared" si="149"/>
        <v>2024</v>
      </c>
      <c r="I778" t="str">
        <f t="shared" si="150"/>
        <v>2024-Q1</v>
      </c>
      <c r="J778" t="s">
        <v>55</v>
      </c>
      <c r="K778" t="s">
        <v>1908</v>
      </c>
      <c r="L778" t="s">
        <v>1909</v>
      </c>
      <c r="M778" t="s">
        <v>24</v>
      </c>
      <c r="N778" t="s">
        <v>25</v>
      </c>
      <c r="O778" t="s">
        <v>73</v>
      </c>
      <c r="P778" t="s">
        <v>74</v>
      </c>
      <c r="Q778" t="s">
        <v>87</v>
      </c>
      <c r="R778" t="s">
        <v>7403</v>
      </c>
      <c r="S778" t="s">
        <v>30</v>
      </c>
      <c r="T778" t="s">
        <v>41</v>
      </c>
      <c r="U778" t="s">
        <v>1910</v>
      </c>
      <c r="V778" s="3">
        <v>130.97</v>
      </c>
      <c r="W778" s="4">
        <v>2</v>
      </c>
      <c r="X778" s="2">
        <v>0.1</v>
      </c>
      <c r="Y778" s="3">
        <v>-24.02</v>
      </c>
      <c r="Z778" t="str">
        <f t="shared" si="146"/>
        <v>Normal</v>
      </c>
      <c r="AA778" t="str">
        <f t="shared" si="147"/>
        <v>Medium</v>
      </c>
      <c r="AB778" t="str">
        <f t="shared" si="151"/>
        <v>Loss</v>
      </c>
      <c r="AC778" s="3">
        <f t="shared" si="152"/>
        <v>-0.18340077880430633</v>
      </c>
      <c r="AD778" s="3">
        <f t="shared" si="153"/>
        <v>65.484999999999999</v>
      </c>
      <c r="AE778" s="3">
        <f t="shared" si="154"/>
        <v>-12.01</v>
      </c>
      <c r="AF778" t="str">
        <f t="shared" si="155"/>
        <v>Regular</v>
      </c>
    </row>
    <row r="779" spans="1:32" x14ac:dyDescent="0.25">
      <c r="A779" t="s">
        <v>2982</v>
      </c>
      <c r="B779" s="1">
        <v>45299</v>
      </c>
      <c r="C779" s="1">
        <v>45300</v>
      </c>
      <c r="D779" s="4">
        <f t="shared" si="144"/>
        <v>1</v>
      </c>
      <c r="E779" s="4" t="str">
        <f>TEXT(Table1[[#This Row],[Order_Date]],"dddd")</f>
        <v>Monday</v>
      </c>
      <c r="F779" s="4">
        <f t="shared" si="145"/>
        <v>1</v>
      </c>
      <c r="G779" t="str">
        <f t="shared" si="148"/>
        <v>January</v>
      </c>
      <c r="H779">
        <f t="shared" si="149"/>
        <v>2024</v>
      </c>
      <c r="I779" t="str">
        <f t="shared" si="150"/>
        <v>2024-Q1</v>
      </c>
      <c r="J779" t="s">
        <v>21</v>
      </c>
      <c r="K779" t="s">
        <v>2983</v>
      </c>
      <c r="L779" t="s">
        <v>2984</v>
      </c>
      <c r="M779" t="s">
        <v>36</v>
      </c>
      <c r="N779" t="s">
        <v>25</v>
      </c>
      <c r="O779" t="s">
        <v>80</v>
      </c>
      <c r="P779" t="s">
        <v>49</v>
      </c>
      <c r="Q779" t="s">
        <v>28</v>
      </c>
      <c r="R779" t="s">
        <v>2985</v>
      </c>
      <c r="S779" t="s">
        <v>59</v>
      </c>
      <c r="T779" t="s">
        <v>277</v>
      </c>
      <c r="U779" t="s">
        <v>2986</v>
      </c>
      <c r="V779" s="3">
        <v>4996.41</v>
      </c>
      <c r="W779" s="4">
        <v>5</v>
      </c>
      <c r="X779" s="2">
        <v>0.2</v>
      </c>
      <c r="Y779" s="3">
        <v>1123.54</v>
      </c>
      <c r="Z779" t="str">
        <f t="shared" si="146"/>
        <v>Outlier</v>
      </c>
      <c r="AA779" t="str">
        <f t="shared" si="147"/>
        <v>High</v>
      </c>
      <c r="AB779" t="str">
        <f t="shared" si="151"/>
        <v>High Profit</v>
      </c>
      <c r="AC779" s="3">
        <f t="shared" si="152"/>
        <v>0.22486945626960159</v>
      </c>
      <c r="AD779" s="3">
        <f t="shared" si="153"/>
        <v>999.28199999999993</v>
      </c>
      <c r="AE779" s="3">
        <f t="shared" si="154"/>
        <v>224.708</v>
      </c>
      <c r="AF779" t="str">
        <f t="shared" si="155"/>
        <v>Regular</v>
      </c>
    </row>
    <row r="780" spans="1:32" x14ac:dyDescent="0.25">
      <c r="A780" t="s">
        <v>5763</v>
      </c>
      <c r="B780" s="1">
        <v>45299</v>
      </c>
      <c r="C780" s="1">
        <v>45306</v>
      </c>
      <c r="D780" s="4">
        <f t="shared" si="144"/>
        <v>7</v>
      </c>
      <c r="E780" s="4" t="str">
        <f>TEXT(Table1[[#This Row],[Order_Date]],"dddd")</f>
        <v>Monday</v>
      </c>
      <c r="F780" s="4">
        <f t="shared" si="145"/>
        <v>1</v>
      </c>
      <c r="G780" t="str">
        <f t="shared" si="148"/>
        <v>January</v>
      </c>
      <c r="H780">
        <f t="shared" si="149"/>
        <v>2024</v>
      </c>
      <c r="I780" t="str">
        <f t="shared" si="150"/>
        <v>2024-Q1</v>
      </c>
      <c r="J780" t="s">
        <v>55</v>
      </c>
      <c r="K780" t="s">
        <v>5764</v>
      </c>
      <c r="L780" t="s">
        <v>5765</v>
      </c>
      <c r="M780" t="s">
        <v>24</v>
      </c>
      <c r="N780" t="s">
        <v>25</v>
      </c>
      <c r="O780" t="s">
        <v>244</v>
      </c>
      <c r="P780" t="s">
        <v>163</v>
      </c>
      <c r="Q780" t="s">
        <v>87</v>
      </c>
      <c r="R780" t="s">
        <v>5766</v>
      </c>
      <c r="S780" t="s">
        <v>59</v>
      </c>
      <c r="T780" t="s">
        <v>101</v>
      </c>
      <c r="U780" t="s">
        <v>5767</v>
      </c>
      <c r="V780" s="3">
        <v>2632.43</v>
      </c>
      <c r="W780" s="4">
        <v>3</v>
      </c>
      <c r="X780" s="2">
        <v>0.4</v>
      </c>
      <c r="Y780" s="3">
        <v>659.52</v>
      </c>
      <c r="Z780" t="str">
        <f t="shared" si="146"/>
        <v>Normal</v>
      </c>
      <c r="AA780" t="str">
        <f t="shared" si="147"/>
        <v>High</v>
      </c>
      <c r="AB780" t="str">
        <f t="shared" si="151"/>
        <v>High Profit</v>
      </c>
      <c r="AC780" s="3">
        <f t="shared" si="152"/>
        <v>0.25053657647116923</v>
      </c>
      <c r="AD780" s="3">
        <f t="shared" si="153"/>
        <v>877.47666666666657</v>
      </c>
      <c r="AE780" s="3">
        <f t="shared" si="154"/>
        <v>219.84</v>
      </c>
      <c r="AF780" t="str">
        <f t="shared" si="155"/>
        <v>Regular</v>
      </c>
    </row>
    <row r="781" spans="1:32" x14ac:dyDescent="0.25">
      <c r="A781" t="s">
        <v>3253</v>
      </c>
      <c r="B781" s="1">
        <v>45300</v>
      </c>
      <c r="C781" s="1">
        <v>45310</v>
      </c>
      <c r="D781" s="4">
        <f t="shared" si="144"/>
        <v>10</v>
      </c>
      <c r="E781" s="4" t="str">
        <f>TEXT(Table1[[#This Row],[Order_Date]],"dddd")</f>
        <v>Tuesday</v>
      </c>
      <c r="F781" s="4">
        <f t="shared" si="145"/>
        <v>1</v>
      </c>
      <c r="G781" t="str">
        <f t="shared" si="148"/>
        <v>January</v>
      </c>
      <c r="H781">
        <f t="shared" si="149"/>
        <v>2024</v>
      </c>
      <c r="I781" t="str">
        <f t="shared" si="150"/>
        <v>2024-Q1</v>
      </c>
      <c r="J781" t="s">
        <v>44</v>
      </c>
      <c r="K781" t="s">
        <v>3254</v>
      </c>
      <c r="L781" t="s">
        <v>3255</v>
      </c>
      <c r="M781" t="s">
        <v>47</v>
      </c>
      <c r="N781" t="s">
        <v>25</v>
      </c>
      <c r="O781" t="s">
        <v>190</v>
      </c>
      <c r="P781" t="s">
        <v>120</v>
      </c>
      <c r="Q781" t="s">
        <v>87</v>
      </c>
      <c r="R781" t="s">
        <v>3256</v>
      </c>
      <c r="S781" t="s">
        <v>59</v>
      </c>
      <c r="T781" t="s">
        <v>101</v>
      </c>
      <c r="U781" t="s">
        <v>3257</v>
      </c>
      <c r="V781" s="3">
        <v>1607.38</v>
      </c>
      <c r="W781" s="4">
        <v>10</v>
      </c>
      <c r="X781" s="2">
        <v>0</v>
      </c>
      <c r="Y781" s="3">
        <v>75.47</v>
      </c>
      <c r="Z781" t="str">
        <f t="shared" si="146"/>
        <v>Normal</v>
      </c>
      <c r="AA781" t="str">
        <f t="shared" si="147"/>
        <v>Low</v>
      </c>
      <c r="AB781" t="str">
        <f t="shared" si="151"/>
        <v>Low Profit</v>
      </c>
      <c r="AC781" s="3">
        <f t="shared" si="152"/>
        <v>4.6952183055655787E-2</v>
      </c>
      <c r="AD781" s="3">
        <f t="shared" si="153"/>
        <v>160.738</v>
      </c>
      <c r="AE781" s="3">
        <f t="shared" si="154"/>
        <v>7.5469999999999997</v>
      </c>
      <c r="AF781" t="str">
        <f t="shared" si="155"/>
        <v>Regular</v>
      </c>
    </row>
    <row r="782" spans="1:32" x14ac:dyDescent="0.25">
      <c r="A782" t="s">
        <v>4809</v>
      </c>
      <c r="B782" s="1">
        <v>45300</v>
      </c>
      <c r="C782" s="1">
        <v>45310</v>
      </c>
      <c r="D782" s="4">
        <f t="shared" si="144"/>
        <v>10</v>
      </c>
      <c r="E782" s="4" t="str">
        <f>TEXT(Table1[[#This Row],[Order_Date]],"dddd")</f>
        <v>Tuesday</v>
      </c>
      <c r="F782" s="4">
        <f t="shared" si="145"/>
        <v>1</v>
      </c>
      <c r="G782" t="str">
        <f t="shared" si="148"/>
        <v>January</v>
      </c>
      <c r="H782">
        <f t="shared" si="149"/>
        <v>2024</v>
      </c>
      <c r="I782" t="str">
        <f t="shared" si="150"/>
        <v>2024-Q1</v>
      </c>
      <c r="J782" t="s">
        <v>55</v>
      </c>
      <c r="K782" t="s">
        <v>4810</v>
      </c>
      <c r="L782" t="s">
        <v>4811</v>
      </c>
      <c r="M782" t="s">
        <v>24</v>
      </c>
      <c r="N782" t="s">
        <v>25</v>
      </c>
      <c r="O782" t="s">
        <v>142</v>
      </c>
      <c r="P782" t="s">
        <v>143</v>
      </c>
      <c r="Q782" t="s">
        <v>28</v>
      </c>
      <c r="R782" t="s">
        <v>4812</v>
      </c>
      <c r="S782" t="s">
        <v>59</v>
      </c>
      <c r="T782" t="s">
        <v>60</v>
      </c>
      <c r="U782" t="s">
        <v>4813</v>
      </c>
      <c r="V782" s="3">
        <v>4336.45</v>
      </c>
      <c r="W782" s="4">
        <v>5</v>
      </c>
      <c r="X782" s="2">
        <v>0.2</v>
      </c>
      <c r="Y782" s="3">
        <v>468.16</v>
      </c>
      <c r="Z782" t="str">
        <f t="shared" si="146"/>
        <v>Normal</v>
      </c>
      <c r="AA782" t="str">
        <f t="shared" si="147"/>
        <v>High</v>
      </c>
      <c r="AB782" t="str">
        <f t="shared" si="151"/>
        <v>Low Profit</v>
      </c>
      <c r="AC782" s="3">
        <f t="shared" si="152"/>
        <v>0.10795927544419975</v>
      </c>
      <c r="AD782" s="3">
        <f t="shared" si="153"/>
        <v>867.29</v>
      </c>
      <c r="AE782" s="3">
        <f t="shared" si="154"/>
        <v>93.632000000000005</v>
      </c>
      <c r="AF782" t="str">
        <f t="shared" si="155"/>
        <v>Regular</v>
      </c>
    </row>
    <row r="783" spans="1:32" x14ac:dyDescent="0.25">
      <c r="A783" t="s">
        <v>4203</v>
      </c>
      <c r="B783" s="1">
        <v>45300</v>
      </c>
      <c r="C783" s="1">
        <v>45303</v>
      </c>
      <c r="D783" s="4">
        <f t="shared" si="144"/>
        <v>3</v>
      </c>
      <c r="E783" s="4" t="str">
        <f>TEXT(Table1[[#This Row],[Order_Date]],"dddd")</f>
        <v>Tuesday</v>
      </c>
      <c r="F783" s="4">
        <f t="shared" si="145"/>
        <v>1</v>
      </c>
      <c r="G783" t="str">
        <f t="shared" si="148"/>
        <v>January</v>
      </c>
      <c r="H783">
        <f t="shared" si="149"/>
        <v>2024</v>
      </c>
      <c r="I783" t="str">
        <f t="shared" si="150"/>
        <v>2024-Q1</v>
      </c>
      <c r="J783" t="s">
        <v>104</v>
      </c>
      <c r="K783" t="s">
        <v>4204</v>
      </c>
      <c r="L783" t="s">
        <v>4205</v>
      </c>
      <c r="M783" t="s">
        <v>24</v>
      </c>
      <c r="N783" t="s">
        <v>25</v>
      </c>
      <c r="O783" t="s">
        <v>37</v>
      </c>
      <c r="P783" t="s">
        <v>38</v>
      </c>
      <c r="Q783" t="s">
        <v>39</v>
      </c>
      <c r="R783" t="s">
        <v>4206</v>
      </c>
      <c r="S783" t="s">
        <v>59</v>
      </c>
      <c r="T783" t="s">
        <v>60</v>
      </c>
      <c r="U783" t="s">
        <v>4207</v>
      </c>
      <c r="V783" s="3">
        <v>970.17</v>
      </c>
      <c r="W783" s="4">
        <v>7</v>
      </c>
      <c r="X783" s="2">
        <v>0.4</v>
      </c>
      <c r="Y783" s="3">
        <v>15.34</v>
      </c>
      <c r="Z783" t="str">
        <f t="shared" si="146"/>
        <v>Normal</v>
      </c>
      <c r="AA783" t="str">
        <f t="shared" si="147"/>
        <v>High</v>
      </c>
      <c r="AB783" t="str">
        <f t="shared" si="151"/>
        <v>Low Profit</v>
      </c>
      <c r="AC783" s="3">
        <f t="shared" si="152"/>
        <v>1.5811661873692241E-2</v>
      </c>
      <c r="AD783" s="3">
        <f t="shared" si="153"/>
        <v>138.59571428571428</v>
      </c>
      <c r="AE783" s="3">
        <f t="shared" si="154"/>
        <v>2.1914285714285713</v>
      </c>
      <c r="AF783" t="str">
        <f t="shared" si="155"/>
        <v>Regular</v>
      </c>
    </row>
    <row r="784" spans="1:32" x14ac:dyDescent="0.25">
      <c r="A784" t="s">
        <v>5917</v>
      </c>
      <c r="B784" s="1">
        <v>45300</v>
      </c>
      <c r="C784" s="1">
        <v>45307</v>
      </c>
      <c r="D784" s="4">
        <f t="shared" si="144"/>
        <v>7</v>
      </c>
      <c r="E784" s="4" t="str">
        <f>TEXT(Table1[[#This Row],[Order_Date]],"dddd")</f>
        <v>Tuesday</v>
      </c>
      <c r="F784" s="4">
        <f t="shared" si="145"/>
        <v>1</v>
      </c>
      <c r="G784" t="str">
        <f t="shared" si="148"/>
        <v>January</v>
      </c>
      <c r="H784">
        <f t="shared" si="149"/>
        <v>2024</v>
      </c>
      <c r="I784" t="str">
        <f t="shared" si="150"/>
        <v>2024-Q1</v>
      </c>
      <c r="J784" t="s">
        <v>55</v>
      </c>
      <c r="K784" t="s">
        <v>5918</v>
      </c>
      <c r="L784" t="s">
        <v>5919</v>
      </c>
      <c r="M784" t="s">
        <v>36</v>
      </c>
      <c r="N784" t="s">
        <v>25</v>
      </c>
      <c r="O784" t="s">
        <v>244</v>
      </c>
      <c r="P784" t="s">
        <v>163</v>
      </c>
      <c r="Q784" t="s">
        <v>39</v>
      </c>
      <c r="R784" t="s">
        <v>5920</v>
      </c>
      <c r="S784" t="s">
        <v>30</v>
      </c>
      <c r="T784" t="s">
        <v>68</v>
      </c>
      <c r="U784" t="s">
        <v>5921</v>
      </c>
      <c r="V784" s="3">
        <v>1528.25</v>
      </c>
      <c r="W784" s="4">
        <v>2</v>
      </c>
      <c r="X784" s="2">
        <v>0.1</v>
      </c>
      <c r="Y784" s="3">
        <v>390.38</v>
      </c>
      <c r="Z784" t="str">
        <f t="shared" si="146"/>
        <v>Normal</v>
      </c>
      <c r="AA784" t="str">
        <f t="shared" si="147"/>
        <v>Medium</v>
      </c>
      <c r="AB784" t="str">
        <f t="shared" si="151"/>
        <v>Low Profit</v>
      </c>
      <c r="AC784" s="3">
        <f t="shared" si="152"/>
        <v>0.25544249959103549</v>
      </c>
      <c r="AD784" s="3">
        <f t="shared" si="153"/>
        <v>764.125</v>
      </c>
      <c r="AE784" s="3">
        <f t="shared" si="154"/>
        <v>195.19</v>
      </c>
      <c r="AF784" t="str">
        <f t="shared" si="155"/>
        <v>Regular</v>
      </c>
    </row>
    <row r="785" spans="1:32" x14ac:dyDescent="0.25">
      <c r="A785" t="s">
        <v>1454</v>
      </c>
      <c r="B785" s="1">
        <v>45301</v>
      </c>
      <c r="C785" s="1">
        <v>45302</v>
      </c>
      <c r="D785" s="4">
        <f t="shared" si="144"/>
        <v>1</v>
      </c>
      <c r="E785" s="4" t="str">
        <f>TEXT(Table1[[#This Row],[Order_Date]],"dddd")</f>
        <v>Wednesday</v>
      </c>
      <c r="F785" s="4">
        <f t="shared" si="145"/>
        <v>1</v>
      </c>
      <c r="G785" t="str">
        <f t="shared" si="148"/>
        <v>January</v>
      </c>
      <c r="H785">
        <f t="shared" si="149"/>
        <v>2024</v>
      </c>
      <c r="I785" t="str">
        <f t="shared" si="150"/>
        <v>2024-Q1</v>
      </c>
      <c r="J785" t="s">
        <v>55</v>
      </c>
      <c r="K785" t="s">
        <v>1455</v>
      </c>
      <c r="L785" t="s">
        <v>1456</v>
      </c>
      <c r="M785" t="s">
        <v>47</v>
      </c>
      <c r="N785" t="s">
        <v>25</v>
      </c>
      <c r="O785" t="s">
        <v>65</v>
      </c>
      <c r="P785" t="s">
        <v>27</v>
      </c>
      <c r="Q785" t="s">
        <v>39</v>
      </c>
      <c r="R785" t="s">
        <v>1457</v>
      </c>
      <c r="S785" t="s">
        <v>30</v>
      </c>
      <c r="T785" t="s">
        <v>82</v>
      </c>
      <c r="U785" t="s">
        <v>1458</v>
      </c>
      <c r="V785" s="3">
        <v>565.79999999999995</v>
      </c>
      <c r="W785" s="4">
        <v>6</v>
      </c>
      <c r="X785" s="2">
        <v>0.4</v>
      </c>
      <c r="Y785" s="3">
        <v>151.97999999999999</v>
      </c>
      <c r="Z785" t="str">
        <f t="shared" si="146"/>
        <v>Normal</v>
      </c>
      <c r="AA785" t="str">
        <f t="shared" si="147"/>
        <v>High</v>
      </c>
      <c r="AB785" t="str">
        <f t="shared" si="151"/>
        <v>Low Profit</v>
      </c>
      <c r="AC785" s="3">
        <f t="shared" si="152"/>
        <v>0.26861081654294805</v>
      </c>
      <c r="AD785" s="3">
        <f t="shared" si="153"/>
        <v>94.3</v>
      </c>
      <c r="AE785" s="3">
        <f t="shared" si="154"/>
        <v>25.33</v>
      </c>
      <c r="AF785" t="str">
        <f t="shared" si="155"/>
        <v>Regular</v>
      </c>
    </row>
    <row r="786" spans="1:32" x14ac:dyDescent="0.25">
      <c r="A786" t="s">
        <v>6621</v>
      </c>
      <c r="B786" s="1">
        <v>45302</v>
      </c>
      <c r="C786" s="1">
        <v>45304</v>
      </c>
      <c r="D786" s="4">
        <f t="shared" si="144"/>
        <v>2</v>
      </c>
      <c r="E786" s="4" t="str">
        <f>TEXT(Table1[[#This Row],[Order_Date]],"dddd")</f>
        <v>Thursday</v>
      </c>
      <c r="F786" s="4">
        <f t="shared" si="145"/>
        <v>1</v>
      </c>
      <c r="G786" t="str">
        <f t="shared" si="148"/>
        <v>January</v>
      </c>
      <c r="H786">
        <f t="shared" si="149"/>
        <v>2024</v>
      </c>
      <c r="I786" t="str">
        <f t="shared" si="150"/>
        <v>2024-Q1</v>
      </c>
      <c r="J786" t="s">
        <v>21</v>
      </c>
      <c r="K786" t="s">
        <v>6622</v>
      </c>
      <c r="L786" t="s">
        <v>6623</v>
      </c>
      <c r="M786" t="s">
        <v>24</v>
      </c>
      <c r="N786" t="s">
        <v>25</v>
      </c>
      <c r="O786" t="s">
        <v>26</v>
      </c>
      <c r="P786" t="s">
        <v>27</v>
      </c>
      <c r="Q786" t="s">
        <v>39</v>
      </c>
      <c r="R786" t="s">
        <v>7403</v>
      </c>
      <c r="S786" t="s">
        <v>59</v>
      </c>
      <c r="T786" t="s">
        <v>101</v>
      </c>
      <c r="U786" t="s">
        <v>6624</v>
      </c>
      <c r="V786" s="3">
        <v>4377.6099999999997</v>
      </c>
      <c r="W786" s="4">
        <v>3</v>
      </c>
      <c r="X786" s="2">
        <v>0.1</v>
      </c>
      <c r="Y786" s="3">
        <v>149.1</v>
      </c>
      <c r="Z786" t="str">
        <f t="shared" si="146"/>
        <v>Normal</v>
      </c>
      <c r="AA786" t="str">
        <f t="shared" si="147"/>
        <v>Medium</v>
      </c>
      <c r="AB786" t="str">
        <f t="shared" si="151"/>
        <v>Low Profit</v>
      </c>
      <c r="AC786" s="3">
        <f t="shared" si="152"/>
        <v>3.4059680967468552E-2</v>
      </c>
      <c r="AD786" s="3">
        <f t="shared" si="153"/>
        <v>1459.2033333333331</v>
      </c>
      <c r="AE786" s="3">
        <f t="shared" si="154"/>
        <v>49.699999999999996</v>
      </c>
      <c r="AF786" t="str">
        <f t="shared" si="155"/>
        <v>Regular</v>
      </c>
    </row>
    <row r="787" spans="1:32" x14ac:dyDescent="0.25">
      <c r="A787" t="s">
        <v>4081</v>
      </c>
      <c r="B787" s="1">
        <v>45302</v>
      </c>
      <c r="C787" s="1">
        <v>45311</v>
      </c>
      <c r="D787" s="4">
        <f t="shared" si="144"/>
        <v>9</v>
      </c>
      <c r="E787" s="4" t="str">
        <f>TEXT(Table1[[#This Row],[Order_Date]],"dddd")</f>
        <v>Thursday</v>
      </c>
      <c r="F787" s="4">
        <f t="shared" si="145"/>
        <v>1</v>
      </c>
      <c r="G787" t="str">
        <f t="shared" si="148"/>
        <v>January</v>
      </c>
      <c r="H787">
        <f t="shared" si="149"/>
        <v>2024</v>
      </c>
      <c r="I787" t="str">
        <f t="shared" si="150"/>
        <v>2024-Q1</v>
      </c>
      <c r="J787" t="s">
        <v>55</v>
      </c>
      <c r="K787" t="s">
        <v>4082</v>
      </c>
      <c r="L787" t="s">
        <v>4083</v>
      </c>
      <c r="M787" t="s">
        <v>36</v>
      </c>
      <c r="N787" t="s">
        <v>25</v>
      </c>
      <c r="O787" t="s">
        <v>451</v>
      </c>
      <c r="P787" t="s">
        <v>38</v>
      </c>
      <c r="Q787" t="s">
        <v>87</v>
      </c>
      <c r="R787" t="s">
        <v>4084</v>
      </c>
      <c r="S787" t="s">
        <v>59</v>
      </c>
      <c r="T787" t="s">
        <v>303</v>
      </c>
      <c r="U787" t="s">
        <v>4085</v>
      </c>
      <c r="V787" s="3">
        <v>4616.45</v>
      </c>
      <c r="W787" s="4">
        <v>3</v>
      </c>
      <c r="X787" s="2">
        <v>0.3</v>
      </c>
      <c r="Y787" s="3">
        <v>218.48</v>
      </c>
      <c r="Z787" t="str">
        <f t="shared" si="146"/>
        <v>Normal</v>
      </c>
      <c r="AA787" t="str">
        <f t="shared" si="147"/>
        <v>High</v>
      </c>
      <c r="AB787" t="str">
        <f t="shared" si="151"/>
        <v>Low Profit</v>
      </c>
      <c r="AC787" s="3">
        <f t="shared" si="152"/>
        <v>4.7326408820630571E-2</v>
      </c>
      <c r="AD787" s="3">
        <f t="shared" si="153"/>
        <v>1538.8166666666666</v>
      </c>
      <c r="AE787" s="3">
        <f t="shared" si="154"/>
        <v>72.826666666666668</v>
      </c>
      <c r="AF787" t="str">
        <f t="shared" si="155"/>
        <v>Regular</v>
      </c>
    </row>
    <row r="788" spans="1:32" x14ac:dyDescent="0.25">
      <c r="A788" t="s">
        <v>4037</v>
      </c>
      <c r="B788" s="1">
        <v>45303</v>
      </c>
      <c r="C788" s="1">
        <v>45306</v>
      </c>
      <c r="D788" s="4">
        <f t="shared" si="144"/>
        <v>3</v>
      </c>
      <c r="E788" s="4" t="str">
        <f>TEXT(Table1[[#This Row],[Order_Date]],"dddd")</f>
        <v>Friday</v>
      </c>
      <c r="F788" s="4">
        <f t="shared" si="145"/>
        <v>1</v>
      </c>
      <c r="G788" t="str">
        <f t="shared" si="148"/>
        <v>January</v>
      </c>
      <c r="H788">
        <f t="shared" si="149"/>
        <v>2024</v>
      </c>
      <c r="I788" t="str">
        <f t="shared" si="150"/>
        <v>2024-Q1</v>
      </c>
      <c r="J788" t="s">
        <v>104</v>
      </c>
      <c r="K788" t="s">
        <v>4038</v>
      </c>
      <c r="L788" t="s">
        <v>4039</v>
      </c>
      <c r="M788" t="s">
        <v>24</v>
      </c>
      <c r="N788" t="s">
        <v>25</v>
      </c>
      <c r="O788" t="s">
        <v>26</v>
      </c>
      <c r="P788" t="s">
        <v>27</v>
      </c>
      <c r="Q788" t="s">
        <v>28</v>
      </c>
      <c r="R788" t="s">
        <v>4040</v>
      </c>
      <c r="S788" t="s">
        <v>51</v>
      </c>
      <c r="T788" t="s">
        <v>127</v>
      </c>
      <c r="U788" t="s">
        <v>4041</v>
      </c>
      <c r="V788" s="3">
        <v>3401.78</v>
      </c>
      <c r="W788" s="4">
        <v>5</v>
      </c>
      <c r="X788" s="2">
        <v>0.4</v>
      </c>
      <c r="Y788" s="3">
        <v>-81.739999999999995</v>
      </c>
      <c r="Z788" t="str">
        <f t="shared" si="146"/>
        <v>Normal</v>
      </c>
      <c r="AA788" t="str">
        <f t="shared" si="147"/>
        <v>High</v>
      </c>
      <c r="AB788" t="str">
        <f t="shared" si="151"/>
        <v>Loss</v>
      </c>
      <c r="AC788" s="3">
        <f t="shared" si="152"/>
        <v>-2.4028596793443428E-2</v>
      </c>
      <c r="AD788" s="3">
        <f t="shared" si="153"/>
        <v>680.35599999999999</v>
      </c>
      <c r="AE788" s="3">
        <f t="shared" si="154"/>
        <v>-16.347999999999999</v>
      </c>
      <c r="AF788" t="str">
        <f t="shared" si="155"/>
        <v>Regular</v>
      </c>
    </row>
    <row r="789" spans="1:32" x14ac:dyDescent="0.25">
      <c r="A789" t="s">
        <v>4465</v>
      </c>
      <c r="B789" s="1">
        <v>45304</v>
      </c>
      <c r="C789" s="1">
        <v>45314</v>
      </c>
      <c r="D789" s="4">
        <f t="shared" si="144"/>
        <v>10</v>
      </c>
      <c r="E789" s="4" t="str">
        <f>TEXT(Table1[[#This Row],[Order_Date]],"dddd")</f>
        <v>Saturday</v>
      </c>
      <c r="F789" s="4">
        <f t="shared" si="145"/>
        <v>1</v>
      </c>
      <c r="G789" t="str">
        <f t="shared" si="148"/>
        <v>January</v>
      </c>
      <c r="H789">
        <f t="shared" si="149"/>
        <v>2024</v>
      </c>
      <c r="I789" t="str">
        <f t="shared" si="150"/>
        <v>2024-Q1</v>
      </c>
      <c r="J789" t="s">
        <v>55</v>
      </c>
      <c r="K789" t="s">
        <v>4466</v>
      </c>
      <c r="L789" t="s">
        <v>4467</v>
      </c>
      <c r="M789" t="s">
        <v>47</v>
      </c>
      <c r="N789" t="s">
        <v>25</v>
      </c>
      <c r="O789" t="s">
        <v>113</v>
      </c>
      <c r="P789" t="s">
        <v>113</v>
      </c>
      <c r="Q789" t="s">
        <v>28</v>
      </c>
      <c r="R789" t="s">
        <v>4468</v>
      </c>
      <c r="S789" t="s">
        <v>51</v>
      </c>
      <c r="T789" t="s">
        <v>151</v>
      </c>
      <c r="U789" t="s">
        <v>4469</v>
      </c>
      <c r="V789" s="3">
        <v>2410.8000000000002</v>
      </c>
      <c r="W789" s="4">
        <v>5</v>
      </c>
      <c r="X789" s="2">
        <v>0.4</v>
      </c>
      <c r="Y789" s="3">
        <v>-34.119999999999997</v>
      </c>
      <c r="Z789" t="str">
        <f t="shared" si="146"/>
        <v>Normal</v>
      </c>
      <c r="AA789" t="str">
        <f t="shared" si="147"/>
        <v>High</v>
      </c>
      <c r="AB789" t="str">
        <f t="shared" si="151"/>
        <v>Loss</v>
      </c>
      <c r="AC789" s="3">
        <f t="shared" si="152"/>
        <v>-1.4152978264476521E-2</v>
      </c>
      <c r="AD789" s="3">
        <f t="shared" si="153"/>
        <v>482.16</v>
      </c>
      <c r="AE789" s="3">
        <f t="shared" si="154"/>
        <v>-6.8239999999999998</v>
      </c>
      <c r="AF789" t="str">
        <f t="shared" si="155"/>
        <v>Regular</v>
      </c>
    </row>
    <row r="790" spans="1:32" x14ac:dyDescent="0.25">
      <c r="A790" t="s">
        <v>2271</v>
      </c>
      <c r="B790" s="1">
        <v>45306</v>
      </c>
      <c r="C790" s="1">
        <v>45316</v>
      </c>
      <c r="D790" s="4">
        <f t="shared" si="144"/>
        <v>10</v>
      </c>
      <c r="E790" s="4" t="str">
        <f>TEXT(Table1[[#This Row],[Order_Date]],"dddd")</f>
        <v>Monday</v>
      </c>
      <c r="F790" s="4">
        <f t="shared" si="145"/>
        <v>1</v>
      </c>
      <c r="G790" t="str">
        <f t="shared" si="148"/>
        <v>January</v>
      </c>
      <c r="H790">
        <f t="shared" si="149"/>
        <v>2024</v>
      </c>
      <c r="I790" t="str">
        <f t="shared" si="150"/>
        <v>2024-Q1</v>
      </c>
      <c r="J790" t="s">
        <v>21</v>
      </c>
      <c r="K790" t="s">
        <v>2272</v>
      </c>
      <c r="L790" t="s">
        <v>2273</v>
      </c>
      <c r="M790" t="s">
        <v>24</v>
      </c>
      <c r="N790" t="s">
        <v>25</v>
      </c>
      <c r="O790" t="s">
        <v>37</v>
      </c>
      <c r="P790" t="s">
        <v>38</v>
      </c>
      <c r="Q790" t="s">
        <v>87</v>
      </c>
      <c r="R790" t="s">
        <v>2274</v>
      </c>
      <c r="S790" t="s">
        <v>30</v>
      </c>
      <c r="T790" t="s">
        <v>82</v>
      </c>
      <c r="U790" t="s">
        <v>2275</v>
      </c>
      <c r="V790" s="3">
        <v>3608.49</v>
      </c>
      <c r="W790" s="4">
        <v>9</v>
      </c>
      <c r="X790" s="2">
        <v>0.3</v>
      </c>
      <c r="Y790" s="3">
        <v>138.88</v>
      </c>
      <c r="Z790" t="str">
        <f t="shared" si="146"/>
        <v>Normal</v>
      </c>
      <c r="AA790" t="str">
        <f t="shared" si="147"/>
        <v>High</v>
      </c>
      <c r="AB790" t="str">
        <f t="shared" si="151"/>
        <v>Low Profit</v>
      </c>
      <c r="AC790" s="3">
        <f t="shared" si="152"/>
        <v>3.8487012573126159E-2</v>
      </c>
      <c r="AD790" s="3">
        <f t="shared" si="153"/>
        <v>400.94333333333333</v>
      </c>
      <c r="AE790" s="3">
        <f t="shared" si="154"/>
        <v>15.431111111111111</v>
      </c>
      <c r="AF790" t="str">
        <f t="shared" si="155"/>
        <v>Regular</v>
      </c>
    </row>
    <row r="791" spans="1:32" x14ac:dyDescent="0.25">
      <c r="A791" t="s">
        <v>3176</v>
      </c>
      <c r="B791" s="1">
        <v>45306</v>
      </c>
      <c r="C791" s="1">
        <v>45316</v>
      </c>
      <c r="D791" s="4">
        <f t="shared" si="144"/>
        <v>10</v>
      </c>
      <c r="E791" s="4" t="str">
        <f>TEXT(Table1[[#This Row],[Order_Date]],"dddd")</f>
        <v>Monday</v>
      </c>
      <c r="F791" s="4">
        <f t="shared" si="145"/>
        <v>1</v>
      </c>
      <c r="G791" t="str">
        <f t="shared" si="148"/>
        <v>January</v>
      </c>
      <c r="H791">
        <f t="shared" si="149"/>
        <v>2024</v>
      </c>
      <c r="I791" t="str">
        <f t="shared" si="150"/>
        <v>2024-Q1</v>
      </c>
      <c r="J791" t="s">
        <v>55</v>
      </c>
      <c r="K791" t="s">
        <v>3177</v>
      </c>
      <c r="L791" t="s">
        <v>3178</v>
      </c>
      <c r="M791" t="s">
        <v>24</v>
      </c>
      <c r="N791" t="s">
        <v>25</v>
      </c>
      <c r="O791" t="s">
        <v>451</v>
      </c>
      <c r="P791" t="s">
        <v>38</v>
      </c>
      <c r="Q791" t="s">
        <v>87</v>
      </c>
      <c r="R791" t="s">
        <v>7403</v>
      </c>
      <c r="S791" t="s">
        <v>59</v>
      </c>
      <c r="T791" t="s">
        <v>277</v>
      </c>
      <c r="U791" t="s">
        <v>3179</v>
      </c>
      <c r="V791" s="3">
        <v>1227.3699999999999</v>
      </c>
      <c r="W791" s="4">
        <v>9</v>
      </c>
      <c r="X791" s="2">
        <v>0</v>
      </c>
      <c r="Y791" s="3">
        <v>157.88</v>
      </c>
      <c r="Z791" t="str">
        <f t="shared" si="146"/>
        <v>Normal</v>
      </c>
      <c r="AA791" t="str">
        <f t="shared" si="147"/>
        <v>Low</v>
      </c>
      <c r="AB791" t="str">
        <f t="shared" si="151"/>
        <v>Low Profit</v>
      </c>
      <c r="AC791" s="3">
        <f t="shared" si="152"/>
        <v>0.12863276762508455</v>
      </c>
      <c r="AD791" s="3">
        <f t="shared" si="153"/>
        <v>136.37444444444444</v>
      </c>
      <c r="AE791" s="3">
        <f t="shared" si="154"/>
        <v>17.542222222222222</v>
      </c>
      <c r="AF791" t="str">
        <f t="shared" si="155"/>
        <v>Regular</v>
      </c>
    </row>
    <row r="792" spans="1:32" x14ac:dyDescent="0.25">
      <c r="A792" t="s">
        <v>5090</v>
      </c>
      <c r="B792" s="1">
        <v>45307</v>
      </c>
      <c r="C792" s="1">
        <v>45310</v>
      </c>
      <c r="D792" s="4">
        <f t="shared" si="144"/>
        <v>3</v>
      </c>
      <c r="E792" s="4" t="str">
        <f>TEXT(Table1[[#This Row],[Order_Date]],"dddd")</f>
        <v>Tuesday</v>
      </c>
      <c r="F792" s="4">
        <f t="shared" si="145"/>
        <v>1</v>
      </c>
      <c r="G792" t="str">
        <f t="shared" si="148"/>
        <v>January</v>
      </c>
      <c r="H792">
        <f t="shared" si="149"/>
        <v>2024</v>
      </c>
      <c r="I792" t="str">
        <f t="shared" si="150"/>
        <v>2024-Q1</v>
      </c>
      <c r="J792" t="s">
        <v>104</v>
      </c>
      <c r="K792" t="s">
        <v>5091</v>
      </c>
      <c r="L792" t="s">
        <v>5092</v>
      </c>
      <c r="M792" t="s">
        <v>47</v>
      </c>
      <c r="N792" t="s">
        <v>25</v>
      </c>
      <c r="O792" t="s">
        <v>255</v>
      </c>
      <c r="P792" t="s">
        <v>143</v>
      </c>
      <c r="Q792" t="s">
        <v>39</v>
      </c>
      <c r="R792" t="s">
        <v>5093</v>
      </c>
      <c r="S792" t="s">
        <v>30</v>
      </c>
      <c r="T792" t="s">
        <v>68</v>
      </c>
      <c r="U792" t="s">
        <v>5094</v>
      </c>
      <c r="V792" s="3">
        <v>767.24</v>
      </c>
      <c r="W792" s="4">
        <v>6</v>
      </c>
      <c r="X792" s="2">
        <v>0.2</v>
      </c>
      <c r="Y792" s="3">
        <v>182.98</v>
      </c>
      <c r="Z792" t="str">
        <f t="shared" si="146"/>
        <v>Normal</v>
      </c>
      <c r="AA792" t="str">
        <f t="shared" si="147"/>
        <v>High</v>
      </c>
      <c r="AB792" t="str">
        <f t="shared" si="151"/>
        <v>Low Profit</v>
      </c>
      <c r="AC792" s="3">
        <f t="shared" si="152"/>
        <v>0.23849121526510608</v>
      </c>
      <c r="AD792" s="3">
        <f t="shared" si="153"/>
        <v>127.87333333333333</v>
      </c>
      <c r="AE792" s="3">
        <f t="shared" si="154"/>
        <v>30.496666666666666</v>
      </c>
      <c r="AF792" t="str">
        <f t="shared" si="155"/>
        <v>Regular</v>
      </c>
    </row>
    <row r="793" spans="1:32" x14ac:dyDescent="0.25">
      <c r="A793" t="s">
        <v>6743</v>
      </c>
      <c r="B793" s="1">
        <v>45307</v>
      </c>
      <c r="C793" s="1">
        <v>45312</v>
      </c>
      <c r="D793" s="4">
        <f t="shared" si="144"/>
        <v>5</v>
      </c>
      <c r="E793" s="4" t="str">
        <f>TEXT(Table1[[#This Row],[Order_Date]],"dddd")</f>
        <v>Tuesday</v>
      </c>
      <c r="F793" s="4">
        <f t="shared" si="145"/>
        <v>1</v>
      </c>
      <c r="G793" t="str">
        <f t="shared" si="148"/>
        <v>January</v>
      </c>
      <c r="H793">
        <f t="shared" si="149"/>
        <v>2024</v>
      </c>
      <c r="I793" t="str">
        <f t="shared" si="150"/>
        <v>2024-Q1</v>
      </c>
      <c r="J793" t="s">
        <v>21</v>
      </c>
      <c r="K793" t="s">
        <v>6744</v>
      </c>
      <c r="L793" t="s">
        <v>6745</v>
      </c>
      <c r="M793" t="s">
        <v>36</v>
      </c>
      <c r="N793" t="s">
        <v>25</v>
      </c>
      <c r="O793" t="s">
        <v>73</v>
      </c>
      <c r="P793" t="s">
        <v>74</v>
      </c>
      <c r="Q793" t="s">
        <v>87</v>
      </c>
      <c r="R793" t="s">
        <v>6746</v>
      </c>
      <c r="S793" t="s">
        <v>59</v>
      </c>
      <c r="T793" t="s">
        <v>303</v>
      </c>
      <c r="U793" t="s">
        <v>6747</v>
      </c>
      <c r="V793" s="3">
        <v>1342.82</v>
      </c>
      <c r="W793" s="4">
        <v>4</v>
      </c>
      <c r="X793" s="2">
        <v>0.1</v>
      </c>
      <c r="Y793" s="3">
        <v>326.89999999999998</v>
      </c>
      <c r="Z793" t="str">
        <f t="shared" si="146"/>
        <v>Normal</v>
      </c>
      <c r="AA793" t="str">
        <f t="shared" si="147"/>
        <v>Medium</v>
      </c>
      <c r="AB793" t="str">
        <f t="shared" si="151"/>
        <v>Low Profit</v>
      </c>
      <c r="AC793" s="3">
        <f t="shared" si="152"/>
        <v>0.24344290373989066</v>
      </c>
      <c r="AD793" s="3">
        <f t="shared" si="153"/>
        <v>335.70499999999998</v>
      </c>
      <c r="AE793" s="3">
        <f t="shared" si="154"/>
        <v>81.724999999999994</v>
      </c>
      <c r="AF793" t="str">
        <f t="shared" si="155"/>
        <v>Regular</v>
      </c>
    </row>
    <row r="794" spans="1:32" x14ac:dyDescent="0.25">
      <c r="A794" t="s">
        <v>1366</v>
      </c>
      <c r="B794" s="1">
        <v>45307</v>
      </c>
      <c r="C794" s="1">
        <v>45309</v>
      </c>
      <c r="D794" s="4">
        <f t="shared" si="144"/>
        <v>2</v>
      </c>
      <c r="E794" s="4" t="str">
        <f>TEXT(Table1[[#This Row],[Order_Date]],"dddd")</f>
        <v>Tuesday</v>
      </c>
      <c r="F794" s="4">
        <f t="shared" si="145"/>
        <v>1</v>
      </c>
      <c r="G794" t="str">
        <f t="shared" si="148"/>
        <v>January</v>
      </c>
      <c r="H794">
        <f t="shared" si="149"/>
        <v>2024</v>
      </c>
      <c r="I794" t="str">
        <f t="shared" si="150"/>
        <v>2024-Q1</v>
      </c>
      <c r="J794" t="s">
        <v>21</v>
      </c>
      <c r="K794" t="s">
        <v>1367</v>
      </c>
      <c r="L794" t="s">
        <v>1368</v>
      </c>
      <c r="M794" t="s">
        <v>24</v>
      </c>
      <c r="N794" t="s">
        <v>25</v>
      </c>
      <c r="O794" t="s">
        <v>65</v>
      </c>
      <c r="P794" t="s">
        <v>27</v>
      </c>
      <c r="Q794" t="s">
        <v>28</v>
      </c>
      <c r="R794" t="s">
        <v>1369</v>
      </c>
      <c r="S794" t="s">
        <v>59</v>
      </c>
      <c r="T794" t="s">
        <v>101</v>
      </c>
      <c r="U794" t="s">
        <v>1370</v>
      </c>
      <c r="V794" s="3">
        <v>1043.53</v>
      </c>
      <c r="W794" s="4">
        <v>9</v>
      </c>
      <c r="X794" s="2">
        <v>0.3</v>
      </c>
      <c r="Y794" s="3">
        <v>281.19</v>
      </c>
      <c r="Z794" t="str">
        <f t="shared" si="146"/>
        <v>Normal</v>
      </c>
      <c r="AA794" t="str">
        <f t="shared" si="147"/>
        <v>High</v>
      </c>
      <c r="AB794" t="str">
        <f t="shared" si="151"/>
        <v>Low Profit</v>
      </c>
      <c r="AC794" s="3">
        <f t="shared" si="152"/>
        <v>0.26946038925569943</v>
      </c>
      <c r="AD794" s="3">
        <f t="shared" si="153"/>
        <v>115.94777777777777</v>
      </c>
      <c r="AE794" s="3">
        <f t="shared" si="154"/>
        <v>31.243333333333332</v>
      </c>
      <c r="AF794" t="str">
        <f t="shared" si="155"/>
        <v>Regular</v>
      </c>
    </row>
    <row r="795" spans="1:32" x14ac:dyDescent="0.25">
      <c r="A795" t="s">
        <v>2123</v>
      </c>
      <c r="B795" s="1">
        <v>45307</v>
      </c>
      <c r="C795" s="1">
        <v>45313</v>
      </c>
      <c r="D795" s="4">
        <f t="shared" si="144"/>
        <v>6</v>
      </c>
      <c r="E795" s="4" t="str">
        <f>TEXT(Table1[[#This Row],[Order_Date]],"dddd")</f>
        <v>Tuesday</v>
      </c>
      <c r="F795" s="4">
        <f t="shared" si="145"/>
        <v>1</v>
      </c>
      <c r="G795" t="str">
        <f t="shared" si="148"/>
        <v>January</v>
      </c>
      <c r="H795">
        <f t="shared" si="149"/>
        <v>2024</v>
      </c>
      <c r="I795" t="str">
        <f t="shared" si="150"/>
        <v>2024-Q1</v>
      </c>
      <c r="J795" t="s">
        <v>21</v>
      </c>
      <c r="K795" t="s">
        <v>2124</v>
      </c>
      <c r="L795" t="s">
        <v>2125</v>
      </c>
      <c r="M795" t="s">
        <v>24</v>
      </c>
      <c r="N795" t="s">
        <v>25</v>
      </c>
      <c r="O795" t="s">
        <v>244</v>
      </c>
      <c r="P795" t="s">
        <v>163</v>
      </c>
      <c r="Q795" t="s">
        <v>28</v>
      </c>
      <c r="R795" t="s">
        <v>2126</v>
      </c>
      <c r="S795" t="s">
        <v>51</v>
      </c>
      <c r="T795" t="s">
        <v>94</v>
      </c>
      <c r="U795" t="s">
        <v>2127</v>
      </c>
      <c r="V795" s="3">
        <v>229.15</v>
      </c>
      <c r="W795" s="4">
        <v>5</v>
      </c>
      <c r="X795" s="2">
        <v>0.2</v>
      </c>
      <c r="Y795" s="3">
        <v>25.81</v>
      </c>
      <c r="Z795" t="str">
        <f t="shared" si="146"/>
        <v>Normal</v>
      </c>
      <c r="AA795" t="str">
        <f t="shared" si="147"/>
        <v>High</v>
      </c>
      <c r="AB795" t="str">
        <f t="shared" si="151"/>
        <v>Low Profit</v>
      </c>
      <c r="AC795" s="3">
        <f t="shared" si="152"/>
        <v>0.11263364608335151</v>
      </c>
      <c r="AD795" s="3">
        <f t="shared" si="153"/>
        <v>45.83</v>
      </c>
      <c r="AE795" s="3">
        <f t="shared" si="154"/>
        <v>5.1619999999999999</v>
      </c>
      <c r="AF795" t="str">
        <f t="shared" si="155"/>
        <v>Regular</v>
      </c>
    </row>
    <row r="796" spans="1:32" x14ac:dyDescent="0.25">
      <c r="A796" t="s">
        <v>7357</v>
      </c>
      <c r="B796" s="1">
        <v>45308</v>
      </c>
      <c r="C796" s="1">
        <v>45311</v>
      </c>
      <c r="D796" s="4">
        <f t="shared" si="144"/>
        <v>3</v>
      </c>
      <c r="E796" s="4" t="str">
        <f>TEXT(Table1[[#This Row],[Order_Date]],"dddd")</f>
        <v>Wednesday</v>
      </c>
      <c r="F796" s="4">
        <f t="shared" si="145"/>
        <v>1</v>
      </c>
      <c r="G796" t="str">
        <f t="shared" si="148"/>
        <v>January</v>
      </c>
      <c r="H796">
        <f t="shared" si="149"/>
        <v>2024</v>
      </c>
      <c r="I796" t="str">
        <f t="shared" si="150"/>
        <v>2024-Q1</v>
      </c>
      <c r="J796" t="s">
        <v>21</v>
      </c>
      <c r="K796" t="s">
        <v>7358</v>
      </c>
      <c r="L796" t="s">
        <v>7359</v>
      </c>
      <c r="M796" t="s">
        <v>47</v>
      </c>
      <c r="N796" t="s">
        <v>25</v>
      </c>
      <c r="O796" t="s">
        <v>142</v>
      </c>
      <c r="P796" t="s">
        <v>143</v>
      </c>
      <c r="Q796" t="s">
        <v>39</v>
      </c>
      <c r="R796" t="s">
        <v>7360</v>
      </c>
      <c r="S796" t="s">
        <v>59</v>
      </c>
      <c r="T796" t="s">
        <v>60</v>
      </c>
      <c r="U796" t="s">
        <v>7361</v>
      </c>
      <c r="V796" s="3">
        <v>1213.0999999999999</v>
      </c>
      <c r="W796" s="4">
        <v>4</v>
      </c>
      <c r="X796" s="2">
        <v>0</v>
      </c>
      <c r="Y796" s="3">
        <v>292.64</v>
      </c>
      <c r="Z796" t="str">
        <f t="shared" si="146"/>
        <v>Normal</v>
      </c>
      <c r="AA796" t="str">
        <f t="shared" si="147"/>
        <v>Low</v>
      </c>
      <c r="AB796" t="str">
        <f t="shared" si="151"/>
        <v>Low Profit</v>
      </c>
      <c r="AC796" s="3">
        <f t="shared" si="152"/>
        <v>0.24123320418761851</v>
      </c>
      <c r="AD796" s="3">
        <f t="shared" si="153"/>
        <v>303.27499999999998</v>
      </c>
      <c r="AE796" s="3">
        <f t="shared" si="154"/>
        <v>73.16</v>
      </c>
      <c r="AF796" t="str">
        <f t="shared" si="155"/>
        <v>Regular</v>
      </c>
    </row>
    <row r="797" spans="1:32" x14ac:dyDescent="0.25">
      <c r="A797" t="s">
        <v>6387</v>
      </c>
      <c r="B797" s="1">
        <v>45308</v>
      </c>
      <c r="C797" s="1">
        <v>45315</v>
      </c>
      <c r="D797" s="4">
        <f t="shared" si="144"/>
        <v>7</v>
      </c>
      <c r="E797" s="4" t="str">
        <f>TEXT(Table1[[#This Row],[Order_Date]],"dddd")</f>
        <v>Wednesday</v>
      </c>
      <c r="F797" s="4">
        <f t="shared" si="145"/>
        <v>1</v>
      </c>
      <c r="G797" t="str">
        <f t="shared" si="148"/>
        <v>January</v>
      </c>
      <c r="H797">
        <f t="shared" si="149"/>
        <v>2024</v>
      </c>
      <c r="I797" t="str">
        <f t="shared" si="150"/>
        <v>2024-Q1</v>
      </c>
      <c r="J797" t="s">
        <v>104</v>
      </c>
      <c r="K797" t="s">
        <v>6388</v>
      </c>
      <c r="L797" t="s">
        <v>6389</v>
      </c>
      <c r="M797" t="s">
        <v>24</v>
      </c>
      <c r="N797" t="s">
        <v>25</v>
      </c>
      <c r="O797" t="s">
        <v>48</v>
      </c>
      <c r="P797" t="s">
        <v>49</v>
      </c>
      <c r="Q797" t="s">
        <v>39</v>
      </c>
      <c r="R797" t="s">
        <v>6390</v>
      </c>
      <c r="S797" t="s">
        <v>30</v>
      </c>
      <c r="T797" t="s">
        <v>68</v>
      </c>
      <c r="U797" t="s">
        <v>6391</v>
      </c>
      <c r="V797" s="3">
        <v>2832.17</v>
      </c>
      <c r="W797" s="4">
        <v>3</v>
      </c>
      <c r="X797" s="2">
        <v>0.3</v>
      </c>
      <c r="Y797" s="3">
        <v>693.59</v>
      </c>
      <c r="Z797" t="str">
        <f t="shared" si="146"/>
        <v>Normal</v>
      </c>
      <c r="AA797" t="str">
        <f t="shared" si="147"/>
        <v>High</v>
      </c>
      <c r="AB797" t="str">
        <f t="shared" si="151"/>
        <v>High Profit</v>
      </c>
      <c r="AC797" s="3">
        <f t="shared" si="152"/>
        <v>0.24489702242450137</v>
      </c>
      <c r="AD797" s="3">
        <f t="shared" si="153"/>
        <v>944.05666666666673</v>
      </c>
      <c r="AE797" s="3">
        <f t="shared" si="154"/>
        <v>231.19666666666669</v>
      </c>
      <c r="AF797" t="str">
        <f t="shared" si="155"/>
        <v>Regular</v>
      </c>
    </row>
    <row r="798" spans="1:32" x14ac:dyDescent="0.25">
      <c r="A798" t="s">
        <v>6832</v>
      </c>
      <c r="B798" s="1">
        <v>45310</v>
      </c>
      <c r="C798" s="1">
        <v>45313</v>
      </c>
      <c r="D798" s="4">
        <f t="shared" si="144"/>
        <v>3</v>
      </c>
      <c r="E798" s="4" t="str">
        <f>TEXT(Table1[[#This Row],[Order_Date]],"dddd")</f>
        <v>Friday</v>
      </c>
      <c r="F798" s="4">
        <f t="shared" si="145"/>
        <v>1</v>
      </c>
      <c r="G798" t="str">
        <f t="shared" si="148"/>
        <v>January</v>
      </c>
      <c r="H798">
        <f t="shared" si="149"/>
        <v>2024</v>
      </c>
      <c r="I798" t="str">
        <f t="shared" si="150"/>
        <v>2024-Q1</v>
      </c>
      <c r="J798" t="s">
        <v>44</v>
      </c>
      <c r="K798" t="s">
        <v>6833</v>
      </c>
      <c r="L798" t="s">
        <v>6834</v>
      </c>
      <c r="M798" t="s">
        <v>47</v>
      </c>
      <c r="N798" t="s">
        <v>25</v>
      </c>
      <c r="O798" t="s">
        <v>255</v>
      </c>
      <c r="P798" t="s">
        <v>143</v>
      </c>
      <c r="Q798" t="s">
        <v>87</v>
      </c>
      <c r="R798" t="s">
        <v>6835</v>
      </c>
      <c r="S798" t="s">
        <v>30</v>
      </c>
      <c r="T798" t="s">
        <v>31</v>
      </c>
      <c r="U798" t="s">
        <v>2518</v>
      </c>
      <c r="V798" s="3">
        <v>2467.35</v>
      </c>
      <c r="W798" s="4">
        <v>8</v>
      </c>
      <c r="X798" s="2">
        <v>0</v>
      </c>
      <c r="Y798" s="3">
        <v>168.11</v>
      </c>
      <c r="Z798" t="str">
        <f t="shared" si="146"/>
        <v>Normal</v>
      </c>
      <c r="AA798" t="str">
        <f t="shared" si="147"/>
        <v>Low</v>
      </c>
      <c r="AB798" t="str">
        <f t="shared" si="151"/>
        <v>Low Profit</v>
      </c>
      <c r="AC798" s="3">
        <f t="shared" si="152"/>
        <v>6.8133827790949814E-2</v>
      </c>
      <c r="AD798" s="3">
        <f t="shared" si="153"/>
        <v>308.41874999999999</v>
      </c>
      <c r="AE798" s="3">
        <f t="shared" si="154"/>
        <v>21.013750000000002</v>
      </c>
      <c r="AF798" t="str">
        <f t="shared" si="155"/>
        <v>Regular</v>
      </c>
    </row>
    <row r="799" spans="1:32" x14ac:dyDescent="0.25">
      <c r="A799" t="s">
        <v>5816</v>
      </c>
      <c r="B799" s="1">
        <v>45311</v>
      </c>
      <c r="C799" s="1">
        <v>45313</v>
      </c>
      <c r="D799" s="4">
        <f t="shared" si="144"/>
        <v>2</v>
      </c>
      <c r="E799" s="4" t="str">
        <f>TEXT(Table1[[#This Row],[Order_Date]],"dddd")</f>
        <v>Saturday</v>
      </c>
      <c r="F799" s="4">
        <f t="shared" si="145"/>
        <v>1</v>
      </c>
      <c r="G799" t="str">
        <f t="shared" si="148"/>
        <v>January</v>
      </c>
      <c r="H799">
        <f t="shared" si="149"/>
        <v>2024</v>
      </c>
      <c r="I799" t="str">
        <f t="shared" si="150"/>
        <v>2024-Q1</v>
      </c>
      <c r="J799" t="s">
        <v>44</v>
      </c>
      <c r="K799" t="s">
        <v>5817</v>
      </c>
      <c r="L799" t="s">
        <v>5818</v>
      </c>
      <c r="M799" t="s">
        <v>47</v>
      </c>
      <c r="N799" t="s">
        <v>25</v>
      </c>
      <c r="O799" t="s">
        <v>190</v>
      </c>
      <c r="P799" t="s">
        <v>120</v>
      </c>
      <c r="Q799" t="s">
        <v>39</v>
      </c>
      <c r="R799" t="s">
        <v>5819</v>
      </c>
      <c r="S799" t="s">
        <v>51</v>
      </c>
      <c r="T799" t="s">
        <v>127</v>
      </c>
      <c r="U799" t="s">
        <v>5820</v>
      </c>
      <c r="V799" s="3">
        <v>4490.47</v>
      </c>
      <c r="W799" s="4">
        <v>8</v>
      </c>
      <c r="X799" s="2">
        <v>0</v>
      </c>
      <c r="Y799" s="3">
        <v>-86.12</v>
      </c>
      <c r="Z799" t="str">
        <f t="shared" si="146"/>
        <v>Normal</v>
      </c>
      <c r="AA799" t="str">
        <f t="shared" si="147"/>
        <v>Low</v>
      </c>
      <c r="AB799" t="str">
        <f t="shared" si="151"/>
        <v>Loss</v>
      </c>
      <c r="AC799" s="3">
        <f t="shared" si="152"/>
        <v>-1.9178393353034315E-2</v>
      </c>
      <c r="AD799" s="3">
        <f t="shared" si="153"/>
        <v>561.30875000000003</v>
      </c>
      <c r="AE799" s="3">
        <f t="shared" si="154"/>
        <v>-10.765000000000001</v>
      </c>
      <c r="AF799" t="str">
        <f t="shared" si="155"/>
        <v>Regular</v>
      </c>
    </row>
    <row r="800" spans="1:32" x14ac:dyDescent="0.25">
      <c r="A800" t="s">
        <v>778</v>
      </c>
      <c r="B800" s="1">
        <v>45311</v>
      </c>
      <c r="C800" s="1">
        <v>45318</v>
      </c>
      <c r="D800" s="4">
        <f t="shared" si="144"/>
        <v>7</v>
      </c>
      <c r="E800" s="4" t="str">
        <f>TEXT(Table1[[#This Row],[Order_Date]],"dddd")</f>
        <v>Saturday</v>
      </c>
      <c r="F800" s="4">
        <f t="shared" si="145"/>
        <v>1</v>
      </c>
      <c r="G800" t="str">
        <f t="shared" si="148"/>
        <v>January</v>
      </c>
      <c r="H800">
        <f t="shared" si="149"/>
        <v>2024</v>
      </c>
      <c r="I800" t="str">
        <f t="shared" si="150"/>
        <v>2024-Q1</v>
      </c>
      <c r="J800" t="s">
        <v>21</v>
      </c>
      <c r="K800" t="s">
        <v>779</v>
      </c>
      <c r="L800" t="s">
        <v>780</v>
      </c>
      <c r="M800" t="s">
        <v>47</v>
      </c>
      <c r="N800" t="s">
        <v>25</v>
      </c>
      <c r="O800" t="s">
        <v>162</v>
      </c>
      <c r="P800" t="s">
        <v>163</v>
      </c>
      <c r="Q800" t="s">
        <v>66</v>
      </c>
      <c r="R800" t="s">
        <v>781</v>
      </c>
      <c r="S800" t="s">
        <v>30</v>
      </c>
      <c r="T800" t="s">
        <v>31</v>
      </c>
      <c r="U800" t="s">
        <v>782</v>
      </c>
      <c r="V800" s="3">
        <v>3055.41</v>
      </c>
      <c r="W800" s="4">
        <v>3</v>
      </c>
      <c r="X800" s="2">
        <v>0.3</v>
      </c>
      <c r="Y800" s="3">
        <v>-445.43</v>
      </c>
      <c r="Z800" t="str">
        <f t="shared" si="146"/>
        <v>Normal</v>
      </c>
      <c r="AA800" t="str">
        <f t="shared" si="147"/>
        <v>High</v>
      </c>
      <c r="AB800" t="str">
        <f t="shared" si="151"/>
        <v>Loss</v>
      </c>
      <c r="AC800" s="3">
        <f t="shared" si="152"/>
        <v>-0.14578403553041983</v>
      </c>
      <c r="AD800" s="3">
        <f t="shared" si="153"/>
        <v>1018.4699999999999</v>
      </c>
      <c r="AE800" s="3">
        <f t="shared" si="154"/>
        <v>-148.47666666666666</v>
      </c>
      <c r="AF800" t="str">
        <f t="shared" si="155"/>
        <v>Regular</v>
      </c>
    </row>
    <row r="801" spans="1:32" x14ac:dyDescent="0.25">
      <c r="A801" t="s">
        <v>4327</v>
      </c>
      <c r="B801" s="1">
        <v>45312</v>
      </c>
      <c r="C801" s="1">
        <v>45321</v>
      </c>
      <c r="D801" s="4">
        <f t="shared" si="144"/>
        <v>9</v>
      </c>
      <c r="E801" s="4" t="str">
        <f>TEXT(Table1[[#This Row],[Order_Date]],"dddd")</f>
        <v>Sunday</v>
      </c>
      <c r="F801" s="4">
        <f t="shared" si="145"/>
        <v>1</v>
      </c>
      <c r="G801" t="str">
        <f t="shared" si="148"/>
        <v>January</v>
      </c>
      <c r="H801">
        <f t="shared" si="149"/>
        <v>2024</v>
      </c>
      <c r="I801" t="str">
        <f t="shared" si="150"/>
        <v>2024-Q1</v>
      </c>
      <c r="J801" t="s">
        <v>104</v>
      </c>
      <c r="K801" t="s">
        <v>4328</v>
      </c>
      <c r="L801" t="s">
        <v>4329</v>
      </c>
      <c r="M801" t="s">
        <v>24</v>
      </c>
      <c r="N801" t="s">
        <v>25</v>
      </c>
      <c r="O801" t="s">
        <v>255</v>
      </c>
      <c r="P801" t="s">
        <v>143</v>
      </c>
      <c r="Q801" t="s">
        <v>39</v>
      </c>
      <c r="R801" t="s">
        <v>4330</v>
      </c>
      <c r="S801" t="s">
        <v>59</v>
      </c>
      <c r="T801" t="s">
        <v>303</v>
      </c>
      <c r="U801" t="s">
        <v>4331</v>
      </c>
      <c r="V801" s="3">
        <v>4120.74</v>
      </c>
      <c r="W801" s="4">
        <v>4</v>
      </c>
      <c r="X801" s="2">
        <v>0.3</v>
      </c>
      <c r="Y801" s="3">
        <v>-531</v>
      </c>
      <c r="Z801" t="str">
        <f t="shared" si="146"/>
        <v>Normal</v>
      </c>
      <c r="AA801" t="str">
        <f t="shared" si="147"/>
        <v>High</v>
      </c>
      <c r="AB801" t="str">
        <f t="shared" si="151"/>
        <v>Loss</v>
      </c>
      <c r="AC801" s="3">
        <f t="shared" si="152"/>
        <v>-0.128860350325427</v>
      </c>
      <c r="AD801" s="3">
        <f t="shared" si="153"/>
        <v>1030.1849999999999</v>
      </c>
      <c r="AE801" s="3">
        <f t="shared" si="154"/>
        <v>-132.75</v>
      </c>
      <c r="AF801" t="str">
        <f t="shared" si="155"/>
        <v>Regular</v>
      </c>
    </row>
    <row r="802" spans="1:32" x14ac:dyDescent="0.25">
      <c r="A802" t="s">
        <v>5503</v>
      </c>
      <c r="B802" s="1">
        <v>45312</v>
      </c>
      <c r="C802" s="1">
        <v>45313</v>
      </c>
      <c r="D802" s="4">
        <f t="shared" si="144"/>
        <v>1</v>
      </c>
      <c r="E802" s="4" t="str">
        <f>TEXT(Table1[[#This Row],[Order_Date]],"dddd")</f>
        <v>Sunday</v>
      </c>
      <c r="F802" s="4">
        <f t="shared" si="145"/>
        <v>1</v>
      </c>
      <c r="G802" t="str">
        <f t="shared" si="148"/>
        <v>January</v>
      </c>
      <c r="H802">
        <f t="shared" si="149"/>
        <v>2024</v>
      </c>
      <c r="I802" t="str">
        <f t="shared" si="150"/>
        <v>2024-Q1</v>
      </c>
      <c r="J802" t="s">
        <v>44</v>
      </c>
      <c r="K802" t="s">
        <v>5504</v>
      </c>
      <c r="L802" t="s">
        <v>1378</v>
      </c>
      <c r="M802" t="s">
        <v>47</v>
      </c>
      <c r="N802" t="s">
        <v>25</v>
      </c>
      <c r="O802" t="s">
        <v>99</v>
      </c>
      <c r="P802" t="s">
        <v>74</v>
      </c>
      <c r="Q802" t="s">
        <v>39</v>
      </c>
      <c r="R802" t="s">
        <v>5505</v>
      </c>
      <c r="S802" t="s">
        <v>51</v>
      </c>
      <c r="T802" t="s">
        <v>151</v>
      </c>
      <c r="U802" t="s">
        <v>5506</v>
      </c>
      <c r="V802" s="3">
        <v>14.23</v>
      </c>
      <c r="W802" s="4">
        <v>2</v>
      </c>
      <c r="X802" s="2">
        <v>0</v>
      </c>
      <c r="Y802" s="3">
        <v>2.89</v>
      </c>
      <c r="Z802" t="str">
        <f t="shared" si="146"/>
        <v>Normal</v>
      </c>
      <c r="AA802" t="str">
        <f t="shared" si="147"/>
        <v>Low</v>
      </c>
      <c r="AB802" t="str">
        <f t="shared" si="151"/>
        <v>Low Profit</v>
      </c>
      <c r="AC802" s="3">
        <f t="shared" si="152"/>
        <v>0.20309205903021785</v>
      </c>
      <c r="AD802" s="3">
        <f t="shared" si="153"/>
        <v>7.1150000000000002</v>
      </c>
      <c r="AE802" s="3">
        <f t="shared" si="154"/>
        <v>1.4450000000000001</v>
      </c>
      <c r="AF802" t="str">
        <f t="shared" si="155"/>
        <v>Regular</v>
      </c>
    </row>
    <row r="803" spans="1:32" x14ac:dyDescent="0.25">
      <c r="A803" t="s">
        <v>273</v>
      </c>
      <c r="B803" s="1">
        <v>45314</v>
      </c>
      <c r="C803" s="1">
        <v>45318</v>
      </c>
      <c r="D803" s="4">
        <f t="shared" si="144"/>
        <v>4</v>
      </c>
      <c r="E803" s="4" t="str">
        <f>TEXT(Table1[[#This Row],[Order_Date]],"dddd")</f>
        <v>Tuesday</v>
      </c>
      <c r="F803" s="4">
        <f t="shared" si="145"/>
        <v>1</v>
      </c>
      <c r="G803" t="str">
        <f t="shared" si="148"/>
        <v>January</v>
      </c>
      <c r="H803">
        <f t="shared" si="149"/>
        <v>2024</v>
      </c>
      <c r="I803" t="str">
        <f t="shared" si="150"/>
        <v>2024-Q1</v>
      </c>
      <c r="J803" t="s">
        <v>104</v>
      </c>
      <c r="K803" t="s">
        <v>274</v>
      </c>
      <c r="L803" t="s">
        <v>275</v>
      </c>
      <c r="M803" t="s">
        <v>47</v>
      </c>
      <c r="N803" t="s">
        <v>25</v>
      </c>
      <c r="O803" t="s">
        <v>156</v>
      </c>
      <c r="P803" t="s">
        <v>143</v>
      </c>
      <c r="Q803" t="s">
        <v>39</v>
      </c>
      <c r="R803" t="s">
        <v>276</v>
      </c>
      <c r="S803" t="s">
        <v>59</v>
      </c>
      <c r="T803" t="s">
        <v>277</v>
      </c>
      <c r="U803" t="s">
        <v>278</v>
      </c>
      <c r="V803" s="3">
        <v>3525.8</v>
      </c>
      <c r="W803" s="4">
        <v>9</v>
      </c>
      <c r="X803" s="2">
        <v>0.4</v>
      </c>
      <c r="Y803" s="3">
        <v>570.78</v>
      </c>
      <c r="Z803" t="str">
        <f t="shared" si="146"/>
        <v>Normal</v>
      </c>
      <c r="AA803" t="str">
        <f t="shared" si="147"/>
        <v>High</v>
      </c>
      <c r="AB803" t="str">
        <f t="shared" si="151"/>
        <v>High Profit</v>
      </c>
      <c r="AC803" s="3">
        <f t="shared" si="152"/>
        <v>0.16188666401951329</v>
      </c>
      <c r="AD803" s="3">
        <f t="shared" si="153"/>
        <v>391.75555555555559</v>
      </c>
      <c r="AE803" s="3">
        <f t="shared" si="154"/>
        <v>63.419999999999995</v>
      </c>
      <c r="AF803" t="str">
        <f t="shared" si="155"/>
        <v>Regular</v>
      </c>
    </row>
    <row r="804" spans="1:32" x14ac:dyDescent="0.25">
      <c r="A804" t="s">
        <v>1206</v>
      </c>
      <c r="B804" s="1">
        <v>45314</v>
      </c>
      <c r="C804" s="1">
        <v>45324</v>
      </c>
      <c r="D804" s="4">
        <f t="shared" si="144"/>
        <v>10</v>
      </c>
      <c r="E804" s="4" t="str">
        <f>TEXT(Table1[[#This Row],[Order_Date]],"dddd")</f>
        <v>Tuesday</v>
      </c>
      <c r="F804" s="4">
        <f t="shared" si="145"/>
        <v>1</v>
      </c>
      <c r="G804" t="str">
        <f t="shared" si="148"/>
        <v>January</v>
      </c>
      <c r="H804">
        <f t="shared" si="149"/>
        <v>2024</v>
      </c>
      <c r="I804" t="str">
        <f t="shared" si="150"/>
        <v>2024-Q1</v>
      </c>
      <c r="J804" t="s">
        <v>104</v>
      </c>
      <c r="K804" t="s">
        <v>1207</v>
      </c>
      <c r="L804" t="s">
        <v>1208</v>
      </c>
      <c r="M804" t="s">
        <v>47</v>
      </c>
      <c r="N804" t="s">
        <v>25</v>
      </c>
      <c r="O804" t="s">
        <v>162</v>
      </c>
      <c r="P804" t="s">
        <v>163</v>
      </c>
      <c r="Q804" t="s">
        <v>28</v>
      </c>
      <c r="R804" t="s">
        <v>1209</v>
      </c>
      <c r="S804" t="s">
        <v>30</v>
      </c>
      <c r="T804" t="s">
        <v>82</v>
      </c>
      <c r="U804" t="s">
        <v>1210</v>
      </c>
      <c r="V804" s="3">
        <v>2069.9899999999998</v>
      </c>
      <c r="W804" s="4">
        <v>6</v>
      </c>
      <c r="X804" s="2">
        <v>0.2</v>
      </c>
      <c r="Y804" s="3">
        <v>-25.34</v>
      </c>
      <c r="Z804" t="str">
        <f t="shared" si="146"/>
        <v>Normal</v>
      </c>
      <c r="AA804" t="str">
        <f t="shared" si="147"/>
        <v>High</v>
      </c>
      <c r="AB804" t="str">
        <f t="shared" si="151"/>
        <v>Loss</v>
      </c>
      <c r="AC804" s="3">
        <f t="shared" si="152"/>
        <v>-1.2241605031908367E-2</v>
      </c>
      <c r="AD804" s="3">
        <f t="shared" si="153"/>
        <v>344.99833333333328</v>
      </c>
      <c r="AE804" s="3">
        <f t="shared" si="154"/>
        <v>-4.2233333333333336</v>
      </c>
      <c r="AF804" t="str">
        <f t="shared" si="155"/>
        <v>Regular</v>
      </c>
    </row>
    <row r="805" spans="1:32" x14ac:dyDescent="0.25">
      <c r="A805" t="s">
        <v>6562</v>
      </c>
      <c r="B805" s="1">
        <v>45315</v>
      </c>
      <c r="C805" s="1">
        <v>45325</v>
      </c>
      <c r="D805" s="4">
        <f t="shared" si="144"/>
        <v>10</v>
      </c>
      <c r="E805" s="4" t="str">
        <f>TEXT(Table1[[#This Row],[Order_Date]],"dddd")</f>
        <v>Wednesday</v>
      </c>
      <c r="F805" s="4">
        <f t="shared" si="145"/>
        <v>1</v>
      </c>
      <c r="G805" t="str">
        <f t="shared" si="148"/>
        <v>January</v>
      </c>
      <c r="H805">
        <f t="shared" si="149"/>
        <v>2024</v>
      </c>
      <c r="I805" t="str">
        <f t="shared" si="150"/>
        <v>2024-Q1</v>
      </c>
      <c r="J805" t="s">
        <v>55</v>
      </c>
      <c r="K805" t="s">
        <v>6563</v>
      </c>
      <c r="L805" t="s">
        <v>6564</v>
      </c>
      <c r="M805" t="s">
        <v>36</v>
      </c>
      <c r="N805" t="s">
        <v>25</v>
      </c>
      <c r="O805" t="s">
        <v>382</v>
      </c>
      <c r="P805" t="s">
        <v>38</v>
      </c>
      <c r="Q805" t="s">
        <v>66</v>
      </c>
      <c r="R805" t="s">
        <v>6565</v>
      </c>
      <c r="S805" t="s">
        <v>59</v>
      </c>
      <c r="T805" t="s">
        <v>277</v>
      </c>
      <c r="U805" t="s">
        <v>6566</v>
      </c>
      <c r="V805" s="3">
        <v>4046.94</v>
      </c>
      <c r="W805" s="4">
        <v>1</v>
      </c>
      <c r="X805" s="2">
        <v>0.3</v>
      </c>
      <c r="Y805" s="3">
        <v>1000.04</v>
      </c>
      <c r="Z805" t="str">
        <f t="shared" si="146"/>
        <v>Normal</v>
      </c>
      <c r="AA805" t="str">
        <f t="shared" si="147"/>
        <v>High</v>
      </c>
      <c r="AB805" t="str">
        <f t="shared" si="151"/>
        <v>High Profit</v>
      </c>
      <c r="AC805" s="3">
        <f t="shared" si="152"/>
        <v>0.24711016224604268</v>
      </c>
      <c r="AD805" s="3">
        <f t="shared" si="153"/>
        <v>4046.94</v>
      </c>
      <c r="AE805" s="3">
        <f t="shared" si="154"/>
        <v>1000.04</v>
      </c>
      <c r="AF805" t="str">
        <f t="shared" si="155"/>
        <v>Regular</v>
      </c>
    </row>
    <row r="806" spans="1:32" x14ac:dyDescent="0.25">
      <c r="A806" t="s">
        <v>3387</v>
      </c>
      <c r="B806" s="1">
        <v>45316</v>
      </c>
      <c r="C806" s="1">
        <v>45326</v>
      </c>
      <c r="D806" s="4">
        <f t="shared" si="144"/>
        <v>10</v>
      </c>
      <c r="E806" s="4" t="str">
        <f>TEXT(Table1[[#This Row],[Order_Date]],"dddd")</f>
        <v>Thursday</v>
      </c>
      <c r="F806" s="4">
        <f t="shared" si="145"/>
        <v>1</v>
      </c>
      <c r="G806" t="str">
        <f t="shared" si="148"/>
        <v>January</v>
      </c>
      <c r="H806">
        <f t="shared" si="149"/>
        <v>2024</v>
      </c>
      <c r="I806" t="str">
        <f t="shared" si="150"/>
        <v>2024-Q1</v>
      </c>
      <c r="J806" t="s">
        <v>21</v>
      </c>
      <c r="K806" t="s">
        <v>3388</v>
      </c>
      <c r="L806" t="s">
        <v>3389</v>
      </c>
      <c r="M806" t="s">
        <v>47</v>
      </c>
      <c r="N806" t="s">
        <v>25</v>
      </c>
      <c r="O806" t="s">
        <v>201</v>
      </c>
      <c r="P806" t="s">
        <v>113</v>
      </c>
      <c r="Q806" t="s">
        <v>28</v>
      </c>
      <c r="R806" t="s">
        <v>3390</v>
      </c>
      <c r="S806" t="s">
        <v>30</v>
      </c>
      <c r="T806" t="s">
        <v>41</v>
      </c>
      <c r="U806" t="s">
        <v>3077</v>
      </c>
      <c r="V806" s="3">
        <v>3508.99</v>
      </c>
      <c r="W806" s="4">
        <v>5</v>
      </c>
      <c r="X806" s="2">
        <v>0</v>
      </c>
      <c r="Y806" s="3">
        <v>-263.70999999999998</v>
      </c>
      <c r="Z806" t="str">
        <f t="shared" si="146"/>
        <v>Normal</v>
      </c>
      <c r="AA806" t="str">
        <f t="shared" si="147"/>
        <v>Low</v>
      </c>
      <c r="AB806" t="str">
        <f t="shared" si="151"/>
        <v>Loss</v>
      </c>
      <c r="AC806" s="3">
        <f t="shared" si="152"/>
        <v>-7.5152679260983929E-2</v>
      </c>
      <c r="AD806" s="3">
        <f t="shared" si="153"/>
        <v>701.798</v>
      </c>
      <c r="AE806" s="3">
        <f t="shared" si="154"/>
        <v>-52.741999999999997</v>
      </c>
      <c r="AF806" t="str">
        <f t="shared" si="155"/>
        <v>Regular</v>
      </c>
    </row>
    <row r="807" spans="1:32" x14ac:dyDescent="0.25">
      <c r="A807" t="s">
        <v>2202</v>
      </c>
      <c r="B807" s="1">
        <v>45316</v>
      </c>
      <c r="C807" s="1">
        <v>45321</v>
      </c>
      <c r="D807" s="4">
        <f t="shared" si="144"/>
        <v>5</v>
      </c>
      <c r="E807" s="4" t="str">
        <f>TEXT(Table1[[#This Row],[Order_Date]],"dddd")</f>
        <v>Thursday</v>
      </c>
      <c r="F807" s="4">
        <f t="shared" si="145"/>
        <v>1</v>
      </c>
      <c r="G807" t="str">
        <f t="shared" si="148"/>
        <v>January</v>
      </c>
      <c r="H807">
        <f t="shared" si="149"/>
        <v>2024</v>
      </c>
      <c r="I807" t="str">
        <f t="shared" si="150"/>
        <v>2024-Q1</v>
      </c>
      <c r="J807" t="s">
        <v>104</v>
      </c>
      <c r="K807" t="s">
        <v>2203</v>
      </c>
      <c r="L807" t="s">
        <v>2204</v>
      </c>
      <c r="M807" t="s">
        <v>36</v>
      </c>
      <c r="N807" t="s">
        <v>25</v>
      </c>
      <c r="O807" t="s">
        <v>179</v>
      </c>
      <c r="P807" t="s">
        <v>27</v>
      </c>
      <c r="Q807" t="s">
        <v>87</v>
      </c>
      <c r="R807" t="s">
        <v>2205</v>
      </c>
      <c r="S807" t="s">
        <v>30</v>
      </c>
      <c r="T807" t="s">
        <v>68</v>
      </c>
      <c r="U807" t="s">
        <v>2206</v>
      </c>
      <c r="V807" s="3">
        <v>2472.3200000000002</v>
      </c>
      <c r="W807" s="4">
        <v>5</v>
      </c>
      <c r="X807" s="2">
        <v>0.2</v>
      </c>
      <c r="Y807" s="3">
        <v>706.9</v>
      </c>
      <c r="Z807" t="str">
        <f t="shared" si="146"/>
        <v>Normal</v>
      </c>
      <c r="AA807" t="str">
        <f t="shared" si="147"/>
        <v>High</v>
      </c>
      <c r="AB807" t="str">
        <f t="shared" si="151"/>
        <v>High Profit</v>
      </c>
      <c r="AC807" s="3">
        <f t="shared" si="152"/>
        <v>0.28592577012684439</v>
      </c>
      <c r="AD807" s="3">
        <f t="shared" si="153"/>
        <v>494.46400000000006</v>
      </c>
      <c r="AE807" s="3">
        <f t="shared" si="154"/>
        <v>141.38</v>
      </c>
      <c r="AF807" t="str">
        <f t="shared" si="155"/>
        <v>Regular</v>
      </c>
    </row>
    <row r="808" spans="1:32" x14ac:dyDescent="0.25">
      <c r="A808" t="s">
        <v>5530</v>
      </c>
      <c r="B808" s="1">
        <v>45316</v>
      </c>
      <c r="C808" s="1">
        <v>45322</v>
      </c>
      <c r="D808" s="4">
        <f t="shared" si="144"/>
        <v>6</v>
      </c>
      <c r="E808" s="4" t="str">
        <f>TEXT(Table1[[#This Row],[Order_Date]],"dddd")</f>
        <v>Thursday</v>
      </c>
      <c r="F808" s="4">
        <f t="shared" si="145"/>
        <v>1</v>
      </c>
      <c r="G808" t="str">
        <f t="shared" si="148"/>
        <v>January</v>
      </c>
      <c r="H808">
        <f t="shared" si="149"/>
        <v>2024</v>
      </c>
      <c r="I808" t="str">
        <f t="shared" si="150"/>
        <v>2024-Q1</v>
      </c>
      <c r="J808" t="s">
        <v>104</v>
      </c>
      <c r="K808" t="s">
        <v>5531</v>
      </c>
      <c r="L808" t="s">
        <v>5532</v>
      </c>
      <c r="M808" t="s">
        <v>24</v>
      </c>
      <c r="N808" t="s">
        <v>25</v>
      </c>
      <c r="O808" t="s">
        <v>156</v>
      </c>
      <c r="P808" t="s">
        <v>143</v>
      </c>
      <c r="Q808" t="s">
        <v>87</v>
      </c>
      <c r="R808" t="s">
        <v>5533</v>
      </c>
      <c r="S808" t="s">
        <v>51</v>
      </c>
      <c r="T808" t="s">
        <v>127</v>
      </c>
      <c r="U808" t="s">
        <v>5534</v>
      </c>
      <c r="V808" s="3">
        <v>2248.67</v>
      </c>
      <c r="W808" s="4">
        <v>3</v>
      </c>
      <c r="X808" s="2">
        <v>0.3</v>
      </c>
      <c r="Y808" s="3">
        <v>-333.53</v>
      </c>
      <c r="Z808" t="str">
        <f t="shared" si="146"/>
        <v>Normal</v>
      </c>
      <c r="AA808" t="str">
        <f t="shared" si="147"/>
        <v>High</v>
      </c>
      <c r="AB808" t="str">
        <f t="shared" si="151"/>
        <v>Loss</v>
      </c>
      <c r="AC808" s="3">
        <f t="shared" si="152"/>
        <v>-0.14832323106547424</v>
      </c>
      <c r="AD808" s="3">
        <f t="shared" si="153"/>
        <v>749.55666666666673</v>
      </c>
      <c r="AE808" s="3">
        <f t="shared" si="154"/>
        <v>-111.17666666666666</v>
      </c>
      <c r="AF808" t="str">
        <f t="shared" si="155"/>
        <v>Regular</v>
      </c>
    </row>
    <row r="809" spans="1:32" x14ac:dyDescent="0.25">
      <c r="A809" t="s">
        <v>2398</v>
      </c>
      <c r="B809" s="1">
        <v>45316</v>
      </c>
      <c r="C809" s="1">
        <v>45321</v>
      </c>
      <c r="D809" s="4">
        <f t="shared" si="144"/>
        <v>5</v>
      </c>
      <c r="E809" s="4" t="str">
        <f>TEXT(Table1[[#This Row],[Order_Date]],"dddd")</f>
        <v>Thursday</v>
      </c>
      <c r="F809" s="4">
        <f t="shared" si="145"/>
        <v>1</v>
      </c>
      <c r="G809" t="str">
        <f t="shared" si="148"/>
        <v>January</v>
      </c>
      <c r="H809">
        <f t="shared" si="149"/>
        <v>2024</v>
      </c>
      <c r="I809" t="str">
        <f t="shared" si="150"/>
        <v>2024-Q1</v>
      </c>
      <c r="J809" t="s">
        <v>21</v>
      </c>
      <c r="K809" t="s">
        <v>2399</v>
      </c>
      <c r="L809" t="s">
        <v>2400</v>
      </c>
      <c r="M809" t="s">
        <v>47</v>
      </c>
      <c r="N809" t="s">
        <v>25</v>
      </c>
      <c r="O809" t="s">
        <v>119</v>
      </c>
      <c r="P809" t="s">
        <v>120</v>
      </c>
      <c r="Q809" t="s">
        <v>28</v>
      </c>
      <c r="R809" t="s">
        <v>2401</v>
      </c>
      <c r="S809" t="s">
        <v>51</v>
      </c>
      <c r="T809" t="s">
        <v>94</v>
      </c>
      <c r="U809" t="s">
        <v>2402</v>
      </c>
      <c r="V809" s="3">
        <v>2770.96</v>
      </c>
      <c r="W809" s="4">
        <v>2</v>
      </c>
      <c r="X809" s="2">
        <v>0.4</v>
      </c>
      <c r="Y809" s="3">
        <v>-301.19</v>
      </c>
      <c r="Z809" t="str">
        <f t="shared" si="146"/>
        <v>Normal</v>
      </c>
      <c r="AA809" t="str">
        <f t="shared" si="147"/>
        <v>High</v>
      </c>
      <c r="AB809" t="str">
        <f t="shared" si="151"/>
        <v>Loss</v>
      </c>
      <c r="AC809" s="3">
        <f t="shared" si="152"/>
        <v>-0.10869518145335912</v>
      </c>
      <c r="AD809" s="3">
        <f t="shared" si="153"/>
        <v>1385.48</v>
      </c>
      <c r="AE809" s="3">
        <f t="shared" si="154"/>
        <v>-150.595</v>
      </c>
      <c r="AF809" t="str">
        <f t="shared" si="155"/>
        <v>Regular</v>
      </c>
    </row>
    <row r="810" spans="1:32" x14ac:dyDescent="0.25">
      <c r="A810" t="s">
        <v>4067</v>
      </c>
      <c r="B810" s="1">
        <v>45316</v>
      </c>
      <c r="C810" s="1">
        <v>45320</v>
      </c>
      <c r="D810" s="4">
        <f t="shared" si="144"/>
        <v>4</v>
      </c>
      <c r="E810" s="4" t="str">
        <f>TEXT(Table1[[#This Row],[Order_Date]],"dddd")</f>
        <v>Thursday</v>
      </c>
      <c r="F810" s="4">
        <f t="shared" si="145"/>
        <v>1</v>
      </c>
      <c r="G810" t="str">
        <f t="shared" si="148"/>
        <v>January</v>
      </c>
      <c r="H810">
        <f t="shared" si="149"/>
        <v>2024</v>
      </c>
      <c r="I810" t="str">
        <f t="shared" si="150"/>
        <v>2024-Q1</v>
      </c>
      <c r="J810" t="s">
        <v>21</v>
      </c>
      <c r="K810" t="s">
        <v>4068</v>
      </c>
      <c r="L810" t="s">
        <v>4069</v>
      </c>
      <c r="M810" t="s">
        <v>24</v>
      </c>
      <c r="N810" t="s">
        <v>25</v>
      </c>
      <c r="O810" t="s">
        <v>99</v>
      </c>
      <c r="P810" t="s">
        <v>74</v>
      </c>
      <c r="Q810" t="s">
        <v>66</v>
      </c>
      <c r="R810" t="s">
        <v>4070</v>
      </c>
      <c r="S810" t="s">
        <v>59</v>
      </c>
      <c r="T810" t="s">
        <v>60</v>
      </c>
      <c r="U810" t="s">
        <v>4071</v>
      </c>
      <c r="V810" s="3">
        <v>2424.9</v>
      </c>
      <c r="W810" s="4">
        <v>6</v>
      </c>
      <c r="X810" s="2">
        <v>0.3</v>
      </c>
      <c r="Y810" s="3">
        <v>192.33</v>
      </c>
      <c r="Z810" t="str">
        <f t="shared" si="146"/>
        <v>Normal</v>
      </c>
      <c r="AA810" t="str">
        <f t="shared" si="147"/>
        <v>High</v>
      </c>
      <c r="AB810" t="str">
        <f t="shared" si="151"/>
        <v>Low Profit</v>
      </c>
      <c r="AC810" s="3">
        <f t="shared" si="152"/>
        <v>7.9314610911790179E-2</v>
      </c>
      <c r="AD810" s="3">
        <f t="shared" si="153"/>
        <v>404.15000000000003</v>
      </c>
      <c r="AE810" s="3">
        <f t="shared" si="154"/>
        <v>32.055</v>
      </c>
      <c r="AF810" t="str">
        <f t="shared" si="155"/>
        <v>Regular</v>
      </c>
    </row>
    <row r="811" spans="1:32" x14ac:dyDescent="0.25">
      <c r="A811" t="s">
        <v>3327</v>
      </c>
      <c r="B811" s="1">
        <v>45316</v>
      </c>
      <c r="C811" s="1">
        <f>B811+5</f>
        <v>45321</v>
      </c>
      <c r="D811" s="4">
        <f t="shared" si="144"/>
        <v>5</v>
      </c>
      <c r="E811" s="4" t="str">
        <f>TEXT(Table1[[#This Row],[Order_Date]],"dddd")</f>
        <v>Thursday</v>
      </c>
      <c r="F811" s="4">
        <f t="shared" si="145"/>
        <v>1</v>
      </c>
      <c r="G811" t="str">
        <f t="shared" si="148"/>
        <v>January</v>
      </c>
      <c r="H811">
        <f t="shared" si="149"/>
        <v>2024</v>
      </c>
      <c r="I811" t="str">
        <f t="shared" si="150"/>
        <v>2024-Q1</v>
      </c>
      <c r="J811" t="s">
        <v>55</v>
      </c>
      <c r="K811" t="s">
        <v>3328</v>
      </c>
      <c r="L811" t="s">
        <v>3329</v>
      </c>
      <c r="M811" t="s">
        <v>24</v>
      </c>
      <c r="N811" t="s">
        <v>25</v>
      </c>
      <c r="O811" t="s">
        <v>48</v>
      </c>
      <c r="P811" t="s">
        <v>49</v>
      </c>
      <c r="Q811" t="s">
        <v>87</v>
      </c>
      <c r="R811" t="s">
        <v>3330</v>
      </c>
      <c r="S811" t="s">
        <v>59</v>
      </c>
      <c r="T811" t="s">
        <v>101</v>
      </c>
      <c r="U811" t="s">
        <v>3331</v>
      </c>
      <c r="V811" s="3">
        <v>4408.9799999999996</v>
      </c>
      <c r="W811" s="4">
        <v>2</v>
      </c>
      <c r="X811" s="2">
        <v>0.3</v>
      </c>
      <c r="Y811" s="3">
        <v>880.48</v>
      </c>
      <c r="Z811" t="str">
        <f t="shared" si="146"/>
        <v>Normal</v>
      </c>
      <c r="AA811" t="str">
        <f t="shared" si="147"/>
        <v>High</v>
      </c>
      <c r="AB811" t="str">
        <f t="shared" si="151"/>
        <v>High Profit</v>
      </c>
      <c r="AC811" s="3">
        <f t="shared" si="152"/>
        <v>0.19970151826499555</v>
      </c>
      <c r="AD811" s="3">
        <f t="shared" si="153"/>
        <v>2204.4899999999998</v>
      </c>
      <c r="AE811" s="3">
        <f t="shared" si="154"/>
        <v>440.24</v>
      </c>
      <c r="AF811" t="str">
        <f t="shared" si="155"/>
        <v>Regular</v>
      </c>
    </row>
    <row r="812" spans="1:32" x14ac:dyDescent="0.25">
      <c r="A812" t="s">
        <v>1066</v>
      </c>
      <c r="B812" s="1">
        <v>45316</v>
      </c>
      <c r="C812" s="1">
        <v>45321</v>
      </c>
      <c r="D812" s="4">
        <f t="shared" si="144"/>
        <v>5</v>
      </c>
      <c r="E812" s="4" t="str">
        <f>TEXT(Table1[[#This Row],[Order_Date]],"dddd")</f>
        <v>Thursday</v>
      </c>
      <c r="F812" s="4">
        <f t="shared" si="145"/>
        <v>1</v>
      </c>
      <c r="G812" t="str">
        <f t="shared" si="148"/>
        <v>January</v>
      </c>
      <c r="H812">
        <f t="shared" si="149"/>
        <v>2024</v>
      </c>
      <c r="I812" t="str">
        <f t="shared" si="150"/>
        <v>2024-Q1</v>
      </c>
      <c r="J812" t="s">
        <v>44</v>
      </c>
      <c r="K812" t="s">
        <v>1067</v>
      </c>
      <c r="L812" t="s">
        <v>1068</v>
      </c>
      <c r="M812" t="s">
        <v>47</v>
      </c>
      <c r="N812" t="s">
        <v>25</v>
      </c>
      <c r="O812" t="s">
        <v>611</v>
      </c>
      <c r="P812" t="s">
        <v>74</v>
      </c>
      <c r="Q812" t="s">
        <v>66</v>
      </c>
      <c r="R812" t="s">
        <v>1069</v>
      </c>
      <c r="S812" t="s">
        <v>59</v>
      </c>
      <c r="T812" t="s">
        <v>277</v>
      </c>
      <c r="U812" t="s">
        <v>1070</v>
      </c>
      <c r="V812" s="3">
        <v>1571.92</v>
      </c>
      <c r="W812" s="4">
        <v>3</v>
      </c>
      <c r="X812" s="2">
        <v>0.2</v>
      </c>
      <c r="Y812" s="3">
        <v>264.77</v>
      </c>
      <c r="Z812" t="str">
        <f t="shared" si="146"/>
        <v>Normal</v>
      </c>
      <c r="AA812" t="str">
        <f t="shared" si="147"/>
        <v>High</v>
      </c>
      <c r="AB812" t="str">
        <f t="shared" si="151"/>
        <v>Low Profit</v>
      </c>
      <c r="AC812" s="3">
        <f t="shared" si="152"/>
        <v>0.16843732505471015</v>
      </c>
      <c r="AD812" s="3">
        <f t="shared" si="153"/>
        <v>523.97333333333336</v>
      </c>
      <c r="AE812" s="3">
        <f t="shared" si="154"/>
        <v>88.256666666666661</v>
      </c>
      <c r="AF812" t="str">
        <f t="shared" si="155"/>
        <v>Regular</v>
      </c>
    </row>
    <row r="813" spans="1:32" x14ac:dyDescent="0.25">
      <c r="A813" t="s">
        <v>1096</v>
      </c>
      <c r="B813" s="1">
        <v>45317</v>
      </c>
      <c r="C813" s="1">
        <v>45318</v>
      </c>
      <c r="D813" s="4">
        <f t="shared" si="144"/>
        <v>1</v>
      </c>
      <c r="E813" s="4" t="str">
        <f>TEXT(Table1[[#This Row],[Order_Date]],"dddd")</f>
        <v>Friday</v>
      </c>
      <c r="F813" s="4">
        <f t="shared" si="145"/>
        <v>1</v>
      </c>
      <c r="G813" t="str">
        <f t="shared" si="148"/>
        <v>January</v>
      </c>
      <c r="H813">
        <f t="shared" si="149"/>
        <v>2024</v>
      </c>
      <c r="I813" t="str">
        <f t="shared" si="150"/>
        <v>2024-Q1</v>
      </c>
      <c r="J813" t="s">
        <v>55</v>
      </c>
      <c r="K813" t="s">
        <v>1097</v>
      </c>
      <c r="L813" t="s">
        <v>1098</v>
      </c>
      <c r="M813" t="s">
        <v>24</v>
      </c>
      <c r="N813" t="s">
        <v>25</v>
      </c>
      <c r="O813" t="s">
        <v>244</v>
      </c>
      <c r="P813" t="s">
        <v>163</v>
      </c>
      <c r="Q813" t="s">
        <v>87</v>
      </c>
      <c r="R813" t="s">
        <v>1099</v>
      </c>
      <c r="S813" t="s">
        <v>59</v>
      </c>
      <c r="T813" t="s">
        <v>60</v>
      </c>
      <c r="U813" t="s">
        <v>1100</v>
      </c>
      <c r="V813" s="3">
        <v>2346.41</v>
      </c>
      <c r="W813" s="4">
        <v>2</v>
      </c>
      <c r="X813" s="2">
        <v>0.3</v>
      </c>
      <c r="Y813" s="3">
        <v>-116.86</v>
      </c>
      <c r="Z813" t="str">
        <f t="shared" si="146"/>
        <v>Normal</v>
      </c>
      <c r="AA813" t="str">
        <f t="shared" si="147"/>
        <v>High</v>
      </c>
      <c r="AB813" t="str">
        <f t="shared" si="151"/>
        <v>Loss</v>
      </c>
      <c r="AC813" s="3">
        <f t="shared" si="152"/>
        <v>-4.9803742738907524E-2</v>
      </c>
      <c r="AD813" s="3">
        <f t="shared" si="153"/>
        <v>1173.2049999999999</v>
      </c>
      <c r="AE813" s="3">
        <f t="shared" si="154"/>
        <v>-58.43</v>
      </c>
      <c r="AF813" t="str">
        <f t="shared" si="155"/>
        <v>Regular</v>
      </c>
    </row>
    <row r="814" spans="1:32" x14ac:dyDescent="0.25">
      <c r="A814" t="s">
        <v>3984</v>
      </c>
      <c r="B814" s="1">
        <v>45318</v>
      </c>
      <c r="C814" s="1">
        <v>45324</v>
      </c>
      <c r="D814" s="4">
        <f t="shared" si="144"/>
        <v>6</v>
      </c>
      <c r="E814" s="4" t="str">
        <f>TEXT(Table1[[#This Row],[Order_Date]],"dddd")</f>
        <v>Saturday</v>
      </c>
      <c r="F814" s="4">
        <f t="shared" si="145"/>
        <v>1</v>
      </c>
      <c r="G814" t="str">
        <f t="shared" si="148"/>
        <v>January</v>
      </c>
      <c r="H814">
        <f t="shared" si="149"/>
        <v>2024</v>
      </c>
      <c r="I814" t="str">
        <f t="shared" si="150"/>
        <v>2024-Q1</v>
      </c>
      <c r="J814" t="s">
        <v>104</v>
      </c>
      <c r="K814" t="s">
        <v>3985</v>
      </c>
      <c r="L814" t="s">
        <v>3986</v>
      </c>
      <c r="M814" t="s">
        <v>47</v>
      </c>
      <c r="N814" t="s">
        <v>25</v>
      </c>
      <c r="O814" t="s">
        <v>73</v>
      </c>
      <c r="P814" t="s">
        <v>74</v>
      </c>
      <c r="Q814" t="s">
        <v>28</v>
      </c>
      <c r="R814" t="s">
        <v>3987</v>
      </c>
      <c r="S814" t="s">
        <v>51</v>
      </c>
      <c r="T814" t="s">
        <v>108</v>
      </c>
      <c r="U814" t="s">
        <v>2774</v>
      </c>
      <c r="V814" s="3">
        <v>301.85000000000002</v>
      </c>
      <c r="W814" s="4">
        <v>5</v>
      </c>
      <c r="X814" s="2">
        <v>0.2</v>
      </c>
      <c r="Y814" s="3">
        <v>52.84</v>
      </c>
      <c r="Z814" t="str">
        <f t="shared" si="146"/>
        <v>Normal</v>
      </c>
      <c r="AA814" t="str">
        <f t="shared" si="147"/>
        <v>High</v>
      </c>
      <c r="AB814" t="str">
        <f t="shared" si="151"/>
        <v>Low Profit</v>
      </c>
      <c r="AC814" s="3">
        <f t="shared" si="152"/>
        <v>0.17505383468610236</v>
      </c>
      <c r="AD814" s="3">
        <f t="shared" si="153"/>
        <v>60.370000000000005</v>
      </c>
      <c r="AE814" s="3">
        <f t="shared" si="154"/>
        <v>10.568000000000001</v>
      </c>
      <c r="AF814" t="str">
        <f t="shared" si="155"/>
        <v>Regular</v>
      </c>
    </row>
    <row r="815" spans="1:32" x14ac:dyDescent="0.25">
      <c r="A815" t="s">
        <v>4251</v>
      </c>
      <c r="B815" s="1">
        <v>45318</v>
      </c>
      <c r="C815" s="1">
        <v>45322</v>
      </c>
      <c r="D815" s="4">
        <f t="shared" si="144"/>
        <v>4</v>
      </c>
      <c r="E815" s="4" t="str">
        <f>TEXT(Table1[[#This Row],[Order_Date]],"dddd")</f>
        <v>Saturday</v>
      </c>
      <c r="F815" s="4">
        <f t="shared" si="145"/>
        <v>1</v>
      </c>
      <c r="G815" t="str">
        <f t="shared" si="148"/>
        <v>January</v>
      </c>
      <c r="H815">
        <f t="shared" si="149"/>
        <v>2024</v>
      </c>
      <c r="I815" t="str">
        <f t="shared" si="150"/>
        <v>2024-Q1</v>
      </c>
      <c r="J815" t="s">
        <v>55</v>
      </c>
      <c r="K815" t="s">
        <v>4252</v>
      </c>
      <c r="L815" t="s">
        <v>4253</v>
      </c>
      <c r="M815" t="s">
        <v>36</v>
      </c>
      <c r="N815" t="s">
        <v>25</v>
      </c>
      <c r="O815" t="s">
        <v>162</v>
      </c>
      <c r="P815" t="s">
        <v>163</v>
      </c>
      <c r="Q815" t="s">
        <v>87</v>
      </c>
      <c r="R815" t="s">
        <v>4254</v>
      </c>
      <c r="S815" t="s">
        <v>30</v>
      </c>
      <c r="T815" t="s">
        <v>41</v>
      </c>
      <c r="U815" t="s">
        <v>2513</v>
      </c>
      <c r="V815" s="3">
        <v>2599.8000000000002</v>
      </c>
      <c r="W815" s="4">
        <v>4</v>
      </c>
      <c r="X815" s="2">
        <v>0</v>
      </c>
      <c r="Y815" s="3">
        <v>446.88</v>
      </c>
      <c r="Z815" t="str">
        <f t="shared" si="146"/>
        <v>Normal</v>
      </c>
      <c r="AA815" t="str">
        <f t="shared" si="147"/>
        <v>Low</v>
      </c>
      <c r="AB815" t="str">
        <f t="shared" si="151"/>
        <v>Low Profit</v>
      </c>
      <c r="AC815" s="3">
        <f t="shared" si="152"/>
        <v>0.17189014539579967</v>
      </c>
      <c r="AD815" s="3">
        <f t="shared" si="153"/>
        <v>649.95000000000005</v>
      </c>
      <c r="AE815" s="3">
        <f t="shared" si="154"/>
        <v>111.72</v>
      </c>
      <c r="AF815" t="str">
        <f t="shared" si="155"/>
        <v>Regular</v>
      </c>
    </row>
    <row r="816" spans="1:32" x14ac:dyDescent="0.25">
      <c r="A816" t="s">
        <v>6300</v>
      </c>
      <c r="B816" s="1">
        <v>45319</v>
      </c>
      <c r="C816" s="1">
        <v>45327</v>
      </c>
      <c r="D816" s="4">
        <f t="shared" si="144"/>
        <v>8</v>
      </c>
      <c r="E816" s="4" t="str">
        <f>TEXT(Table1[[#This Row],[Order_Date]],"dddd")</f>
        <v>Sunday</v>
      </c>
      <c r="F816" s="4">
        <f t="shared" si="145"/>
        <v>1</v>
      </c>
      <c r="G816" t="str">
        <f t="shared" si="148"/>
        <v>January</v>
      </c>
      <c r="H816">
        <f t="shared" si="149"/>
        <v>2024</v>
      </c>
      <c r="I816" t="str">
        <f t="shared" si="150"/>
        <v>2024-Q1</v>
      </c>
      <c r="J816" t="s">
        <v>44</v>
      </c>
      <c r="K816" t="s">
        <v>7402</v>
      </c>
      <c r="L816" t="s">
        <v>6301</v>
      </c>
      <c r="M816" t="s">
        <v>24</v>
      </c>
      <c r="N816" t="s">
        <v>25</v>
      </c>
      <c r="O816" t="s">
        <v>26</v>
      </c>
      <c r="P816" t="s">
        <v>27</v>
      </c>
      <c r="Q816" t="s">
        <v>87</v>
      </c>
      <c r="R816" t="s">
        <v>6302</v>
      </c>
      <c r="S816" t="s">
        <v>30</v>
      </c>
      <c r="T816" t="s">
        <v>68</v>
      </c>
      <c r="U816" t="s">
        <v>6303</v>
      </c>
      <c r="V816" s="3">
        <v>488.5</v>
      </c>
      <c r="W816" s="4">
        <v>6</v>
      </c>
      <c r="X816" s="2">
        <v>0</v>
      </c>
      <c r="Y816" s="3">
        <v>-20.059999999999999</v>
      </c>
      <c r="Z816" t="str">
        <f t="shared" si="146"/>
        <v>Normal</v>
      </c>
      <c r="AA816" t="str">
        <f t="shared" si="147"/>
        <v>Low</v>
      </c>
      <c r="AB816" t="str">
        <f t="shared" si="151"/>
        <v>Loss</v>
      </c>
      <c r="AC816" s="3">
        <f t="shared" si="152"/>
        <v>-4.1064483111566019E-2</v>
      </c>
      <c r="AD816" s="3">
        <f t="shared" si="153"/>
        <v>81.416666666666671</v>
      </c>
      <c r="AE816" s="3">
        <f t="shared" si="154"/>
        <v>-3.3433333333333333</v>
      </c>
      <c r="AF816" t="str">
        <f t="shared" si="155"/>
        <v>Regular</v>
      </c>
    </row>
    <row r="817" spans="1:32" x14ac:dyDescent="0.25">
      <c r="A817" t="s">
        <v>1257</v>
      </c>
      <c r="B817" s="1">
        <v>45320</v>
      </c>
      <c r="C817" s="1">
        <v>45322</v>
      </c>
      <c r="D817" s="4">
        <f t="shared" si="144"/>
        <v>2</v>
      </c>
      <c r="E817" s="4" t="str">
        <f>TEXT(Table1[[#This Row],[Order_Date]],"dddd")</f>
        <v>Monday</v>
      </c>
      <c r="F817" s="4">
        <f t="shared" si="145"/>
        <v>1</v>
      </c>
      <c r="G817" t="str">
        <f t="shared" si="148"/>
        <v>January</v>
      </c>
      <c r="H817">
        <f t="shared" si="149"/>
        <v>2024</v>
      </c>
      <c r="I817" t="str">
        <f t="shared" si="150"/>
        <v>2024-Q1</v>
      </c>
      <c r="J817" t="s">
        <v>44</v>
      </c>
      <c r="K817" t="s">
        <v>1258</v>
      </c>
      <c r="L817" t="s">
        <v>1259</v>
      </c>
      <c r="M817" t="s">
        <v>24</v>
      </c>
      <c r="N817" t="s">
        <v>25</v>
      </c>
      <c r="O817" t="s">
        <v>26</v>
      </c>
      <c r="P817" t="s">
        <v>27</v>
      </c>
      <c r="Q817" t="s">
        <v>28</v>
      </c>
      <c r="R817" t="s">
        <v>1260</v>
      </c>
      <c r="S817" t="s">
        <v>59</v>
      </c>
      <c r="T817" t="s">
        <v>60</v>
      </c>
      <c r="U817" t="s">
        <v>1261</v>
      </c>
      <c r="V817" s="3">
        <v>1925.76</v>
      </c>
      <c r="W817" s="4">
        <v>7</v>
      </c>
      <c r="X817" s="2">
        <v>0.4</v>
      </c>
      <c r="Y817" s="3">
        <v>211.09</v>
      </c>
      <c r="Z817" t="str">
        <f t="shared" si="146"/>
        <v>Normal</v>
      </c>
      <c r="AA817" t="str">
        <f t="shared" si="147"/>
        <v>High</v>
      </c>
      <c r="AB817" t="str">
        <f t="shared" si="151"/>
        <v>Low Profit</v>
      </c>
      <c r="AC817" s="3">
        <f t="shared" si="152"/>
        <v>0.10961386673313393</v>
      </c>
      <c r="AD817" s="3">
        <f t="shared" si="153"/>
        <v>275.10857142857145</v>
      </c>
      <c r="AE817" s="3">
        <f t="shared" si="154"/>
        <v>30.155714285714286</v>
      </c>
      <c r="AF817" t="str">
        <f t="shared" si="155"/>
        <v>Regular</v>
      </c>
    </row>
    <row r="818" spans="1:32" x14ac:dyDescent="0.25">
      <c r="A818" t="s">
        <v>6124</v>
      </c>
      <c r="B818" s="1">
        <v>45320</v>
      </c>
      <c r="C818" s="1">
        <v>45323</v>
      </c>
      <c r="D818" s="4">
        <f t="shared" si="144"/>
        <v>3</v>
      </c>
      <c r="E818" s="4" t="str">
        <f>TEXT(Table1[[#This Row],[Order_Date]],"dddd")</f>
        <v>Monday</v>
      </c>
      <c r="F818" s="4">
        <f t="shared" si="145"/>
        <v>1</v>
      </c>
      <c r="G818" t="str">
        <f t="shared" si="148"/>
        <v>January</v>
      </c>
      <c r="H818">
        <f t="shared" si="149"/>
        <v>2024</v>
      </c>
      <c r="I818" t="str">
        <f t="shared" si="150"/>
        <v>2024-Q1</v>
      </c>
      <c r="J818" t="s">
        <v>55</v>
      </c>
      <c r="K818" t="s">
        <v>6125</v>
      </c>
      <c r="L818" t="s">
        <v>6126</v>
      </c>
      <c r="M818" t="s">
        <v>24</v>
      </c>
      <c r="N818" t="s">
        <v>25</v>
      </c>
      <c r="O818" t="s">
        <v>190</v>
      </c>
      <c r="P818" t="s">
        <v>120</v>
      </c>
      <c r="Q818" t="s">
        <v>39</v>
      </c>
      <c r="R818" t="s">
        <v>6127</v>
      </c>
      <c r="S818" t="s">
        <v>51</v>
      </c>
      <c r="T818" t="s">
        <v>151</v>
      </c>
      <c r="U818" t="s">
        <v>6128</v>
      </c>
      <c r="V818" s="3">
        <v>1893.76</v>
      </c>
      <c r="W818" s="4">
        <v>7</v>
      </c>
      <c r="X818" s="2">
        <v>0.1</v>
      </c>
      <c r="Y818" s="3">
        <v>-366.26</v>
      </c>
      <c r="Z818" t="str">
        <f t="shared" si="146"/>
        <v>Normal</v>
      </c>
      <c r="AA818" t="str">
        <f t="shared" si="147"/>
        <v>Medium</v>
      </c>
      <c r="AB818" t="str">
        <f t="shared" si="151"/>
        <v>Loss</v>
      </c>
      <c r="AC818" s="3">
        <f t="shared" si="152"/>
        <v>-0.19340359918891517</v>
      </c>
      <c r="AD818" s="3">
        <f t="shared" si="153"/>
        <v>270.53714285714284</v>
      </c>
      <c r="AE818" s="3">
        <f t="shared" si="154"/>
        <v>-52.322857142857139</v>
      </c>
      <c r="AF818" t="str">
        <f t="shared" si="155"/>
        <v>Regular</v>
      </c>
    </row>
    <row r="819" spans="1:32" x14ac:dyDescent="0.25">
      <c r="A819" t="s">
        <v>77</v>
      </c>
      <c r="B819" s="1">
        <v>45320</v>
      </c>
      <c r="C819" s="1">
        <v>45329</v>
      </c>
      <c r="D819" s="4">
        <f t="shared" si="144"/>
        <v>9</v>
      </c>
      <c r="E819" s="4" t="str">
        <f>TEXT(Table1[[#This Row],[Order_Date]],"dddd")</f>
        <v>Monday</v>
      </c>
      <c r="F819" s="4">
        <f t="shared" si="145"/>
        <v>1</v>
      </c>
      <c r="G819" t="str">
        <f t="shared" si="148"/>
        <v>January</v>
      </c>
      <c r="H819">
        <f t="shared" si="149"/>
        <v>2024</v>
      </c>
      <c r="I819" t="str">
        <f t="shared" si="150"/>
        <v>2024-Q1</v>
      </c>
      <c r="J819" t="s">
        <v>55</v>
      </c>
      <c r="K819" t="s">
        <v>78</v>
      </c>
      <c r="L819" t="s">
        <v>79</v>
      </c>
      <c r="M819" t="s">
        <v>24</v>
      </c>
      <c r="N819" t="s">
        <v>25</v>
      </c>
      <c r="O819" t="s">
        <v>80</v>
      </c>
      <c r="P819" t="s">
        <v>49</v>
      </c>
      <c r="Q819" t="s">
        <v>66</v>
      </c>
      <c r="R819" t="s">
        <v>81</v>
      </c>
      <c r="S819" t="s">
        <v>30</v>
      </c>
      <c r="T819" t="s">
        <v>82</v>
      </c>
      <c r="U819" t="s">
        <v>83</v>
      </c>
      <c r="V819" s="3">
        <v>2572.16</v>
      </c>
      <c r="W819" s="4">
        <v>5</v>
      </c>
      <c r="X819" s="2">
        <v>0.2</v>
      </c>
      <c r="Y819" s="3">
        <v>540.27</v>
      </c>
      <c r="Z819" t="str">
        <f t="shared" si="146"/>
        <v>Normal</v>
      </c>
      <c r="AA819" t="str">
        <f t="shared" si="147"/>
        <v>High</v>
      </c>
      <c r="AB819" t="str">
        <f t="shared" si="151"/>
        <v>High Profit</v>
      </c>
      <c r="AC819" s="3">
        <f t="shared" si="152"/>
        <v>0.21004525379447625</v>
      </c>
      <c r="AD819" s="3">
        <f t="shared" si="153"/>
        <v>514.43200000000002</v>
      </c>
      <c r="AE819" s="3">
        <f t="shared" si="154"/>
        <v>108.054</v>
      </c>
      <c r="AF819" t="str">
        <f t="shared" si="155"/>
        <v>Regular</v>
      </c>
    </row>
    <row r="820" spans="1:32" x14ac:dyDescent="0.25">
      <c r="A820" t="s">
        <v>7300</v>
      </c>
      <c r="B820" s="1">
        <v>45322</v>
      </c>
      <c r="C820" s="1">
        <v>45331</v>
      </c>
      <c r="D820" s="4">
        <f t="shared" si="144"/>
        <v>9</v>
      </c>
      <c r="E820" s="4" t="str">
        <f>TEXT(Table1[[#This Row],[Order_Date]],"dddd")</f>
        <v>Wednesday</v>
      </c>
      <c r="F820" s="4">
        <f t="shared" si="145"/>
        <v>1</v>
      </c>
      <c r="G820" t="str">
        <f t="shared" si="148"/>
        <v>January</v>
      </c>
      <c r="H820">
        <f t="shared" si="149"/>
        <v>2024</v>
      </c>
      <c r="I820" t="str">
        <f t="shared" si="150"/>
        <v>2024-Q1</v>
      </c>
      <c r="J820" t="s">
        <v>44</v>
      </c>
      <c r="K820" t="s">
        <v>7301</v>
      </c>
      <c r="L820" t="s">
        <v>7302</v>
      </c>
      <c r="M820" t="s">
        <v>24</v>
      </c>
      <c r="N820" t="s">
        <v>25</v>
      </c>
      <c r="O820" t="s">
        <v>255</v>
      </c>
      <c r="P820" t="s">
        <v>143</v>
      </c>
      <c r="Q820" t="s">
        <v>28</v>
      </c>
      <c r="R820" t="s">
        <v>7303</v>
      </c>
      <c r="S820" t="s">
        <v>59</v>
      </c>
      <c r="T820" t="s">
        <v>60</v>
      </c>
      <c r="U820" t="s">
        <v>7304</v>
      </c>
      <c r="V820" s="3">
        <v>4797.33</v>
      </c>
      <c r="W820" s="4">
        <v>10</v>
      </c>
      <c r="X820" s="2">
        <v>0.1</v>
      </c>
      <c r="Y820" s="3">
        <v>-72.650000000000006</v>
      </c>
      <c r="Z820" t="str">
        <f t="shared" si="146"/>
        <v>Normal</v>
      </c>
      <c r="AA820" t="str">
        <f t="shared" si="147"/>
        <v>Medium</v>
      </c>
      <c r="AB820" t="str">
        <f t="shared" si="151"/>
        <v>Loss</v>
      </c>
      <c r="AC820" s="3">
        <f t="shared" si="152"/>
        <v>-1.514384042790469E-2</v>
      </c>
      <c r="AD820" s="3">
        <f t="shared" si="153"/>
        <v>479.733</v>
      </c>
      <c r="AE820" s="3">
        <f t="shared" si="154"/>
        <v>-7.2650000000000006</v>
      </c>
      <c r="AF820" t="str">
        <f t="shared" si="155"/>
        <v>Regular</v>
      </c>
    </row>
    <row r="821" spans="1:32" x14ac:dyDescent="0.25">
      <c r="A821" t="s">
        <v>7204</v>
      </c>
      <c r="B821" s="1">
        <v>45323</v>
      </c>
      <c r="C821" s="1">
        <v>45328</v>
      </c>
      <c r="D821" s="4">
        <f t="shared" si="144"/>
        <v>5</v>
      </c>
      <c r="E821" s="4" t="str">
        <f>TEXT(Table1[[#This Row],[Order_Date]],"dddd")</f>
        <v>Thursday</v>
      </c>
      <c r="F821" s="4">
        <f t="shared" si="145"/>
        <v>2</v>
      </c>
      <c r="G821" t="str">
        <f t="shared" si="148"/>
        <v>February</v>
      </c>
      <c r="H821">
        <f t="shared" si="149"/>
        <v>2024</v>
      </c>
      <c r="I821" t="str">
        <f t="shared" si="150"/>
        <v>2024-Q1</v>
      </c>
      <c r="J821" t="s">
        <v>21</v>
      </c>
      <c r="K821" t="s">
        <v>7205</v>
      </c>
      <c r="L821" t="s">
        <v>7206</v>
      </c>
      <c r="M821" t="s">
        <v>36</v>
      </c>
      <c r="N821" t="s">
        <v>25</v>
      </c>
      <c r="O821" t="s">
        <v>65</v>
      </c>
      <c r="P821" t="s">
        <v>27</v>
      </c>
      <c r="Q821" t="s">
        <v>28</v>
      </c>
      <c r="R821" t="s">
        <v>7207</v>
      </c>
      <c r="S821" t="s">
        <v>30</v>
      </c>
      <c r="T821" t="s">
        <v>68</v>
      </c>
      <c r="U821" t="s">
        <v>7208</v>
      </c>
      <c r="V821" s="3">
        <v>3492.14</v>
      </c>
      <c r="W821" s="4">
        <v>2</v>
      </c>
      <c r="X821" s="2">
        <v>0.3</v>
      </c>
      <c r="Y821" s="3">
        <v>93.66</v>
      </c>
      <c r="Z821" t="str">
        <f t="shared" si="146"/>
        <v>Normal</v>
      </c>
      <c r="AA821" t="str">
        <f t="shared" si="147"/>
        <v>High</v>
      </c>
      <c r="AB821" t="str">
        <f t="shared" si="151"/>
        <v>Low Profit</v>
      </c>
      <c r="AC821" s="3">
        <f t="shared" si="152"/>
        <v>2.6820230574948312E-2</v>
      </c>
      <c r="AD821" s="3">
        <f t="shared" si="153"/>
        <v>1746.07</v>
      </c>
      <c r="AE821" s="3">
        <f t="shared" si="154"/>
        <v>46.83</v>
      </c>
      <c r="AF821" t="str">
        <f t="shared" si="155"/>
        <v>Regular</v>
      </c>
    </row>
    <row r="822" spans="1:32" x14ac:dyDescent="0.25">
      <c r="A822" t="s">
        <v>4965</v>
      </c>
      <c r="B822" s="1">
        <v>45323</v>
      </c>
      <c r="C822" s="1">
        <v>45325</v>
      </c>
      <c r="D822" s="4">
        <f t="shared" si="144"/>
        <v>2</v>
      </c>
      <c r="E822" s="4" t="str">
        <f>TEXT(Table1[[#This Row],[Order_Date]],"dddd")</f>
        <v>Thursday</v>
      </c>
      <c r="F822" s="4">
        <f t="shared" si="145"/>
        <v>2</v>
      </c>
      <c r="G822" t="str">
        <f t="shared" si="148"/>
        <v>February</v>
      </c>
      <c r="H822">
        <f t="shared" si="149"/>
        <v>2024</v>
      </c>
      <c r="I822" t="str">
        <f t="shared" si="150"/>
        <v>2024-Q1</v>
      </c>
      <c r="J822" t="s">
        <v>44</v>
      </c>
      <c r="K822" t="s">
        <v>4966</v>
      </c>
      <c r="L822" t="s">
        <v>4967</v>
      </c>
      <c r="M822" t="s">
        <v>47</v>
      </c>
      <c r="N822" t="s">
        <v>25</v>
      </c>
      <c r="O822" t="s">
        <v>179</v>
      </c>
      <c r="P822" t="s">
        <v>27</v>
      </c>
      <c r="Q822" t="s">
        <v>28</v>
      </c>
      <c r="R822" t="s">
        <v>4968</v>
      </c>
      <c r="S822" t="s">
        <v>30</v>
      </c>
      <c r="T822" t="s">
        <v>31</v>
      </c>
      <c r="U822" t="s">
        <v>4969</v>
      </c>
      <c r="V822" s="3">
        <v>341.76</v>
      </c>
      <c r="W822" s="4">
        <v>10</v>
      </c>
      <c r="X822" s="2">
        <v>0.2</v>
      </c>
      <c r="Y822" s="3">
        <v>57.26</v>
      </c>
      <c r="Z822" t="str">
        <f t="shared" si="146"/>
        <v>Normal</v>
      </c>
      <c r="AA822" t="str">
        <f t="shared" si="147"/>
        <v>High</v>
      </c>
      <c r="AB822" t="str">
        <f t="shared" si="151"/>
        <v>Low Profit</v>
      </c>
      <c r="AC822" s="3">
        <f t="shared" si="152"/>
        <v>0.16754447565543071</v>
      </c>
      <c r="AD822" s="3">
        <f t="shared" si="153"/>
        <v>34.176000000000002</v>
      </c>
      <c r="AE822" s="3">
        <f t="shared" si="154"/>
        <v>5.726</v>
      </c>
      <c r="AF822" t="str">
        <f t="shared" si="155"/>
        <v>Regular</v>
      </c>
    </row>
    <row r="823" spans="1:32" x14ac:dyDescent="0.25">
      <c r="A823" t="s">
        <v>6836</v>
      </c>
      <c r="B823" s="1">
        <v>45324</v>
      </c>
      <c r="C823" s="1">
        <v>45328</v>
      </c>
      <c r="D823" s="4">
        <f t="shared" si="144"/>
        <v>4</v>
      </c>
      <c r="E823" s="4" t="str">
        <f>TEXT(Table1[[#This Row],[Order_Date]],"dddd")</f>
        <v>Friday</v>
      </c>
      <c r="F823" s="4">
        <f t="shared" si="145"/>
        <v>2</v>
      </c>
      <c r="G823" t="str">
        <f t="shared" si="148"/>
        <v>February</v>
      </c>
      <c r="H823">
        <f t="shared" si="149"/>
        <v>2024</v>
      </c>
      <c r="I823" t="str">
        <f t="shared" si="150"/>
        <v>2024-Q1</v>
      </c>
      <c r="J823" t="s">
        <v>104</v>
      </c>
      <c r="K823" t="s">
        <v>6837</v>
      </c>
      <c r="L823" t="s">
        <v>6838</v>
      </c>
      <c r="M823" t="s">
        <v>24</v>
      </c>
      <c r="N823" t="s">
        <v>25</v>
      </c>
      <c r="O823" t="s">
        <v>255</v>
      </c>
      <c r="P823" t="s">
        <v>143</v>
      </c>
      <c r="Q823" t="s">
        <v>39</v>
      </c>
      <c r="R823" t="s">
        <v>6839</v>
      </c>
      <c r="S823" t="s">
        <v>30</v>
      </c>
      <c r="T823" t="s">
        <v>68</v>
      </c>
      <c r="U823" t="s">
        <v>6840</v>
      </c>
      <c r="V823" s="3">
        <v>380.39</v>
      </c>
      <c r="W823" s="4">
        <v>4</v>
      </c>
      <c r="X823" s="2">
        <v>0.2</v>
      </c>
      <c r="Y823" s="3">
        <v>33.57</v>
      </c>
      <c r="Z823" t="str">
        <f t="shared" si="146"/>
        <v>Normal</v>
      </c>
      <c r="AA823" t="str">
        <f t="shared" si="147"/>
        <v>High</v>
      </c>
      <c r="AB823" t="str">
        <f t="shared" si="151"/>
        <v>Low Profit</v>
      </c>
      <c r="AC823" s="3">
        <f t="shared" si="152"/>
        <v>8.8251531323115751E-2</v>
      </c>
      <c r="AD823" s="3">
        <f t="shared" si="153"/>
        <v>95.097499999999997</v>
      </c>
      <c r="AE823" s="3">
        <f t="shared" si="154"/>
        <v>8.3925000000000001</v>
      </c>
      <c r="AF823" t="str">
        <f t="shared" si="155"/>
        <v>Regular</v>
      </c>
    </row>
    <row r="824" spans="1:32" x14ac:dyDescent="0.25">
      <c r="A824" t="s">
        <v>2588</v>
      </c>
      <c r="B824" s="1">
        <v>45324</v>
      </c>
      <c r="C824" s="1">
        <v>45325</v>
      </c>
      <c r="D824" s="4">
        <f t="shared" si="144"/>
        <v>1</v>
      </c>
      <c r="E824" s="4" t="str">
        <f>TEXT(Table1[[#This Row],[Order_Date]],"dddd")</f>
        <v>Friday</v>
      </c>
      <c r="F824" s="4">
        <f t="shared" si="145"/>
        <v>2</v>
      </c>
      <c r="G824" t="str">
        <f t="shared" si="148"/>
        <v>February</v>
      </c>
      <c r="H824">
        <f t="shared" si="149"/>
        <v>2024</v>
      </c>
      <c r="I824" t="str">
        <f t="shared" si="150"/>
        <v>2024-Q1</v>
      </c>
      <c r="J824" t="s">
        <v>55</v>
      </c>
      <c r="K824" t="s">
        <v>2589</v>
      </c>
      <c r="L824" t="s">
        <v>2590</v>
      </c>
      <c r="M824" t="s">
        <v>47</v>
      </c>
      <c r="N824" t="s">
        <v>25</v>
      </c>
      <c r="O824" t="s">
        <v>179</v>
      </c>
      <c r="P824" t="s">
        <v>27</v>
      </c>
      <c r="Q824" t="s">
        <v>28</v>
      </c>
      <c r="R824" t="s">
        <v>2591</v>
      </c>
      <c r="S824" t="s">
        <v>51</v>
      </c>
      <c r="T824" t="s">
        <v>52</v>
      </c>
      <c r="U824" t="s">
        <v>2592</v>
      </c>
      <c r="V824" s="3">
        <v>3018.03</v>
      </c>
      <c r="W824" s="4">
        <v>8</v>
      </c>
      <c r="X824" s="2">
        <v>0</v>
      </c>
      <c r="Y824" s="3">
        <v>334.79</v>
      </c>
      <c r="Z824" t="str">
        <f t="shared" si="146"/>
        <v>Normal</v>
      </c>
      <c r="AA824" t="str">
        <f t="shared" si="147"/>
        <v>Low</v>
      </c>
      <c r="AB824" t="str">
        <f t="shared" si="151"/>
        <v>Low Profit</v>
      </c>
      <c r="AC824" s="3">
        <f t="shared" si="152"/>
        <v>0.11092997750188037</v>
      </c>
      <c r="AD824" s="3">
        <f t="shared" si="153"/>
        <v>377.25375000000003</v>
      </c>
      <c r="AE824" s="3">
        <f t="shared" si="154"/>
        <v>41.848750000000003</v>
      </c>
      <c r="AF824" t="str">
        <f t="shared" si="155"/>
        <v>Regular</v>
      </c>
    </row>
    <row r="825" spans="1:32" x14ac:dyDescent="0.25">
      <c r="A825" t="s">
        <v>1409</v>
      </c>
      <c r="B825" s="1">
        <v>45324</v>
      </c>
      <c r="C825" s="1">
        <v>45331</v>
      </c>
      <c r="D825" s="4">
        <f t="shared" si="144"/>
        <v>7</v>
      </c>
      <c r="E825" s="4" t="str">
        <f>TEXT(Table1[[#This Row],[Order_Date]],"dddd")</f>
        <v>Friday</v>
      </c>
      <c r="F825" s="4">
        <f t="shared" si="145"/>
        <v>2</v>
      </c>
      <c r="G825" t="str">
        <f t="shared" si="148"/>
        <v>February</v>
      </c>
      <c r="H825">
        <f t="shared" si="149"/>
        <v>2024</v>
      </c>
      <c r="I825" t="str">
        <f t="shared" si="150"/>
        <v>2024-Q1</v>
      </c>
      <c r="J825" t="s">
        <v>104</v>
      </c>
      <c r="K825" t="s">
        <v>1410</v>
      </c>
      <c r="L825" t="s">
        <v>1411</v>
      </c>
      <c r="M825" t="s">
        <v>24</v>
      </c>
      <c r="N825" t="s">
        <v>25</v>
      </c>
      <c r="O825" t="s">
        <v>37</v>
      </c>
      <c r="P825" t="s">
        <v>38</v>
      </c>
      <c r="Q825" t="s">
        <v>39</v>
      </c>
      <c r="R825" t="s">
        <v>1412</v>
      </c>
      <c r="S825" t="s">
        <v>59</v>
      </c>
      <c r="T825" t="s">
        <v>60</v>
      </c>
      <c r="U825" t="s">
        <v>1413</v>
      </c>
      <c r="V825" s="3">
        <v>3230.21</v>
      </c>
      <c r="W825" s="4">
        <v>5</v>
      </c>
      <c r="X825" s="2">
        <v>0.4</v>
      </c>
      <c r="Y825" s="3">
        <v>89.59</v>
      </c>
      <c r="Z825" t="str">
        <f t="shared" si="146"/>
        <v>Normal</v>
      </c>
      <c r="AA825" t="str">
        <f t="shared" si="147"/>
        <v>High</v>
      </c>
      <c r="AB825" t="str">
        <f t="shared" si="151"/>
        <v>Low Profit</v>
      </c>
      <c r="AC825" s="3">
        <f t="shared" si="152"/>
        <v>2.7735038898399796E-2</v>
      </c>
      <c r="AD825" s="3">
        <f t="shared" si="153"/>
        <v>646.04200000000003</v>
      </c>
      <c r="AE825" s="3">
        <f t="shared" si="154"/>
        <v>17.917999999999999</v>
      </c>
      <c r="AF825" t="str">
        <f t="shared" si="155"/>
        <v>Regular</v>
      </c>
    </row>
    <row r="826" spans="1:32" x14ac:dyDescent="0.25">
      <c r="A826" t="s">
        <v>1698</v>
      </c>
      <c r="B826" s="1">
        <v>45326</v>
      </c>
      <c r="C826" s="1">
        <v>45329</v>
      </c>
      <c r="D826" s="4">
        <f t="shared" si="144"/>
        <v>3</v>
      </c>
      <c r="E826" s="4" t="str">
        <f>TEXT(Table1[[#This Row],[Order_Date]],"dddd")</f>
        <v>Sunday</v>
      </c>
      <c r="F826" s="4">
        <f t="shared" si="145"/>
        <v>2</v>
      </c>
      <c r="G826" t="str">
        <f t="shared" si="148"/>
        <v>February</v>
      </c>
      <c r="H826">
        <f t="shared" si="149"/>
        <v>2024</v>
      </c>
      <c r="I826" t="str">
        <f t="shared" si="150"/>
        <v>2024-Q1</v>
      </c>
      <c r="J826" t="s">
        <v>55</v>
      </c>
      <c r="K826" t="s">
        <v>1699</v>
      </c>
      <c r="L826" t="s">
        <v>1700</v>
      </c>
      <c r="M826" t="s">
        <v>47</v>
      </c>
      <c r="N826" t="s">
        <v>25</v>
      </c>
      <c r="O826" t="s">
        <v>156</v>
      </c>
      <c r="P826" t="s">
        <v>143</v>
      </c>
      <c r="Q826" t="s">
        <v>39</v>
      </c>
      <c r="R826" t="s">
        <v>1701</v>
      </c>
      <c r="S826" t="s">
        <v>30</v>
      </c>
      <c r="T826" t="s">
        <v>82</v>
      </c>
      <c r="U826" t="s">
        <v>1702</v>
      </c>
      <c r="V826" s="3">
        <v>4982.2299999999996</v>
      </c>
      <c r="W826" s="4">
        <v>8</v>
      </c>
      <c r="X826" s="2">
        <v>0.1</v>
      </c>
      <c r="Y826" s="3">
        <v>753.04</v>
      </c>
      <c r="Z826" t="str">
        <f t="shared" si="146"/>
        <v>Normal</v>
      </c>
      <c r="AA826" t="str">
        <f t="shared" si="147"/>
        <v>Medium</v>
      </c>
      <c r="AB826" t="str">
        <f t="shared" si="151"/>
        <v>High Profit</v>
      </c>
      <c r="AC826" s="3">
        <f t="shared" si="152"/>
        <v>0.15114516993394525</v>
      </c>
      <c r="AD826" s="3">
        <f t="shared" si="153"/>
        <v>622.77874999999995</v>
      </c>
      <c r="AE826" s="3">
        <f t="shared" si="154"/>
        <v>94.13</v>
      </c>
      <c r="AF826" t="str">
        <f t="shared" si="155"/>
        <v>Regular</v>
      </c>
    </row>
    <row r="827" spans="1:32" x14ac:dyDescent="0.25">
      <c r="A827" t="s">
        <v>6975</v>
      </c>
      <c r="B827" s="1">
        <v>45326</v>
      </c>
      <c r="C827" s="1">
        <v>45331</v>
      </c>
      <c r="D827" s="4">
        <f t="shared" si="144"/>
        <v>5</v>
      </c>
      <c r="E827" s="4" t="str">
        <f>TEXT(Table1[[#This Row],[Order_Date]],"dddd")</f>
        <v>Sunday</v>
      </c>
      <c r="F827" s="4">
        <f t="shared" si="145"/>
        <v>2</v>
      </c>
      <c r="G827" t="str">
        <f t="shared" si="148"/>
        <v>February</v>
      </c>
      <c r="H827">
        <f t="shared" si="149"/>
        <v>2024</v>
      </c>
      <c r="I827" t="str">
        <f t="shared" si="150"/>
        <v>2024-Q1</v>
      </c>
      <c r="J827" t="s">
        <v>55</v>
      </c>
      <c r="K827" t="s">
        <v>6976</v>
      </c>
      <c r="L827" t="s">
        <v>6977</v>
      </c>
      <c r="M827" t="s">
        <v>47</v>
      </c>
      <c r="N827" t="s">
        <v>25</v>
      </c>
      <c r="O827" t="s">
        <v>227</v>
      </c>
      <c r="P827" t="s">
        <v>49</v>
      </c>
      <c r="Q827" t="s">
        <v>66</v>
      </c>
      <c r="R827" t="s">
        <v>6978</v>
      </c>
      <c r="S827" t="s">
        <v>30</v>
      </c>
      <c r="T827" t="s">
        <v>68</v>
      </c>
      <c r="U827" t="s">
        <v>6979</v>
      </c>
      <c r="V827" s="3">
        <v>3042.95</v>
      </c>
      <c r="W827" s="4">
        <v>1</v>
      </c>
      <c r="X827" s="2">
        <v>0.3</v>
      </c>
      <c r="Y827" s="3">
        <v>683.94</v>
      </c>
      <c r="Z827" t="str">
        <f t="shared" si="146"/>
        <v>Normal</v>
      </c>
      <c r="AA827" t="str">
        <f t="shared" si="147"/>
        <v>High</v>
      </c>
      <c r="AB827" t="str">
        <f t="shared" si="151"/>
        <v>High Profit</v>
      </c>
      <c r="AC827" s="3">
        <f t="shared" si="152"/>
        <v>0.2247621551455003</v>
      </c>
      <c r="AD827" s="3">
        <f t="shared" si="153"/>
        <v>3042.95</v>
      </c>
      <c r="AE827" s="3">
        <f t="shared" si="154"/>
        <v>683.94</v>
      </c>
      <c r="AF827" t="str">
        <f t="shared" si="155"/>
        <v>Regular</v>
      </c>
    </row>
    <row r="828" spans="1:32" x14ac:dyDescent="0.25">
      <c r="A828" t="s">
        <v>2564</v>
      </c>
      <c r="B828" s="1">
        <v>45327</v>
      </c>
      <c r="C828" s="1">
        <v>45334</v>
      </c>
      <c r="D828" s="4">
        <f t="shared" si="144"/>
        <v>7</v>
      </c>
      <c r="E828" s="4" t="str">
        <f>TEXT(Table1[[#This Row],[Order_Date]],"dddd")</f>
        <v>Monday</v>
      </c>
      <c r="F828" s="4">
        <f t="shared" si="145"/>
        <v>2</v>
      </c>
      <c r="G828" t="str">
        <f t="shared" si="148"/>
        <v>February</v>
      </c>
      <c r="H828">
        <f t="shared" si="149"/>
        <v>2024</v>
      </c>
      <c r="I828" t="str">
        <f t="shared" si="150"/>
        <v>2024-Q1</v>
      </c>
      <c r="J828" t="s">
        <v>55</v>
      </c>
      <c r="K828" t="s">
        <v>2565</v>
      </c>
      <c r="L828" t="s">
        <v>2566</v>
      </c>
      <c r="M828" t="s">
        <v>36</v>
      </c>
      <c r="N828" t="s">
        <v>25</v>
      </c>
      <c r="O828" t="s">
        <v>26</v>
      </c>
      <c r="P828" t="s">
        <v>27</v>
      </c>
      <c r="Q828" t="s">
        <v>66</v>
      </c>
      <c r="R828" t="s">
        <v>2567</v>
      </c>
      <c r="S828" t="s">
        <v>51</v>
      </c>
      <c r="T828" t="s">
        <v>52</v>
      </c>
      <c r="U828" t="s">
        <v>562</v>
      </c>
      <c r="V828" s="3">
        <v>3264.66</v>
      </c>
      <c r="W828" s="4">
        <v>5</v>
      </c>
      <c r="X828" s="2">
        <v>0.4</v>
      </c>
      <c r="Y828" s="3">
        <v>19.78</v>
      </c>
      <c r="Z828" t="str">
        <f t="shared" si="146"/>
        <v>Normal</v>
      </c>
      <c r="AA828" t="str">
        <f t="shared" si="147"/>
        <v>High</v>
      </c>
      <c r="AB828" t="str">
        <f t="shared" si="151"/>
        <v>Low Profit</v>
      </c>
      <c r="AC828" s="3">
        <f t="shared" si="152"/>
        <v>6.0588238897771899E-3</v>
      </c>
      <c r="AD828" s="3">
        <f t="shared" si="153"/>
        <v>652.93200000000002</v>
      </c>
      <c r="AE828" s="3">
        <f t="shared" si="154"/>
        <v>3.9560000000000004</v>
      </c>
      <c r="AF828" t="str">
        <f t="shared" si="155"/>
        <v>Regular</v>
      </c>
    </row>
    <row r="829" spans="1:32" x14ac:dyDescent="0.25">
      <c r="A829" t="s">
        <v>1302</v>
      </c>
      <c r="B829" s="1">
        <v>45327</v>
      </c>
      <c r="C829" s="1">
        <v>45336</v>
      </c>
      <c r="D829" s="4">
        <f t="shared" si="144"/>
        <v>9</v>
      </c>
      <c r="E829" s="4" t="str">
        <f>TEXT(Table1[[#This Row],[Order_Date]],"dddd")</f>
        <v>Monday</v>
      </c>
      <c r="F829" s="4">
        <f t="shared" si="145"/>
        <v>2</v>
      </c>
      <c r="G829" t="str">
        <f t="shared" si="148"/>
        <v>February</v>
      </c>
      <c r="H829">
        <f t="shared" si="149"/>
        <v>2024</v>
      </c>
      <c r="I829" t="str">
        <f t="shared" si="150"/>
        <v>2024-Q1</v>
      </c>
      <c r="J829" t="s">
        <v>21</v>
      </c>
      <c r="K829" t="s">
        <v>1303</v>
      </c>
      <c r="L829" t="s">
        <v>1304</v>
      </c>
      <c r="M829" t="s">
        <v>24</v>
      </c>
      <c r="N829" t="s">
        <v>25</v>
      </c>
      <c r="O829" t="s">
        <v>156</v>
      </c>
      <c r="P829" t="s">
        <v>143</v>
      </c>
      <c r="Q829" t="s">
        <v>39</v>
      </c>
      <c r="R829" t="s">
        <v>1305</v>
      </c>
      <c r="S829" t="s">
        <v>30</v>
      </c>
      <c r="T829" t="s">
        <v>31</v>
      </c>
      <c r="U829" t="s">
        <v>1306</v>
      </c>
      <c r="V829" s="3">
        <v>3109.42</v>
      </c>
      <c r="W829" s="4">
        <v>7</v>
      </c>
      <c r="X829" s="2">
        <v>0.3</v>
      </c>
      <c r="Y829" s="3">
        <v>105.02</v>
      </c>
      <c r="Z829" t="str">
        <f t="shared" si="146"/>
        <v>Normal</v>
      </c>
      <c r="AA829" t="str">
        <f t="shared" si="147"/>
        <v>High</v>
      </c>
      <c r="AB829" t="str">
        <f t="shared" si="151"/>
        <v>Low Profit</v>
      </c>
      <c r="AC829" s="3">
        <f t="shared" si="152"/>
        <v>3.3774787580963653E-2</v>
      </c>
      <c r="AD829" s="3">
        <f t="shared" si="153"/>
        <v>444.20285714285717</v>
      </c>
      <c r="AE829" s="3">
        <f t="shared" si="154"/>
        <v>15.002857142857142</v>
      </c>
      <c r="AF829" t="str">
        <f t="shared" si="155"/>
        <v>Regular</v>
      </c>
    </row>
    <row r="830" spans="1:32" x14ac:dyDescent="0.25">
      <c r="A830" t="s">
        <v>2177</v>
      </c>
      <c r="B830" s="1">
        <v>45327</v>
      </c>
      <c r="C830" s="1">
        <v>45328</v>
      </c>
      <c r="D830" s="4">
        <f t="shared" si="144"/>
        <v>1</v>
      </c>
      <c r="E830" s="4" t="str">
        <f>TEXT(Table1[[#This Row],[Order_Date]],"dddd")</f>
        <v>Monday</v>
      </c>
      <c r="F830" s="4">
        <f t="shared" si="145"/>
        <v>2</v>
      </c>
      <c r="G830" t="str">
        <f t="shared" si="148"/>
        <v>February</v>
      </c>
      <c r="H830">
        <f t="shared" si="149"/>
        <v>2024</v>
      </c>
      <c r="I830" t="str">
        <f t="shared" si="150"/>
        <v>2024-Q1</v>
      </c>
      <c r="J830" t="s">
        <v>104</v>
      </c>
      <c r="K830" t="s">
        <v>2178</v>
      </c>
      <c r="L830" t="s">
        <v>2179</v>
      </c>
      <c r="M830" t="s">
        <v>24</v>
      </c>
      <c r="N830" t="s">
        <v>25</v>
      </c>
      <c r="O830" t="s">
        <v>156</v>
      </c>
      <c r="P830" t="s">
        <v>143</v>
      </c>
      <c r="Q830" t="s">
        <v>39</v>
      </c>
      <c r="R830" t="s">
        <v>2180</v>
      </c>
      <c r="S830" t="s">
        <v>30</v>
      </c>
      <c r="T830" t="s">
        <v>68</v>
      </c>
      <c r="U830" t="s">
        <v>2181</v>
      </c>
      <c r="V830" s="3">
        <v>1817.78</v>
      </c>
      <c r="W830" s="4">
        <v>9</v>
      </c>
      <c r="X830" s="2">
        <v>0</v>
      </c>
      <c r="Y830" s="3">
        <v>191.38</v>
      </c>
      <c r="Z830" t="str">
        <f t="shared" si="146"/>
        <v>Normal</v>
      </c>
      <c r="AA830" t="str">
        <f t="shared" si="147"/>
        <v>Low</v>
      </c>
      <c r="AB830" t="str">
        <f t="shared" si="151"/>
        <v>Low Profit</v>
      </c>
      <c r="AC830" s="3">
        <f t="shared" si="152"/>
        <v>0.10528226738109123</v>
      </c>
      <c r="AD830" s="3">
        <f t="shared" si="153"/>
        <v>201.97555555555556</v>
      </c>
      <c r="AE830" s="3">
        <f t="shared" si="154"/>
        <v>21.264444444444443</v>
      </c>
      <c r="AF830" t="str">
        <f t="shared" si="155"/>
        <v>Regular</v>
      </c>
    </row>
    <row r="831" spans="1:32" x14ac:dyDescent="0.25">
      <c r="A831" t="s">
        <v>6896</v>
      </c>
      <c r="B831" s="1">
        <v>45327</v>
      </c>
      <c r="C831" s="1">
        <v>45333</v>
      </c>
      <c r="D831" s="4">
        <f t="shared" si="144"/>
        <v>6</v>
      </c>
      <c r="E831" s="4" t="str">
        <f>TEXT(Table1[[#This Row],[Order_Date]],"dddd")</f>
        <v>Monday</v>
      </c>
      <c r="F831" s="4">
        <f t="shared" si="145"/>
        <v>2</v>
      </c>
      <c r="G831" t="str">
        <f t="shared" si="148"/>
        <v>February</v>
      </c>
      <c r="H831">
        <f t="shared" si="149"/>
        <v>2024</v>
      </c>
      <c r="I831" t="str">
        <f t="shared" si="150"/>
        <v>2024-Q1</v>
      </c>
      <c r="J831" t="s">
        <v>21</v>
      </c>
      <c r="K831" t="s">
        <v>6897</v>
      </c>
      <c r="L831" t="s">
        <v>6898</v>
      </c>
      <c r="M831" t="s">
        <v>24</v>
      </c>
      <c r="N831" t="s">
        <v>25</v>
      </c>
      <c r="O831" t="s">
        <v>142</v>
      </c>
      <c r="P831" t="s">
        <v>143</v>
      </c>
      <c r="Q831" t="s">
        <v>66</v>
      </c>
      <c r="R831" t="s">
        <v>6899</v>
      </c>
      <c r="S831" t="s">
        <v>30</v>
      </c>
      <c r="T831" t="s">
        <v>82</v>
      </c>
      <c r="U831" t="s">
        <v>6900</v>
      </c>
      <c r="V831" s="3">
        <v>3995.93</v>
      </c>
      <c r="W831" s="4">
        <v>5</v>
      </c>
      <c r="X831" s="2">
        <v>0</v>
      </c>
      <c r="Y831" s="3">
        <v>814.06</v>
      </c>
      <c r="Z831" t="str">
        <f t="shared" si="146"/>
        <v>Normal</v>
      </c>
      <c r="AA831" t="str">
        <f t="shared" si="147"/>
        <v>Low</v>
      </c>
      <c r="AB831" t="str">
        <f t="shared" si="151"/>
        <v>High Profit</v>
      </c>
      <c r="AC831" s="3">
        <f t="shared" si="152"/>
        <v>0.20372228742745743</v>
      </c>
      <c r="AD831" s="3">
        <f t="shared" si="153"/>
        <v>799.18599999999992</v>
      </c>
      <c r="AE831" s="3">
        <f t="shared" si="154"/>
        <v>162.81199999999998</v>
      </c>
      <c r="AF831" t="str">
        <f t="shared" si="155"/>
        <v>Regular</v>
      </c>
    </row>
    <row r="832" spans="1:32" x14ac:dyDescent="0.25">
      <c r="A832" t="s">
        <v>3485</v>
      </c>
      <c r="B832" s="1">
        <v>45327</v>
      </c>
      <c r="C832" s="1">
        <v>45333</v>
      </c>
      <c r="D832" s="4">
        <f t="shared" si="144"/>
        <v>6</v>
      </c>
      <c r="E832" s="4" t="str">
        <f>TEXT(Table1[[#This Row],[Order_Date]],"dddd")</f>
        <v>Monday</v>
      </c>
      <c r="F832" s="4">
        <f t="shared" si="145"/>
        <v>2</v>
      </c>
      <c r="G832" t="str">
        <f t="shared" si="148"/>
        <v>February</v>
      </c>
      <c r="H832">
        <f t="shared" si="149"/>
        <v>2024</v>
      </c>
      <c r="I832" t="str">
        <f t="shared" si="150"/>
        <v>2024-Q1</v>
      </c>
      <c r="J832" t="s">
        <v>55</v>
      </c>
      <c r="K832" t="s">
        <v>3486</v>
      </c>
      <c r="L832" t="s">
        <v>3487</v>
      </c>
      <c r="M832" t="s">
        <v>47</v>
      </c>
      <c r="N832" t="s">
        <v>25</v>
      </c>
      <c r="O832" t="s">
        <v>48</v>
      </c>
      <c r="P832" t="s">
        <v>49</v>
      </c>
      <c r="Q832" t="s">
        <v>39</v>
      </c>
      <c r="R832" t="s">
        <v>3488</v>
      </c>
      <c r="S832" t="s">
        <v>30</v>
      </c>
      <c r="T832" t="s">
        <v>31</v>
      </c>
      <c r="U832" t="s">
        <v>3489</v>
      </c>
      <c r="V832" s="3">
        <v>2074.36</v>
      </c>
      <c r="W832" s="4">
        <v>2</v>
      </c>
      <c r="X832" s="2">
        <v>0.1</v>
      </c>
      <c r="Y832" s="3">
        <v>456.08</v>
      </c>
      <c r="Z832" t="str">
        <f t="shared" si="146"/>
        <v>Normal</v>
      </c>
      <c r="AA832" t="str">
        <f t="shared" si="147"/>
        <v>Medium</v>
      </c>
      <c r="AB832" t="str">
        <f t="shared" si="151"/>
        <v>Low Profit</v>
      </c>
      <c r="AC832" s="3">
        <f t="shared" si="152"/>
        <v>0.21986540426926857</v>
      </c>
      <c r="AD832" s="3">
        <f t="shared" si="153"/>
        <v>1037.18</v>
      </c>
      <c r="AE832" s="3">
        <f t="shared" si="154"/>
        <v>228.04</v>
      </c>
      <c r="AF832" t="str">
        <f t="shared" si="155"/>
        <v>Regular</v>
      </c>
    </row>
    <row r="833" spans="1:32" x14ac:dyDescent="0.25">
      <c r="A833" t="s">
        <v>4490</v>
      </c>
      <c r="B833" s="1">
        <v>45328</v>
      </c>
      <c r="C833" s="1">
        <v>45332</v>
      </c>
      <c r="D833" s="4">
        <f t="shared" si="144"/>
        <v>4</v>
      </c>
      <c r="E833" s="4" t="str">
        <f>TEXT(Table1[[#This Row],[Order_Date]],"dddd")</f>
        <v>Tuesday</v>
      </c>
      <c r="F833" s="4">
        <f t="shared" si="145"/>
        <v>2</v>
      </c>
      <c r="G833" t="str">
        <f t="shared" si="148"/>
        <v>February</v>
      </c>
      <c r="H833">
        <f t="shared" si="149"/>
        <v>2024</v>
      </c>
      <c r="I833" t="str">
        <f t="shared" si="150"/>
        <v>2024-Q1</v>
      </c>
      <c r="J833" t="s">
        <v>55</v>
      </c>
      <c r="K833" t="s">
        <v>4491</v>
      </c>
      <c r="L833" t="s">
        <v>4492</v>
      </c>
      <c r="M833" t="s">
        <v>36</v>
      </c>
      <c r="N833" t="s">
        <v>25</v>
      </c>
      <c r="O833" t="s">
        <v>65</v>
      </c>
      <c r="P833" t="s">
        <v>27</v>
      </c>
      <c r="Q833" t="s">
        <v>87</v>
      </c>
      <c r="R833" t="s">
        <v>4493</v>
      </c>
      <c r="S833" t="s">
        <v>59</v>
      </c>
      <c r="T833" t="s">
        <v>303</v>
      </c>
      <c r="U833" t="s">
        <v>4494</v>
      </c>
      <c r="V833" s="3">
        <v>485.42</v>
      </c>
      <c r="W833" s="4">
        <v>10</v>
      </c>
      <c r="X833" s="2">
        <v>0</v>
      </c>
      <c r="Y833" s="3">
        <v>-56.81</v>
      </c>
      <c r="Z833" t="str">
        <f t="shared" si="146"/>
        <v>Normal</v>
      </c>
      <c r="AA833" t="str">
        <f t="shared" si="147"/>
        <v>Low</v>
      </c>
      <c r="AB833" t="str">
        <f t="shared" si="151"/>
        <v>Loss</v>
      </c>
      <c r="AC833" s="3">
        <f t="shared" si="152"/>
        <v>-0.11703267273701125</v>
      </c>
      <c r="AD833" s="3">
        <f t="shared" si="153"/>
        <v>48.542000000000002</v>
      </c>
      <c r="AE833" s="3">
        <f t="shared" si="154"/>
        <v>-5.681</v>
      </c>
      <c r="AF833" t="str">
        <f t="shared" si="155"/>
        <v>Regular</v>
      </c>
    </row>
    <row r="834" spans="1:32" x14ac:dyDescent="0.25">
      <c r="A834" t="s">
        <v>3846</v>
      </c>
      <c r="B834" s="1">
        <v>45328</v>
      </c>
      <c r="C834" s="1">
        <v>45332</v>
      </c>
      <c r="D834" s="4">
        <f t="shared" ref="D834:D897" si="156">C834-B834</f>
        <v>4</v>
      </c>
      <c r="E834" s="4" t="str">
        <f>TEXT(Table1[[#This Row],[Order_Date]],"dddd")</f>
        <v>Tuesday</v>
      </c>
      <c r="F834" s="4">
        <f t="shared" ref="F834:F897" si="157">MONTH(B834)</f>
        <v>2</v>
      </c>
      <c r="G834" t="str">
        <f t="shared" si="148"/>
        <v>February</v>
      </c>
      <c r="H834">
        <f t="shared" si="149"/>
        <v>2024</v>
      </c>
      <c r="I834" t="str">
        <f t="shared" si="150"/>
        <v>2024-Q1</v>
      </c>
      <c r="J834" t="s">
        <v>104</v>
      </c>
      <c r="K834" t="s">
        <v>3847</v>
      </c>
      <c r="L834" t="s">
        <v>3848</v>
      </c>
      <c r="M834" t="s">
        <v>36</v>
      </c>
      <c r="N834" t="s">
        <v>25</v>
      </c>
      <c r="O834" t="s">
        <v>119</v>
      </c>
      <c r="P834" t="s">
        <v>120</v>
      </c>
      <c r="Q834" t="s">
        <v>87</v>
      </c>
      <c r="R834" t="s">
        <v>3849</v>
      </c>
      <c r="S834" t="s">
        <v>51</v>
      </c>
      <c r="T834" t="s">
        <v>151</v>
      </c>
      <c r="U834" t="s">
        <v>3850</v>
      </c>
      <c r="V834" s="3">
        <v>84.4</v>
      </c>
      <c r="W834" s="4">
        <v>10</v>
      </c>
      <c r="X834" s="2">
        <v>0.3</v>
      </c>
      <c r="Y834" s="3">
        <v>-12.82</v>
      </c>
      <c r="Z834" t="str">
        <f t="shared" ref="Z834:Z897" si="158">IF(OR(Y834&lt;-800.884,Y834&gt;1030.126),"Outlier","Normal")</f>
        <v>Normal</v>
      </c>
      <c r="AA834" t="str">
        <f t="shared" ref="AA834:AA897" si="159">IF(X834&lt;10%,"Low",IF(X834&lt;0.2,"Medium","High"))</f>
        <v>High</v>
      </c>
      <c r="AB834" t="str">
        <f t="shared" si="151"/>
        <v>Loss</v>
      </c>
      <c r="AC834" s="3">
        <f t="shared" si="152"/>
        <v>-0.15189573459715638</v>
      </c>
      <c r="AD834" s="3">
        <f t="shared" si="153"/>
        <v>8.4400000000000013</v>
      </c>
      <c r="AE834" s="3">
        <f t="shared" si="154"/>
        <v>-1.282</v>
      </c>
      <c r="AF834" t="str">
        <f t="shared" si="155"/>
        <v>Regular</v>
      </c>
    </row>
    <row r="835" spans="1:32" x14ac:dyDescent="0.25">
      <c r="A835" t="s">
        <v>2583</v>
      </c>
      <c r="B835" s="1">
        <v>45329</v>
      </c>
      <c r="C835" s="1">
        <v>45339</v>
      </c>
      <c r="D835" s="4">
        <f t="shared" si="156"/>
        <v>10</v>
      </c>
      <c r="E835" s="4" t="str">
        <f>TEXT(Table1[[#This Row],[Order_Date]],"dddd")</f>
        <v>Wednesday</v>
      </c>
      <c r="F835" s="4">
        <f t="shared" si="157"/>
        <v>2</v>
      </c>
      <c r="G835" t="str">
        <f t="shared" ref="G835:G898" si="160">TEXT(B835,"mmmm")</f>
        <v>February</v>
      </c>
      <c r="H835">
        <f t="shared" ref="H835:H898" si="161">YEAR(B835)</f>
        <v>2024</v>
      </c>
      <c r="I835" t="str">
        <f t="shared" ref="I835:I898" si="162">H835 &amp; "-Q" &amp; INT((MONTH(B835)+2)/3)</f>
        <v>2024-Q1</v>
      </c>
      <c r="J835" t="s">
        <v>104</v>
      </c>
      <c r="K835" t="s">
        <v>2584</v>
      </c>
      <c r="L835" t="s">
        <v>2585</v>
      </c>
      <c r="M835" t="s">
        <v>24</v>
      </c>
      <c r="N835" t="s">
        <v>25</v>
      </c>
      <c r="O835" t="s">
        <v>26</v>
      </c>
      <c r="P835" t="s">
        <v>27</v>
      </c>
      <c r="Q835" t="s">
        <v>87</v>
      </c>
      <c r="R835" t="s">
        <v>2586</v>
      </c>
      <c r="S835" t="s">
        <v>51</v>
      </c>
      <c r="T835" t="s">
        <v>94</v>
      </c>
      <c r="U835" t="s">
        <v>2587</v>
      </c>
      <c r="V835" s="3">
        <v>2863.83</v>
      </c>
      <c r="W835" s="4">
        <v>8</v>
      </c>
      <c r="X835" s="2">
        <v>0</v>
      </c>
      <c r="Y835" s="3">
        <v>816.62</v>
      </c>
      <c r="Z835" t="str">
        <f t="shared" si="158"/>
        <v>Normal</v>
      </c>
      <c r="AA835" t="str">
        <f t="shared" si="159"/>
        <v>Low</v>
      </c>
      <c r="AB835" t="str">
        <f t="shared" ref="AB835:AB898" si="163">IF(Y835&lt;0, "Loss", IF(Y835&lt;500,"Low Profit", "High Profit"))</f>
        <v>High Profit</v>
      </c>
      <c r="AC835" s="3">
        <f t="shared" ref="AC835:AC898" si="164">Y835/V835</f>
        <v>0.28514960734401135</v>
      </c>
      <c r="AD835" s="3">
        <f t="shared" ref="AD835:AD898" si="165">V835/W835</f>
        <v>357.97874999999999</v>
      </c>
      <c r="AE835" s="3">
        <f t="shared" ref="AE835:AE898" si="166">Y835/W835</f>
        <v>102.0775</v>
      </c>
      <c r="AF835" t="str">
        <f t="shared" ref="AF835:AF898" si="167">IF(V835&gt;5000,"High value", "Regular")</f>
        <v>Regular</v>
      </c>
    </row>
    <row r="836" spans="1:32" x14ac:dyDescent="0.25">
      <c r="A836" t="s">
        <v>6372</v>
      </c>
      <c r="B836" s="1">
        <v>45329</v>
      </c>
      <c r="C836" s="1">
        <v>45336</v>
      </c>
      <c r="D836" s="4">
        <f t="shared" si="156"/>
        <v>7</v>
      </c>
      <c r="E836" s="4" t="str">
        <f>TEXT(Table1[[#This Row],[Order_Date]],"dddd")</f>
        <v>Wednesday</v>
      </c>
      <c r="F836" s="4">
        <f t="shared" si="157"/>
        <v>2</v>
      </c>
      <c r="G836" t="str">
        <f t="shared" si="160"/>
        <v>February</v>
      </c>
      <c r="H836">
        <f t="shared" si="161"/>
        <v>2024</v>
      </c>
      <c r="I836" t="str">
        <f t="shared" si="162"/>
        <v>2024-Q1</v>
      </c>
      <c r="J836" t="s">
        <v>104</v>
      </c>
      <c r="K836" t="s">
        <v>6373</v>
      </c>
      <c r="L836" t="s">
        <v>6374</v>
      </c>
      <c r="M836" t="s">
        <v>47</v>
      </c>
      <c r="N836" t="s">
        <v>25</v>
      </c>
      <c r="O836" t="s">
        <v>156</v>
      </c>
      <c r="P836" t="s">
        <v>143</v>
      </c>
      <c r="Q836" t="s">
        <v>66</v>
      </c>
      <c r="R836" t="s">
        <v>6375</v>
      </c>
      <c r="S836" t="s">
        <v>51</v>
      </c>
      <c r="T836" t="s">
        <v>127</v>
      </c>
      <c r="U836" t="s">
        <v>6376</v>
      </c>
      <c r="V836" s="3">
        <v>2822.37</v>
      </c>
      <c r="W836" s="4">
        <v>8</v>
      </c>
      <c r="X836" s="2">
        <v>0.3</v>
      </c>
      <c r="Y836" s="3">
        <v>-407.61</v>
      </c>
      <c r="Z836" t="str">
        <f t="shared" si="158"/>
        <v>Normal</v>
      </c>
      <c r="AA836" t="str">
        <f t="shared" si="159"/>
        <v>High</v>
      </c>
      <c r="AB836" t="str">
        <f t="shared" si="163"/>
        <v>Loss</v>
      </c>
      <c r="AC836" s="3">
        <f t="shared" si="164"/>
        <v>-0.14442117794619416</v>
      </c>
      <c r="AD836" s="3">
        <f t="shared" si="165"/>
        <v>352.79624999999999</v>
      </c>
      <c r="AE836" s="3">
        <f t="shared" si="166"/>
        <v>-50.951250000000002</v>
      </c>
      <c r="AF836" t="str">
        <f t="shared" si="167"/>
        <v>Regular</v>
      </c>
    </row>
    <row r="837" spans="1:32" x14ac:dyDescent="0.25">
      <c r="A837" t="s">
        <v>4530</v>
      </c>
      <c r="B837" s="1">
        <v>45330</v>
      </c>
      <c r="C837" s="1">
        <v>45338</v>
      </c>
      <c r="D837" s="4">
        <f t="shared" si="156"/>
        <v>8</v>
      </c>
      <c r="E837" s="4" t="str">
        <f>TEXT(Table1[[#This Row],[Order_Date]],"dddd")</f>
        <v>Thursday</v>
      </c>
      <c r="F837" s="4">
        <f t="shared" si="157"/>
        <v>2</v>
      </c>
      <c r="G837" t="str">
        <f t="shared" si="160"/>
        <v>February</v>
      </c>
      <c r="H837">
        <f t="shared" si="161"/>
        <v>2024</v>
      </c>
      <c r="I837" t="str">
        <f t="shared" si="162"/>
        <v>2024-Q1</v>
      </c>
      <c r="J837" t="s">
        <v>55</v>
      </c>
      <c r="K837" t="s">
        <v>4531</v>
      </c>
      <c r="L837" t="s">
        <v>4532</v>
      </c>
      <c r="M837" t="s">
        <v>24</v>
      </c>
      <c r="N837" t="s">
        <v>25</v>
      </c>
      <c r="O837" t="s">
        <v>179</v>
      </c>
      <c r="P837" t="s">
        <v>27</v>
      </c>
      <c r="Q837" t="s">
        <v>39</v>
      </c>
      <c r="R837" t="s">
        <v>4533</v>
      </c>
      <c r="S837" t="s">
        <v>51</v>
      </c>
      <c r="T837" t="s">
        <v>151</v>
      </c>
      <c r="U837" t="s">
        <v>4534</v>
      </c>
      <c r="V837" s="3">
        <v>4873.6400000000003</v>
      </c>
      <c r="W837" s="4">
        <v>5</v>
      </c>
      <c r="X837" s="2">
        <v>0.3</v>
      </c>
      <c r="Y837" s="3">
        <v>996.3</v>
      </c>
      <c r="Z837" t="str">
        <f t="shared" si="158"/>
        <v>Normal</v>
      </c>
      <c r="AA837" t="str">
        <f t="shared" si="159"/>
        <v>High</v>
      </c>
      <c r="AB837" t="str">
        <f t="shared" si="163"/>
        <v>High Profit</v>
      </c>
      <c r="AC837" s="3">
        <f t="shared" si="164"/>
        <v>0.20442626045419848</v>
      </c>
      <c r="AD837" s="3">
        <f t="shared" si="165"/>
        <v>974.72800000000007</v>
      </c>
      <c r="AE837" s="3">
        <f t="shared" si="166"/>
        <v>199.26</v>
      </c>
      <c r="AF837" t="str">
        <f t="shared" si="167"/>
        <v>Regular</v>
      </c>
    </row>
    <row r="838" spans="1:32" x14ac:dyDescent="0.25">
      <c r="A838" t="s">
        <v>2539</v>
      </c>
      <c r="B838" s="1">
        <v>45330</v>
      </c>
      <c r="C838" s="1">
        <v>45340</v>
      </c>
      <c r="D838" s="4">
        <f t="shared" si="156"/>
        <v>10</v>
      </c>
      <c r="E838" s="4" t="str">
        <f>TEXT(Table1[[#This Row],[Order_Date]],"dddd")</f>
        <v>Thursday</v>
      </c>
      <c r="F838" s="4">
        <f t="shared" si="157"/>
        <v>2</v>
      </c>
      <c r="G838" t="str">
        <f t="shared" si="160"/>
        <v>February</v>
      </c>
      <c r="H838">
        <f t="shared" si="161"/>
        <v>2024</v>
      </c>
      <c r="I838" t="str">
        <f t="shared" si="162"/>
        <v>2024-Q1</v>
      </c>
      <c r="J838" t="s">
        <v>21</v>
      </c>
      <c r="K838" t="s">
        <v>2540</v>
      </c>
      <c r="L838" t="s">
        <v>2541</v>
      </c>
      <c r="M838" t="s">
        <v>47</v>
      </c>
      <c r="N838" t="s">
        <v>25</v>
      </c>
      <c r="O838" t="s">
        <v>80</v>
      </c>
      <c r="P838" t="s">
        <v>49</v>
      </c>
      <c r="Q838" t="s">
        <v>66</v>
      </c>
      <c r="R838" t="s">
        <v>2542</v>
      </c>
      <c r="S838" t="s">
        <v>51</v>
      </c>
      <c r="T838" t="s">
        <v>151</v>
      </c>
      <c r="U838" t="s">
        <v>2543</v>
      </c>
      <c r="V838" s="3">
        <v>291.58</v>
      </c>
      <c r="W838" s="4">
        <v>7</v>
      </c>
      <c r="X838" s="2">
        <v>0.1</v>
      </c>
      <c r="Y838" s="3">
        <v>79.72</v>
      </c>
      <c r="Z838" t="str">
        <f t="shared" si="158"/>
        <v>Normal</v>
      </c>
      <c r="AA838" t="str">
        <f t="shared" si="159"/>
        <v>Medium</v>
      </c>
      <c r="AB838" t="str">
        <f t="shared" si="163"/>
        <v>Low Profit</v>
      </c>
      <c r="AC838" s="3">
        <f t="shared" si="164"/>
        <v>0.273406955209548</v>
      </c>
      <c r="AD838" s="3">
        <f t="shared" si="165"/>
        <v>41.654285714285713</v>
      </c>
      <c r="AE838" s="3">
        <f t="shared" si="166"/>
        <v>11.388571428571428</v>
      </c>
      <c r="AF838" t="str">
        <f t="shared" si="167"/>
        <v>Regular</v>
      </c>
    </row>
    <row r="839" spans="1:32" x14ac:dyDescent="0.25">
      <c r="A839" t="s">
        <v>6866</v>
      </c>
      <c r="B839" s="1">
        <v>45330</v>
      </c>
      <c r="C839" s="1">
        <v>45339</v>
      </c>
      <c r="D839" s="4">
        <f t="shared" si="156"/>
        <v>9</v>
      </c>
      <c r="E839" s="4" t="str">
        <f>TEXT(Table1[[#This Row],[Order_Date]],"dddd")</f>
        <v>Thursday</v>
      </c>
      <c r="F839" s="4">
        <f t="shared" si="157"/>
        <v>2</v>
      </c>
      <c r="G839" t="str">
        <f t="shared" si="160"/>
        <v>February</v>
      </c>
      <c r="H839">
        <f t="shared" si="161"/>
        <v>2024</v>
      </c>
      <c r="I839" t="str">
        <f t="shared" si="162"/>
        <v>2024-Q1</v>
      </c>
      <c r="J839" t="s">
        <v>21</v>
      </c>
      <c r="K839" t="s">
        <v>6867</v>
      </c>
      <c r="L839" t="s">
        <v>6868</v>
      </c>
      <c r="M839" t="s">
        <v>47</v>
      </c>
      <c r="N839" t="s">
        <v>25</v>
      </c>
      <c r="O839" t="s">
        <v>149</v>
      </c>
      <c r="P839" t="s">
        <v>113</v>
      </c>
      <c r="Q839" t="s">
        <v>39</v>
      </c>
      <c r="R839" t="s">
        <v>6869</v>
      </c>
      <c r="S839" t="s">
        <v>51</v>
      </c>
      <c r="T839" t="s">
        <v>108</v>
      </c>
      <c r="U839" t="s">
        <v>6870</v>
      </c>
      <c r="V839" s="3">
        <v>1109.99</v>
      </c>
      <c r="W839" s="4">
        <v>10</v>
      </c>
      <c r="X839" s="2">
        <v>0.4</v>
      </c>
      <c r="Y839" s="3">
        <v>285.57</v>
      </c>
      <c r="Z839" t="str">
        <f t="shared" si="158"/>
        <v>Normal</v>
      </c>
      <c r="AA839" t="str">
        <f t="shared" si="159"/>
        <v>High</v>
      </c>
      <c r="AB839" t="str">
        <f t="shared" si="163"/>
        <v>Low Profit</v>
      </c>
      <c r="AC839" s="3">
        <f t="shared" si="164"/>
        <v>0.25727258804133368</v>
      </c>
      <c r="AD839" s="3">
        <f t="shared" si="165"/>
        <v>110.999</v>
      </c>
      <c r="AE839" s="3">
        <f t="shared" si="166"/>
        <v>28.556999999999999</v>
      </c>
      <c r="AF839" t="str">
        <f t="shared" si="167"/>
        <v>Regular</v>
      </c>
    </row>
    <row r="840" spans="1:32" x14ac:dyDescent="0.25">
      <c r="A840" t="s">
        <v>5955</v>
      </c>
      <c r="B840" s="1">
        <v>45331</v>
      </c>
      <c r="C840" s="1">
        <v>45332</v>
      </c>
      <c r="D840" s="4">
        <f t="shared" si="156"/>
        <v>1</v>
      </c>
      <c r="E840" s="4" t="str">
        <f>TEXT(Table1[[#This Row],[Order_Date]],"dddd")</f>
        <v>Friday</v>
      </c>
      <c r="F840" s="4">
        <f t="shared" si="157"/>
        <v>2</v>
      </c>
      <c r="G840" t="str">
        <f t="shared" si="160"/>
        <v>February</v>
      </c>
      <c r="H840">
        <f t="shared" si="161"/>
        <v>2024</v>
      </c>
      <c r="I840" t="str">
        <f t="shared" si="162"/>
        <v>2024-Q1</v>
      </c>
      <c r="J840" t="s">
        <v>55</v>
      </c>
      <c r="K840" t="s">
        <v>5956</v>
      </c>
      <c r="L840" t="s">
        <v>5957</v>
      </c>
      <c r="M840" t="s">
        <v>36</v>
      </c>
      <c r="N840" t="s">
        <v>25</v>
      </c>
      <c r="O840" t="s">
        <v>142</v>
      </c>
      <c r="P840" t="s">
        <v>143</v>
      </c>
      <c r="Q840" t="s">
        <v>39</v>
      </c>
      <c r="R840" t="s">
        <v>5958</v>
      </c>
      <c r="S840" t="s">
        <v>30</v>
      </c>
      <c r="T840" t="s">
        <v>31</v>
      </c>
      <c r="U840" t="s">
        <v>5959</v>
      </c>
      <c r="V840" s="3">
        <v>945.28</v>
      </c>
      <c r="W840" s="4">
        <v>1</v>
      </c>
      <c r="X840" s="2">
        <v>0.3</v>
      </c>
      <c r="Y840" s="3">
        <v>66</v>
      </c>
      <c r="Z840" t="str">
        <f t="shared" si="158"/>
        <v>Normal</v>
      </c>
      <c r="AA840" t="str">
        <f t="shared" si="159"/>
        <v>High</v>
      </c>
      <c r="AB840" t="str">
        <f t="shared" si="163"/>
        <v>Low Profit</v>
      </c>
      <c r="AC840" s="3">
        <f t="shared" si="164"/>
        <v>6.9820582261340552E-2</v>
      </c>
      <c r="AD840" s="3">
        <f t="shared" si="165"/>
        <v>945.28</v>
      </c>
      <c r="AE840" s="3">
        <f t="shared" si="166"/>
        <v>66</v>
      </c>
      <c r="AF840" t="str">
        <f t="shared" si="167"/>
        <v>Regular</v>
      </c>
    </row>
    <row r="841" spans="1:32" x14ac:dyDescent="0.25">
      <c r="A841" t="s">
        <v>4052</v>
      </c>
      <c r="B841" s="1">
        <v>45331</v>
      </c>
      <c r="C841" s="1">
        <v>45334</v>
      </c>
      <c r="D841" s="4">
        <f t="shared" si="156"/>
        <v>3</v>
      </c>
      <c r="E841" s="4" t="str">
        <f>TEXT(Table1[[#This Row],[Order_Date]],"dddd")</f>
        <v>Friday</v>
      </c>
      <c r="F841" s="4">
        <f t="shared" si="157"/>
        <v>2</v>
      </c>
      <c r="G841" t="str">
        <f t="shared" si="160"/>
        <v>February</v>
      </c>
      <c r="H841">
        <f t="shared" si="161"/>
        <v>2024</v>
      </c>
      <c r="I841" t="str">
        <f t="shared" si="162"/>
        <v>2024-Q1</v>
      </c>
      <c r="J841" t="s">
        <v>21</v>
      </c>
      <c r="K841" t="s">
        <v>4053</v>
      </c>
      <c r="L841" t="s">
        <v>4054</v>
      </c>
      <c r="M841" t="s">
        <v>47</v>
      </c>
      <c r="N841" t="s">
        <v>25</v>
      </c>
      <c r="O841" t="s">
        <v>382</v>
      </c>
      <c r="P841" t="s">
        <v>38</v>
      </c>
      <c r="Q841" t="s">
        <v>28</v>
      </c>
      <c r="R841" t="s">
        <v>4055</v>
      </c>
      <c r="S841" t="s">
        <v>59</v>
      </c>
      <c r="T841" t="s">
        <v>101</v>
      </c>
      <c r="U841" t="s">
        <v>4056</v>
      </c>
      <c r="V841" s="3">
        <v>2979.07</v>
      </c>
      <c r="W841" s="4">
        <v>8</v>
      </c>
      <c r="X841" s="2">
        <v>0.2</v>
      </c>
      <c r="Y841" s="3">
        <v>645.58000000000004</v>
      </c>
      <c r="Z841" t="str">
        <f t="shared" si="158"/>
        <v>Normal</v>
      </c>
      <c r="AA841" t="str">
        <f t="shared" si="159"/>
        <v>High</v>
      </c>
      <c r="AB841" t="str">
        <f t="shared" si="163"/>
        <v>High Profit</v>
      </c>
      <c r="AC841" s="3">
        <f t="shared" si="164"/>
        <v>0.21670521337195836</v>
      </c>
      <c r="AD841" s="3">
        <f t="shared" si="165"/>
        <v>372.38375000000002</v>
      </c>
      <c r="AE841" s="3">
        <f t="shared" si="166"/>
        <v>80.697500000000005</v>
      </c>
      <c r="AF841" t="str">
        <f t="shared" si="167"/>
        <v>Regular</v>
      </c>
    </row>
    <row r="842" spans="1:32" x14ac:dyDescent="0.25">
      <c r="A842" t="s">
        <v>3332</v>
      </c>
      <c r="B842" s="1">
        <v>45332</v>
      </c>
      <c r="C842" s="1">
        <v>45335</v>
      </c>
      <c r="D842" s="4">
        <f t="shared" si="156"/>
        <v>3</v>
      </c>
      <c r="E842" s="4" t="str">
        <f>TEXT(Table1[[#This Row],[Order_Date]],"dddd")</f>
        <v>Saturday</v>
      </c>
      <c r="F842" s="4">
        <f t="shared" si="157"/>
        <v>2</v>
      </c>
      <c r="G842" t="str">
        <f t="shared" si="160"/>
        <v>February</v>
      </c>
      <c r="H842">
        <f t="shared" si="161"/>
        <v>2024</v>
      </c>
      <c r="I842" t="str">
        <f t="shared" si="162"/>
        <v>2024-Q1</v>
      </c>
      <c r="J842" t="s">
        <v>55</v>
      </c>
      <c r="K842" t="s">
        <v>3333</v>
      </c>
      <c r="L842" t="s">
        <v>3334</v>
      </c>
      <c r="M842" t="s">
        <v>24</v>
      </c>
      <c r="N842" t="s">
        <v>25</v>
      </c>
      <c r="O842" t="s">
        <v>233</v>
      </c>
      <c r="P842" t="s">
        <v>163</v>
      </c>
      <c r="Q842" t="s">
        <v>87</v>
      </c>
      <c r="R842" t="s">
        <v>3335</v>
      </c>
      <c r="S842" t="s">
        <v>51</v>
      </c>
      <c r="T842" t="s">
        <v>127</v>
      </c>
      <c r="U842" t="s">
        <v>3336</v>
      </c>
      <c r="V842" s="3">
        <v>619.55999999999995</v>
      </c>
      <c r="W842" s="4">
        <v>8</v>
      </c>
      <c r="X842" s="2">
        <v>0.3</v>
      </c>
      <c r="Y842" s="3">
        <v>-56.11</v>
      </c>
      <c r="Z842" t="str">
        <f t="shared" si="158"/>
        <v>Normal</v>
      </c>
      <c r="AA842" t="str">
        <f t="shared" si="159"/>
        <v>High</v>
      </c>
      <c r="AB842" t="str">
        <f t="shared" si="163"/>
        <v>Loss</v>
      </c>
      <c r="AC842" s="3">
        <f t="shared" si="164"/>
        <v>-9.056427141842599E-2</v>
      </c>
      <c r="AD842" s="3">
        <f t="shared" si="165"/>
        <v>77.444999999999993</v>
      </c>
      <c r="AE842" s="3">
        <f t="shared" si="166"/>
        <v>-7.0137499999999999</v>
      </c>
      <c r="AF842" t="str">
        <f t="shared" si="167"/>
        <v>Regular</v>
      </c>
    </row>
    <row r="843" spans="1:32" x14ac:dyDescent="0.25">
      <c r="A843" t="s">
        <v>4844</v>
      </c>
      <c r="B843" s="1">
        <v>45333</v>
      </c>
      <c r="C843" s="1">
        <v>45341</v>
      </c>
      <c r="D843" s="4">
        <f t="shared" si="156"/>
        <v>8</v>
      </c>
      <c r="E843" s="4" t="str">
        <f>TEXT(Table1[[#This Row],[Order_Date]],"dddd")</f>
        <v>Sunday</v>
      </c>
      <c r="F843" s="4">
        <f t="shared" si="157"/>
        <v>2</v>
      </c>
      <c r="G843" t="str">
        <f t="shared" si="160"/>
        <v>February</v>
      </c>
      <c r="H843">
        <f t="shared" si="161"/>
        <v>2024</v>
      </c>
      <c r="I843" t="str">
        <f t="shared" si="162"/>
        <v>2024-Q1</v>
      </c>
      <c r="J843" t="s">
        <v>21</v>
      </c>
      <c r="K843" t="s">
        <v>4845</v>
      </c>
      <c r="L843" t="s">
        <v>4846</v>
      </c>
      <c r="M843" t="s">
        <v>36</v>
      </c>
      <c r="N843" t="s">
        <v>25</v>
      </c>
      <c r="O843" t="s">
        <v>227</v>
      </c>
      <c r="P843" t="s">
        <v>49</v>
      </c>
      <c r="Q843" t="s">
        <v>66</v>
      </c>
      <c r="R843" t="s">
        <v>4847</v>
      </c>
      <c r="S843" t="s">
        <v>59</v>
      </c>
      <c r="T843" t="s">
        <v>303</v>
      </c>
      <c r="U843" t="s">
        <v>4848</v>
      </c>
      <c r="V843" s="3">
        <v>875.06</v>
      </c>
      <c r="W843" s="4">
        <v>6</v>
      </c>
      <c r="X843" s="2">
        <v>0</v>
      </c>
      <c r="Y843" s="3">
        <v>61.5</v>
      </c>
      <c r="Z843" t="str">
        <f t="shared" si="158"/>
        <v>Normal</v>
      </c>
      <c r="AA843" t="str">
        <f t="shared" si="159"/>
        <v>Low</v>
      </c>
      <c r="AB843" t="str">
        <f t="shared" si="163"/>
        <v>Low Profit</v>
      </c>
      <c r="AC843" s="3">
        <f t="shared" si="164"/>
        <v>7.0280895024341192E-2</v>
      </c>
      <c r="AD843" s="3">
        <f t="shared" si="165"/>
        <v>145.84333333333333</v>
      </c>
      <c r="AE843" s="3">
        <f t="shared" si="166"/>
        <v>10.25</v>
      </c>
      <c r="AF843" t="str">
        <f t="shared" si="167"/>
        <v>Regular</v>
      </c>
    </row>
    <row r="844" spans="1:32" x14ac:dyDescent="0.25">
      <c r="A844" t="s">
        <v>6076</v>
      </c>
      <c r="B844" s="1">
        <v>45333</v>
      </c>
      <c r="C844" s="1">
        <v>45340</v>
      </c>
      <c r="D844" s="4">
        <f t="shared" si="156"/>
        <v>7</v>
      </c>
      <c r="E844" s="4" t="str">
        <f>TEXT(Table1[[#This Row],[Order_Date]],"dddd")</f>
        <v>Sunday</v>
      </c>
      <c r="F844" s="4">
        <f t="shared" si="157"/>
        <v>2</v>
      </c>
      <c r="G844" t="str">
        <f t="shared" si="160"/>
        <v>February</v>
      </c>
      <c r="H844">
        <f t="shared" si="161"/>
        <v>2024</v>
      </c>
      <c r="I844" t="str">
        <f t="shared" si="162"/>
        <v>2024-Q1</v>
      </c>
      <c r="J844" t="s">
        <v>21</v>
      </c>
      <c r="K844" t="s">
        <v>6077</v>
      </c>
      <c r="L844" t="s">
        <v>6078</v>
      </c>
      <c r="M844" t="s">
        <v>24</v>
      </c>
      <c r="N844" t="s">
        <v>25</v>
      </c>
      <c r="O844" t="s">
        <v>382</v>
      </c>
      <c r="P844" t="s">
        <v>38</v>
      </c>
      <c r="Q844" t="s">
        <v>66</v>
      </c>
      <c r="R844" t="s">
        <v>6079</v>
      </c>
      <c r="S844" t="s">
        <v>59</v>
      </c>
      <c r="T844" t="s">
        <v>303</v>
      </c>
      <c r="U844" t="s">
        <v>6080</v>
      </c>
      <c r="V844" s="3">
        <v>1672.58</v>
      </c>
      <c r="W844" s="4">
        <v>8</v>
      </c>
      <c r="X844" s="2">
        <v>0.2</v>
      </c>
      <c r="Y844" s="3">
        <v>-35.17</v>
      </c>
      <c r="Z844" t="str">
        <f t="shared" si="158"/>
        <v>Normal</v>
      </c>
      <c r="AA844" t="str">
        <f t="shared" si="159"/>
        <v>High</v>
      </c>
      <c r="AB844" t="str">
        <f t="shared" si="163"/>
        <v>Loss</v>
      </c>
      <c r="AC844" s="3">
        <f t="shared" si="164"/>
        <v>-2.1027394803238113E-2</v>
      </c>
      <c r="AD844" s="3">
        <f t="shared" si="165"/>
        <v>209.07249999999999</v>
      </c>
      <c r="AE844" s="3">
        <f t="shared" si="166"/>
        <v>-4.3962500000000002</v>
      </c>
      <c r="AF844" t="str">
        <f t="shared" si="167"/>
        <v>Regular</v>
      </c>
    </row>
    <row r="845" spans="1:32" x14ac:dyDescent="0.25">
      <c r="A845" t="s">
        <v>1966</v>
      </c>
      <c r="B845" s="1">
        <v>45335</v>
      </c>
      <c r="C845" s="1">
        <v>45344</v>
      </c>
      <c r="D845" s="4">
        <f t="shared" si="156"/>
        <v>9</v>
      </c>
      <c r="E845" s="4" t="str">
        <f>TEXT(Table1[[#This Row],[Order_Date]],"dddd")</f>
        <v>Tuesday</v>
      </c>
      <c r="F845" s="4">
        <f t="shared" si="157"/>
        <v>2</v>
      </c>
      <c r="G845" t="str">
        <f t="shared" si="160"/>
        <v>February</v>
      </c>
      <c r="H845">
        <f t="shared" si="161"/>
        <v>2024</v>
      </c>
      <c r="I845" t="str">
        <f t="shared" si="162"/>
        <v>2024-Q1</v>
      </c>
      <c r="J845" t="s">
        <v>104</v>
      </c>
      <c r="K845" t="s">
        <v>1967</v>
      </c>
      <c r="L845" t="s">
        <v>1968</v>
      </c>
      <c r="M845" t="s">
        <v>36</v>
      </c>
      <c r="N845" t="s">
        <v>25</v>
      </c>
      <c r="O845" t="s">
        <v>201</v>
      </c>
      <c r="P845" t="s">
        <v>113</v>
      </c>
      <c r="Q845" t="s">
        <v>39</v>
      </c>
      <c r="R845" t="s">
        <v>1969</v>
      </c>
      <c r="S845" t="s">
        <v>51</v>
      </c>
      <c r="T845" t="s">
        <v>52</v>
      </c>
      <c r="U845" t="s">
        <v>1970</v>
      </c>
      <c r="V845" s="3">
        <v>2406.2399999999998</v>
      </c>
      <c r="W845" s="4">
        <v>9</v>
      </c>
      <c r="X845" s="2">
        <v>0.1</v>
      </c>
      <c r="Y845" s="3">
        <v>10.36</v>
      </c>
      <c r="Z845" t="str">
        <f t="shared" si="158"/>
        <v>Normal</v>
      </c>
      <c r="AA845" t="str">
        <f t="shared" si="159"/>
        <v>Medium</v>
      </c>
      <c r="AB845" t="str">
        <f t="shared" si="163"/>
        <v>Low Profit</v>
      </c>
      <c r="AC845" s="3">
        <f t="shared" si="164"/>
        <v>4.3054724383270165E-3</v>
      </c>
      <c r="AD845" s="3">
        <f t="shared" si="165"/>
        <v>267.35999999999996</v>
      </c>
      <c r="AE845" s="3">
        <f t="shared" si="166"/>
        <v>1.151111111111111</v>
      </c>
      <c r="AF845" t="str">
        <f t="shared" si="167"/>
        <v>Regular</v>
      </c>
    </row>
    <row r="846" spans="1:32" x14ac:dyDescent="0.25">
      <c r="A846" t="s">
        <v>6606</v>
      </c>
      <c r="B846" s="1">
        <v>45335</v>
      </c>
      <c r="C846" s="1">
        <v>45343</v>
      </c>
      <c r="D846" s="4">
        <f t="shared" si="156"/>
        <v>8</v>
      </c>
      <c r="E846" s="4" t="str">
        <f>TEXT(Table1[[#This Row],[Order_Date]],"dddd")</f>
        <v>Tuesday</v>
      </c>
      <c r="F846" s="4">
        <f t="shared" si="157"/>
        <v>2</v>
      </c>
      <c r="G846" t="str">
        <f t="shared" si="160"/>
        <v>February</v>
      </c>
      <c r="H846">
        <f t="shared" si="161"/>
        <v>2024</v>
      </c>
      <c r="I846" t="str">
        <f t="shared" si="162"/>
        <v>2024-Q1</v>
      </c>
      <c r="J846" t="s">
        <v>104</v>
      </c>
      <c r="K846" t="s">
        <v>6607</v>
      </c>
      <c r="L846" t="s">
        <v>6608</v>
      </c>
      <c r="M846" t="s">
        <v>24</v>
      </c>
      <c r="N846" t="s">
        <v>25</v>
      </c>
      <c r="O846" t="s">
        <v>119</v>
      </c>
      <c r="P846" t="s">
        <v>120</v>
      </c>
      <c r="Q846" t="s">
        <v>87</v>
      </c>
      <c r="R846" t="s">
        <v>6609</v>
      </c>
      <c r="S846" t="s">
        <v>30</v>
      </c>
      <c r="T846" t="s">
        <v>41</v>
      </c>
      <c r="U846" t="s">
        <v>6610</v>
      </c>
      <c r="V846" s="3">
        <v>140.22999999999999</v>
      </c>
      <c r="W846" s="4">
        <v>4</v>
      </c>
      <c r="X846" s="2">
        <v>0.3</v>
      </c>
      <c r="Y846" s="3">
        <v>39.24</v>
      </c>
      <c r="Z846" t="str">
        <f t="shared" si="158"/>
        <v>Normal</v>
      </c>
      <c r="AA846" t="str">
        <f t="shared" si="159"/>
        <v>High</v>
      </c>
      <c r="AB846" t="str">
        <f t="shared" si="163"/>
        <v>Low Profit</v>
      </c>
      <c r="AC846" s="3">
        <f t="shared" si="164"/>
        <v>0.27982600014262288</v>
      </c>
      <c r="AD846" s="3">
        <f t="shared" si="165"/>
        <v>35.057499999999997</v>
      </c>
      <c r="AE846" s="3">
        <f t="shared" si="166"/>
        <v>9.81</v>
      </c>
      <c r="AF846" t="str">
        <f t="shared" si="167"/>
        <v>Regular</v>
      </c>
    </row>
    <row r="847" spans="1:32" x14ac:dyDescent="0.25">
      <c r="A847" t="s">
        <v>5464</v>
      </c>
      <c r="B847" s="1">
        <v>45335</v>
      </c>
      <c r="C847" s="1">
        <v>45339</v>
      </c>
      <c r="D847" s="4">
        <f t="shared" si="156"/>
        <v>4</v>
      </c>
      <c r="E847" s="4" t="str">
        <f>TEXT(Table1[[#This Row],[Order_Date]],"dddd")</f>
        <v>Tuesday</v>
      </c>
      <c r="F847" s="4">
        <f t="shared" si="157"/>
        <v>2</v>
      </c>
      <c r="G847" t="str">
        <f t="shared" si="160"/>
        <v>February</v>
      </c>
      <c r="H847">
        <f t="shared" si="161"/>
        <v>2024</v>
      </c>
      <c r="I847" t="str">
        <f t="shared" si="162"/>
        <v>2024-Q1</v>
      </c>
      <c r="J847" t="s">
        <v>104</v>
      </c>
      <c r="K847" t="s">
        <v>5465</v>
      </c>
      <c r="L847" t="s">
        <v>5466</v>
      </c>
      <c r="M847" t="s">
        <v>36</v>
      </c>
      <c r="N847" t="s">
        <v>25</v>
      </c>
      <c r="O847" t="s">
        <v>99</v>
      </c>
      <c r="P847" t="s">
        <v>74</v>
      </c>
      <c r="Q847" t="s">
        <v>28</v>
      </c>
      <c r="R847" t="s">
        <v>5467</v>
      </c>
      <c r="S847" t="s">
        <v>30</v>
      </c>
      <c r="T847" t="s">
        <v>31</v>
      </c>
      <c r="U847" t="s">
        <v>5468</v>
      </c>
      <c r="V847" s="3">
        <v>1227.74</v>
      </c>
      <c r="W847" s="4">
        <v>8</v>
      </c>
      <c r="X847" s="2">
        <v>0.4</v>
      </c>
      <c r="Y847" s="3">
        <v>130.69999999999999</v>
      </c>
      <c r="Z847" t="str">
        <f t="shared" si="158"/>
        <v>Normal</v>
      </c>
      <c r="AA847" t="str">
        <f t="shared" si="159"/>
        <v>High</v>
      </c>
      <c r="AB847" t="str">
        <f t="shared" si="163"/>
        <v>Low Profit</v>
      </c>
      <c r="AC847" s="3">
        <f t="shared" si="164"/>
        <v>0.10645576424975971</v>
      </c>
      <c r="AD847" s="3">
        <f t="shared" si="165"/>
        <v>153.4675</v>
      </c>
      <c r="AE847" s="3">
        <f t="shared" si="166"/>
        <v>16.337499999999999</v>
      </c>
      <c r="AF847" t="str">
        <f t="shared" si="167"/>
        <v>Regular</v>
      </c>
    </row>
    <row r="848" spans="1:32" x14ac:dyDescent="0.25">
      <c r="A848" t="s">
        <v>2138</v>
      </c>
      <c r="B848" s="1">
        <v>45335</v>
      </c>
      <c r="C848" s="1">
        <v>45343</v>
      </c>
      <c r="D848" s="4">
        <f t="shared" si="156"/>
        <v>8</v>
      </c>
      <c r="E848" s="4" t="str">
        <f>TEXT(Table1[[#This Row],[Order_Date]],"dddd")</f>
        <v>Tuesday</v>
      </c>
      <c r="F848" s="4">
        <f t="shared" si="157"/>
        <v>2</v>
      </c>
      <c r="G848" t="str">
        <f t="shared" si="160"/>
        <v>February</v>
      </c>
      <c r="H848">
        <f t="shared" si="161"/>
        <v>2024</v>
      </c>
      <c r="I848" t="str">
        <f t="shared" si="162"/>
        <v>2024-Q1</v>
      </c>
      <c r="J848" t="s">
        <v>21</v>
      </c>
      <c r="K848" t="s">
        <v>2139</v>
      </c>
      <c r="L848" t="s">
        <v>2140</v>
      </c>
      <c r="M848" t="s">
        <v>47</v>
      </c>
      <c r="N848" t="s">
        <v>25</v>
      </c>
      <c r="O848" t="s">
        <v>48</v>
      </c>
      <c r="P848" t="s">
        <v>49</v>
      </c>
      <c r="Q848" t="s">
        <v>66</v>
      </c>
      <c r="R848" t="s">
        <v>2141</v>
      </c>
      <c r="S848" t="s">
        <v>51</v>
      </c>
      <c r="T848" t="s">
        <v>108</v>
      </c>
      <c r="U848" t="s">
        <v>2142</v>
      </c>
      <c r="V848" s="3">
        <v>2835.28</v>
      </c>
      <c r="W848" s="4">
        <v>8</v>
      </c>
      <c r="X848" s="2">
        <v>0</v>
      </c>
      <c r="Y848" s="3">
        <v>-402.24</v>
      </c>
      <c r="Z848" t="str">
        <f t="shared" si="158"/>
        <v>Normal</v>
      </c>
      <c r="AA848" t="str">
        <f t="shared" si="159"/>
        <v>Low</v>
      </c>
      <c r="AB848" t="str">
        <f t="shared" si="163"/>
        <v>Loss</v>
      </c>
      <c r="AC848" s="3">
        <f t="shared" si="164"/>
        <v>-0.14186958607262773</v>
      </c>
      <c r="AD848" s="3">
        <f t="shared" si="165"/>
        <v>354.41</v>
      </c>
      <c r="AE848" s="3">
        <f t="shared" si="166"/>
        <v>-50.28</v>
      </c>
      <c r="AF848" t="str">
        <f t="shared" si="167"/>
        <v>Regular</v>
      </c>
    </row>
    <row r="849" spans="1:32" x14ac:dyDescent="0.25">
      <c r="A849" t="s">
        <v>853</v>
      </c>
      <c r="B849" s="1">
        <v>45335</v>
      </c>
      <c r="C849" s="1">
        <v>45337</v>
      </c>
      <c r="D849" s="4">
        <f t="shared" si="156"/>
        <v>2</v>
      </c>
      <c r="E849" s="4" t="str">
        <f>TEXT(Table1[[#This Row],[Order_Date]],"dddd")</f>
        <v>Tuesday</v>
      </c>
      <c r="F849" s="4">
        <f t="shared" si="157"/>
        <v>2</v>
      </c>
      <c r="G849" t="str">
        <f t="shared" si="160"/>
        <v>February</v>
      </c>
      <c r="H849">
        <f t="shared" si="161"/>
        <v>2024</v>
      </c>
      <c r="I849" t="str">
        <f t="shared" si="162"/>
        <v>2024-Q1</v>
      </c>
      <c r="J849" t="s">
        <v>44</v>
      </c>
      <c r="K849" t="s">
        <v>854</v>
      </c>
      <c r="L849" t="s">
        <v>855</v>
      </c>
      <c r="M849" t="s">
        <v>24</v>
      </c>
      <c r="N849" t="s">
        <v>25</v>
      </c>
      <c r="O849" t="s">
        <v>227</v>
      </c>
      <c r="P849" t="s">
        <v>49</v>
      </c>
      <c r="Q849" t="s">
        <v>28</v>
      </c>
      <c r="R849" t="s">
        <v>856</v>
      </c>
      <c r="S849" t="s">
        <v>30</v>
      </c>
      <c r="T849" t="s">
        <v>82</v>
      </c>
      <c r="U849" t="s">
        <v>857</v>
      </c>
      <c r="V849" s="3">
        <v>3766.91</v>
      </c>
      <c r="W849" s="4">
        <v>10</v>
      </c>
      <c r="X849" s="2">
        <v>0.4</v>
      </c>
      <c r="Y849" s="3">
        <v>330.04</v>
      </c>
      <c r="Z849" t="str">
        <f t="shared" si="158"/>
        <v>Normal</v>
      </c>
      <c r="AA849" t="str">
        <f t="shared" si="159"/>
        <v>High</v>
      </c>
      <c r="AB849" t="str">
        <f t="shared" si="163"/>
        <v>Low Profit</v>
      </c>
      <c r="AC849" s="3">
        <f t="shared" si="164"/>
        <v>8.761557881658974E-2</v>
      </c>
      <c r="AD849" s="3">
        <f t="shared" si="165"/>
        <v>376.69099999999997</v>
      </c>
      <c r="AE849" s="3">
        <f t="shared" si="166"/>
        <v>33.004000000000005</v>
      </c>
      <c r="AF849" t="str">
        <f t="shared" si="167"/>
        <v>Regular</v>
      </c>
    </row>
    <row r="850" spans="1:32" x14ac:dyDescent="0.25">
      <c r="A850" t="s">
        <v>1693</v>
      </c>
      <c r="B850" s="1">
        <v>45335</v>
      </c>
      <c r="C850" s="1">
        <v>45343</v>
      </c>
      <c r="D850" s="4">
        <f t="shared" si="156"/>
        <v>8</v>
      </c>
      <c r="E850" s="4" t="str">
        <f>TEXT(Table1[[#This Row],[Order_Date]],"dddd")</f>
        <v>Tuesday</v>
      </c>
      <c r="F850" s="4">
        <f t="shared" si="157"/>
        <v>2</v>
      </c>
      <c r="G850" t="str">
        <f t="shared" si="160"/>
        <v>February</v>
      </c>
      <c r="H850">
        <f t="shared" si="161"/>
        <v>2024</v>
      </c>
      <c r="I850" t="str">
        <f t="shared" si="162"/>
        <v>2024-Q1</v>
      </c>
      <c r="J850" t="s">
        <v>55</v>
      </c>
      <c r="K850" t="s">
        <v>1694</v>
      </c>
      <c r="L850" t="s">
        <v>1695</v>
      </c>
      <c r="M850" t="s">
        <v>47</v>
      </c>
      <c r="N850" t="s">
        <v>25</v>
      </c>
      <c r="O850" t="s">
        <v>382</v>
      </c>
      <c r="P850" t="s">
        <v>38</v>
      </c>
      <c r="Q850" t="s">
        <v>28</v>
      </c>
      <c r="R850" t="s">
        <v>1696</v>
      </c>
      <c r="S850" t="s">
        <v>51</v>
      </c>
      <c r="T850" t="s">
        <v>151</v>
      </c>
      <c r="U850" t="s">
        <v>1697</v>
      </c>
      <c r="V850" s="3">
        <v>2002.41</v>
      </c>
      <c r="W850" s="4">
        <v>2</v>
      </c>
      <c r="X850" s="2">
        <v>0.1</v>
      </c>
      <c r="Y850" s="3">
        <v>-11.79</v>
      </c>
      <c r="Z850" t="str">
        <f t="shared" si="158"/>
        <v>Normal</v>
      </c>
      <c r="AA850" t="str">
        <f t="shared" si="159"/>
        <v>Medium</v>
      </c>
      <c r="AB850" t="str">
        <f t="shared" si="163"/>
        <v>Loss</v>
      </c>
      <c r="AC850" s="3">
        <f t="shared" si="164"/>
        <v>-5.8879050743853648E-3</v>
      </c>
      <c r="AD850" s="3">
        <f t="shared" si="165"/>
        <v>1001.205</v>
      </c>
      <c r="AE850" s="3">
        <f t="shared" si="166"/>
        <v>-5.8949999999999996</v>
      </c>
      <c r="AF850" t="str">
        <f t="shared" si="167"/>
        <v>Regular</v>
      </c>
    </row>
    <row r="851" spans="1:32" x14ac:dyDescent="0.25">
      <c r="A851" t="s">
        <v>6253</v>
      </c>
      <c r="B851" s="1">
        <v>45337</v>
      </c>
      <c r="C851" s="1">
        <v>45340</v>
      </c>
      <c r="D851" s="4">
        <f t="shared" si="156"/>
        <v>3</v>
      </c>
      <c r="E851" s="4" t="str">
        <f>TEXT(Table1[[#This Row],[Order_Date]],"dddd")</f>
        <v>Thursday</v>
      </c>
      <c r="F851" s="4">
        <f t="shared" si="157"/>
        <v>2</v>
      </c>
      <c r="G851" t="str">
        <f t="shared" si="160"/>
        <v>February</v>
      </c>
      <c r="H851">
        <f t="shared" si="161"/>
        <v>2024</v>
      </c>
      <c r="I851" t="str">
        <f t="shared" si="162"/>
        <v>2024-Q1</v>
      </c>
      <c r="J851" t="s">
        <v>21</v>
      </c>
      <c r="K851" t="s">
        <v>6254</v>
      </c>
      <c r="L851" t="s">
        <v>6255</v>
      </c>
      <c r="M851" t="s">
        <v>24</v>
      </c>
      <c r="N851" t="s">
        <v>25</v>
      </c>
      <c r="O851" t="s">
        <v>156</v>
      </c>
      <c r="P851" t="s">
        <v>143</v>
      </c>
      <c r="Q851" t="s">
        <v>66</v>
      </c>
      <c r="R851" t="s">
        <v>6256</v>
      </c>
      <c r="S851" t="s">
        <v>59</v>
      </c>
      <c r="T851" t="s">
        <v>60</v>
      </c>
      <c r="U851" t="s">
        <v>6257</v>
      </c>
      <c r="V851" s="3">
        <v>4550.13</v>
      </c>
      <c r="W851" s="4">
        <v>3</v>
      </c>
      <c r="X851" s="2">
        <v>0.3</v>
      </c>
      <c r="Y851" s="3">
        <v>297.23</v>
      </c>
      <c r="Z851" t="str">
        <f t="shared" si="158"/>
        <v>Normal</v>
      </c>
      <c r="AA851" t="str">
        <f t="shared" si="159"/>
        <v>High</v>
      </c>
      <c r="AB851" t="str">
        <f t="shared" si="163"/>
        <v>Low Profit</v>
      </c>
      <c r="AC851" s="3">
        <f t="shared" si="164"/>
        <v>6.5323408342179243E-2</v>
      </c>
      <c r="AD851" s="3">
        <f t="shared" si="165"/>
        <v>1516.71</v>
      </c>
      <c r="AE851" s="3">
        <f t="shared" si="166"/>
        <v>99.076666666666668</v>
      </c>
      <c r="AF851" t="str">
        <f t="shared" si="167"/>
        <v>Regular</v>
      </c>
    </row>
    <row r="852" spans="1:32" x14ac:dyDescent="0.25">
      <c r="A852" t="s">
        <v>5526</v>
      </c>
      <c r="B852" s="1">
        <v>45338</v>
      </c>
      <c r="C852" s="1">
        <v>45348</v>
      </c>
      <c r="D852" s="4">
        <f t="shared" si="156"/>
        <v>10</v>
      </c>
      <c r="E852" s="4" t="str">
        <f>TEXT(Table1[[#This Row],[Order_Date]],"dddd")</f>
        <v>Friday</v>
      </c>
      <c r="F852" s="4">
        <f t="shared" si="157"/>
        <v>2</v>
      </c>
      <c r="G852" t="str">
        <f t="shared" si="160"/>
        <v>February</v>
      </c>
      <c r="H852">
        <f t="shared" si="161"/>
        <v>2024</v>
      </c>
      <c r="I852" t="str">
        <f t="shared" si="162"/>
        <v>2024-Q1</v>
      </c>
      <c r="J852" t="s">
        <v>44</v>
      </c>
      <c r="K852" t="s">
        <v>5527</v>
      </c>
      <c r="L852" t="s">
        <v>5528</v>
      </c>
      <c r="M852" t="s">
        <v>47</v>
      </c>
      <c r="N852" t="s">
        <v>25</v>
      </c>
      <c r="O852" t="s">
        <v>142</v>
      </c>
      <c r="P852" t="s">
        <v>143</v>
      </c>
      <c r="Q852" t="s">
        <v>66</v>
      </c>
      <c r="R852" t="s">
        <v>7403</v>
      </c>
      <c r="S852" t="s">
        <v>51</v>
      </c>
      <c r="T852" t="s">
        <v>108</v>
      </c>
      <c r="U852" t="s">
        <v>5529</v>
      </c>
      <c r="V852" s="3">
        <v>2768.93</v>
      </c>
      <c r="W852" s="4">
        <v>9</v>
      </c>
      <c r="X852" s="2">
        <v>0</v>
      </c>
      <c r="Y852" s="3">
        <v>823.62</v>
      </c>
      <c r="Z852" t="str">
        <f t="shared" si="158"/>
        <v>Normal</v>
      </c>
      <c r="AA852" t="str">
        <f t="shared" si="159"/>
        <v>Low</v>
      </c>
      <c r="AB852" t="str">
        <f t="shared" si="163"/>
        <v>High Profit</v>
      </c>
      <c r="AC852" s="3">
        <f t="shared" si="164"/>
        <v>0.29745063977782032</v>
      </c>
      <c r="AD852" s="3">
        <f t="shared" si="165"/>
        <v>307.6588888888889</v>
      </c>
      <c r="AE852" s="3">
        <f t="shared" si="166"/>
        <v>91.513333333333335</v>
      </c>
      <c r="AF852" t="str">
        <f t="shared" si="167"/>
        <v>Regular</v>
      </c>
    </row>
    <row r="853" spans="1:32" x14ac:dyDescent="0.25">
      <c r="A853" t="s">
        <v>7246</v>
      </c>
      <c r="B853" s="1">
        <v>45338</v>
      </c>
      <c r="C853" s="1">
        <v>45348</v>
      </c>
      <c r="D853" s="4">
        <f t="shared" si="156"/>
        <v>10</v>
      </c>
      <c r="E853" s="4" t="str">
        <f>TEXT(Table1[[#This Row],[Order_Date]],"dddd")</f>
        <v>Friday</v>
      </c>
      <c r="F853" s="4">
        <f t="shared" si="157"/>
        <v>2</v>
      </c>
      <c r="G853" t="str">
        <f t="shared" si="160"/>
        <v>February</v>
      </c>
      <c r="H853">
        <f t="shared" si="161"/>
        <v>2024</v>
      </c>
      <c r="I853" t="str">
        <f t="shared" si="162"/>
        <v>2024-Q1</v>
      </c>
      <c r="J853" t="s">
        <v>44</v>
      </c>
      <c r="K853" t="s">
        <v>7247</v>
      </c>
      <c r="L853" t="s">
        <v>7248</v>
      </c>
      <c r="M853" t="s">
        <v>36</v>
      </c>
      <c r="N853" t="s">
        <v>25</v>
      </c>
      <c r="O853" t="s">
        <v>227</v>
      </c>
      <c r="P853" t="s">
        <v>49</v>
      </c>
      <c r="Q853" t="s">
        <v>28</v>
      </c>
      <c r="R853" t="s">
        <v>7249</v>
      </c>
      <c r="S853" t="s">
        <v>30</v>
      </c>
      <c r="T853" t="s">
        <v>68</v>
      </c>
      <c r="U853" t="s">
        <v>7250</v>
      </c>
      <c r="V853" s="3">
        <v>3454.57</v>
      </c>
      <c r="W853" s="4">
        <v>3</v>
      </c>
      <c r="X853" s="2">
        <v>0.4</v>
      </c>
      <c r="Y853" s="3">
        <v>-649.25</v>
      </c>
      <c r="Z853" t="str">
        <f t="shared" si="158"/>
        <v>Normal</v>
      </c>
      <c r="AA853" t="str">
        <f t="shared" si="159"/>
        <v>High</v>
      </c>
      <c r="AB853" t="str">
        <f t="shared" si="163"/>
        <v>Loss</v>
      </c>
      <c r="AC853" s="3">
        <f t="shared" si="164"/>
        <v>-0.18793945411440496</v>
      </c>
      <c r="AD853" s="3">
        <f t="shared" si="165"/>
        <v>1151.5233333333333</v>
      </c>
      <c r="AE853" s="3">
        <f t="shared" si="166"/>
        <v>-216.41666666666666</v>
      </c>
      <c r="AF853" t="str">
        <f t="shared" si="167"/>
        <v>Regular</v>
      </c>
    </row>
    <row r="854" spans="1:32" x14ac:dyDescent="0.25">
      <c r="A854" t="s">
        <v>6426</v>
      </c>
      <c r="B854" s="1">
        <v>45341</v>
      </c>
      <c r="C854" s="1">
        <v>45347</v>
      </c>
      <c r="D854" s="4">
        <f t="shared" si="156"/>
        <v>6</v>
      </c>
      <c r="E854" s="4" t="str">
        <f>TEXT(Table1[[#This Row],[Order_Date]],"dddd")</f>
        <v>Monday</v>
      </c>
      <c r="F854" s="4">
        <f t="shared" si="157"/>
        <v>2</v>
      </c>
      <c r="G854" t="str">
        <f t="shared" si="160"/>
        <v>February</v>
      </c>
      <c r="H854">
        <f t="shared" si="161"/>
        <v>2024</v>
      </c>
      <c r="I854" t="str">
        <f t="shared" si="162"/>
        <v>2024-Q1</v>
      </c>
      <c r="J854" t="s">
        <v>44</v>
      </c>
      <c r="K854" t="s">
        <v>6427</v>
      </c>
      <c r="L854" t="s">
        <v>6428</v>
      </c>
      <c r="M854" t="s">
        <v>47</v>
      </c>
      <c r="N854" t="s">
        <v>25</v>
      </c>
      <c r="O854" t="s">
        <v>26</v>
      </c>
      <c r="P854" t="s">
        <v>27</v>
      </c>
      <c r="Q854" t="s">
        <v>66</v>
      </c>
      <c r="R854" t="s">
        <v>6429</v>
      </c>
      <c r="S854" t="s">
        <v>59</v>
      </c>
      <c r="T854" t="s">
        <v>60</v>
      </c>
      <c r="U854" t="s">
        <v>6430</v>
      </c>
      <c r="V854" s="3">
        <v>2336.4</v>
      </c>
      <c r="W854" s="4">
        <v>9</v>
      </c>
      <c r="X854" s="2">
        <v>0.1</v>
      </c>
      <c r="Y854" s="3">
        <v>581.26</v>
      </c>
      <c r="Z854" t="str">
        <f t="shared" si="158"/>
        <v>Normal</v>
      </c>
      <c r="AA854" t="str">
        <f t="shared" si="159"/>
        <v>Medium</v>
      </c>
      <c r="AB854" t="str">
        <f t="shared" si="163"/>
        <v>High Profit</v>
      </c>
      <c r="AC854" s="3">
        <f t="shared" si="164"/>
        <v>0.24878445471665808</v>
      </c>
      <c r="AD854" s="3">
        <f t="shared" si="165"/>
        <v>259.60000000000002</v>
      </c>
      <c r="AE854" s="3">
        <f t="shared" si="166"/>
        <v>64.584444444444443</v>
      </c>
      <c r="AF854" t="str">
        <f t="shared" si="167"/>
        <v>Regular</v>
      </c>
    </row>
    <row r="855" spans="1:32" x14ac:dyDescent="0.25">
      <c r="A855" t="s">
        <v>1036</v>
      </c>
      <c r="B855" s="1">
        <v>45341</v>
      </c>
      <c r="C855" s="1">
        <v>45345</v>
      </c>
      <c r="D855" s="4">
        <f t="shared" si="156"/>
        <v>4</v>
      </c>
      <c r="E855" s="4" t="str">
        <f>TEXT(Table1[[#This Row],[Order_Date]],"dddd")</f>
        <v>Monday</v>
      </c>
      <c r="F855" s="4">
        <f t="shared" si="157"/>
        <v>2</v>
      </c>
      <c r="G855" t="str">
        <f t="shared" si="160"/>
        <v>February</v>
      </c>
      <c r="H855">
        <f t="shared" si="161"/>
        <v>2024</v>
      </c>
      <c r="I855" t="str">
        <f t="shared" si="162"/>
        <v>2024-Q1</v>
      </c>
      <c r="J855" t="s">
        <v>21</v>
      </c>
      <c r="K855" t="s">
        <v>1037</v>
      </c>
      <c r="L855" t="s">
        <v>1038</v>
      </c>
      <c r="M855" t="s">
        <v>36</v>
      </c>
      <c r="N855" t="s">
        <v>25</v>
      </c>
      <c r="O855" t="s">
        <v>179</v>
      </c>
      <c r="P855" t="s">
        <v>27</v>
      </c>
      <c r="Q855" t="s">
        <v>66</v>
      </c>
      <c r="R855" t="s">
        <v>1039</v>
      </c>
      <c r="S855" t="s">
        <v>30</v>
      </c>
      <c r="T855" t="s">
        <v>68</v>
      </c>
      <c r="U855" t="s">
        <v>1040</v>
      </c>
      <c r="V855" s="3">
        <v>2586.67</v>
      </c>
      <c r="W855" s="4">
        <v>3</v>
      </c>
      <c r="X855" s="2">
        <v>0.4</v>
      </c>
      <c r="Y855" s="3">
        <v>369.57</v>
      </c>
      <c r="Z855" t="str">
        <f t="shared" si="158"/>
        <v>Normal</v>
      </c>
      <c r="AA855" t="str">
        <f t="shared" si="159"/>
        <v>High</v>
      </c>
      <c r="AB855" t="str">
        <f t="shared" si="163"/>
        <v>Low Profit</v>
      </c>
      <c r="AC855" s="3">
        <f t="shared" si="164"/>
        <v>0.14287481588296921</v>
      </c>
      <c r="AD855" s="3">
        <f t="shared" si="165"/>
        <v>862.22333333333336</v>
      </c>
      <c r="AE855" s="3">
        <f t="shared" si="166"/>
        <v>123.19</v>
      </c>
      <c r="AF855" t="str">
        <f t="shared" si="167"/>
        <v>Regular</v>
      </c>
    </row>
    <row r="856" spans="1:32" x14ac:dyDescent="0.25">
      <c r="A856" t="s">
        <v>329</v>
      </c>
      <c r="B856" s="1">
        <v>45341</v>
      </c>
      <c r="C856" s="1">
        <v>45343</v>
      </c>
      <c r="D856" s="4">
        <f t="shared" si="156"/>
        <v>2</v>
      </c>
      <c r="E856" s="4" t="str">
        <f>TEXT(Table1[[#This Row],[Order_Date]],"dddd")</f>
        <v>Monday</v>
      </c>
      <c r="F856" s="4">
        <f t="shared" si="157"/>
        <v>2</v>
      </c>
      <c r="G856" t="str">
        <f t="shared" si="160"/>
        <v>February</v>
      </c>
      <c r="H856">
        <f t="shared" si="161"/>
        <v>2024</v>
      </c>
      <c r="I856" t="str">
        <f t="shared" si="162"/>
        <v>2024-Q1</v>
      </c>
      <c r="J856" t="s">
        <v>55</v>
      </c>
      <c r="K856" t="s">
        <v>330</v>
      </c>
      <c r="L856" t="s">
        <v>331</v>
      </c>
      <c r="M856" t="s">
        <v>24</v>
      </c>
      <c r="N856" t="s">
        <v>25</v>
      </c>
      <c r="O856" t="s">
        <v>162</v>
      </c>
      <c r="P856" t="s">
        <v>163</v>
      </c>
      <c r="Q856" t="s">
        <v>66</v>
      </c>
      <c r="R856" t="s">
        <v>332</v>
      </c>
      <c r="S856" t="s">
        <v>30</v>
      </c>
      <c r="T856" t="s">
        <v>68</v>
      </c>
      <c r="U856" t="s">
        <v>333</v>
      </c>
      <c r="V856" s="3">
        <v>2719.97</v>
      </c>
      <c r="W856" s="4">
        <v>7</v>
      </c>
      <c r="X856" s="2">
        <v>0</v>
      </c>
      <c r="Y856" s="3">
        <v>-68.81</v>
      </c>
      <c r="Z856" t="str">
        <f t="shared" si="158"/>
        <v>Normal</v>
      </c>
      <c r="AA856" t="str">
        <f t="shared" si="159"/>
        <v>Low</v>
      </c>
      <c r="AB856" t="str">
        <f t="shared" si="163"/>
        <v>Loss</v>
      </c>
      <c r="AC856" s="3">
        <f t="shared" si="164"/>
        <v>-2.5298073140512582E-2</v>
      </c>
      <c r="AD856" s="3">
        <f t="shared" si="165"/>
        <v>388.56714285714281</v>
      </c>
      <c r="AE856" s="3">
        <f t="shared" si="166"/>
        <v>-9.83</v>
      </c>
      <c r="AF856" t="str">
        <f t="shared" si="167"/>
        <v>Regular</v>
      </c>
    </row>
    <row r="857" spans="1:32" x14ac:dyDescent="0.25">
      <c r="A857" t="s">
        <v>6703</v>
      </c>
      <c r="B857" s="1">
        <v>45341</v>
      </c>
      <c r="C857" s="1">
        <v>45349</v>
      </c>
      <c r="D857" s="4">
        <f t="shared" si="156"/>
        <v>8</v>
      </c>
      <c r="E857" s="4" t="str">
        <f>TEXT(Table1[[#This Row],[Order_Date]],"dddd")</f>
        <v>Monday</v>
      </c>
      <c r="F857" s="4">
        <f t="shared" si="157"/>
        <v>2</v>
      </c>
      <c r="G857" t="str">
        <f t="shared" si="160"/>
        <v>February</v>
      </c>
      <c r="H857">
        <f t="shared" si="161"/>
        <v>2024</v>
      </c>
      <c r="I857" t="str">
        <f t="shared" si="162"/>
        <v>2024-Q1</v>
      </c>
      <c r="J857" t="s">
        <v>55</v>
      </c>
      <c r="K857" t="s">
        <v>6704</v>
      </c>
      <c r="L857" t="s">
        <v>6705</v>
      </c>
      <c r="M857" t="s">
        <v>47</v>
      </c>
      <c r="N857" t="s">
        <v>25</v>
      </c>
      <c r="O857" t="s">
        <v>227</v>
      </c>
      <c r="P857" t="s">
        <v>49</v>
      </c>
      <c r="Q857" t="s">
        <v>87</v>
      </c>
      <c r="R857" t="s">
        <v>6706</v>
      </c>
      <c r="S857" t="s">
        <v>59</v>
      </c>
      <c r="T857" t="s">
        <v>60</v>
      </c>
      <c r="U857" t="s">
        <v>6707</v>
      </c>
      <c r="V857" s="3">
        <v>2051.41</v>
      </c>
      <c r="W857" s="4">
        <v>7</v>
      </c>
      <c r="X857" s="2">
        <v>0.3</v>
      </c>
      <c r="Y857" s="3">
        <v>336.44</v>
      </c>
      <c r="Z857" t="str">
        <f t="shared" si="158"/>
        <v>Normal</v>
      </c>
      <c r="AA857" t="str">
        <f t="shared" si="159"/>
        <v>High</v>
      </c>
      <c r="AB857" t="str">
        <f t="shared" si="163"/>
        <v>Low Profit</v>
      </c>
      <c r="AC857" s="3">
        <f t="shared" si="164"/>
        <v>0.16400427023364419</v>
      </c>
      <c r="AD857" s="3">
        <f t="shared" si="165"/>
        <v>293.05857142857138</v>
      </c>
      <c r="AE857" s="3">
        <f t="shared" si="166"/>
        <v>48.062857142857141</v>
      </c>
      <c r="AF857" t="str">
        <f t="shared" si="167"/>
        <v>Regular</v>
      </c>
    </row>
    <row r="858" spans="1:32" x14ac:dyDescent="0.25">
      <c r="A858" t="s">
        <v>1608</v>
      </c>
      <c r="B858" s="1">
        <v>45342</v>
      </c>
      <c r="C858" s="1">
        <v>45348</v>
      </c>
      <c r="D858" s="4">
        <f t="shared" si="156"/>
        <v>6</v>
      </c>
      <c r="E858" s="4" t="str">
        <f>TEXT(Table1[[#This Row],[Order_Date]],"dddd")</f>
        <v>Tuesday</v>
      </c>
      <c r="F858" s="4">
        <f t="shared" si="157"/>
        <v>2</v>
      </c>
      <c r="G858" t="str">
        <f t="shared" si="160"/>
        <v>February</v>
      </c>
      <c r="H858">
        <f t="shared" si="161"/>
        <v>2024</v>
      </c>
      <c r="I858" t="str">
        <f t="shared" si="162"/>
        <v>2024-Q1</v>
      </c>
      <c r="J858" t="s">
        <v>44</v>
      </c>
      <c r="K858" t="s">
        <v>1609</v>
      </c>
      <c r="L858" t="s">
        <v>1610</v>
      </c>
      <c r="M858" t="s">
        <v>47</v>
      </c>
      <c r="N858" t="s">
        <v>25</v>
      </c>
      <c r="O858" t="s">
        <v>26</v>
      </c>
      <c r="P858" t="s">
        <v>27</v>
      </c>
      <c r="Q858" t="s">
        <v>87</v>
      </c>
      <c r="R858" t="s">
        <v>1611</v>
      </c>
      <c r="S858" t="s">
        <v>30</v>
      </c>
      <c r="T858" t="s">
        <v>31</v>
      </c>
      <c r="U858" t="s">
        <v>1612</v>
      </c>
      <c r="V858" s="3">
        <v>4079.83</v>
      </c>
      <c r="W858" s="4">
        <v>3</v>
      </c>
      <c r="X858" s="2">
        <v>0.1</v>
      </c>
      <c r="Y858" s="3">
        <v>346.09</v>
      </c>
      <c r="Z858" t="str">
        <f t="shared" si="158"/>
        <v>Normal</v>
      </c>
      <c r="AA858" t="str">
        <f t="shared" si="159"/>
        <v>Medium</v>
      </c>
      <c r="AB858" t="str">
        <f t="shared" si="163"/>
        <v>Low Profit</v>
      </c>
      <c r="AC858" s="3">
        <f t="shared" si="164"/>
        <v>8.4829514955279989E-2</v>
      </c>
      <c r="AD858" s="3">
        <f t="shared" si="165"/>
        <v>1359.9433333333334</v>
      </c>
      <c r="AE858" s="3">
        <f t="shared" si="166"/>
        <v>115.36333333333333</v>
      </c>
      <c r="AF858" t="str">
        <f t="shared" si="167"/>
        <v>Regular</v>
      </c>
    </row>
    <row r="859" spans="1:32" x14ac:dyDescent="0.25">
      <c r="A859" t="s">
        <v>4589</v>
      </c>
      <c r="B859" s="1">
        <v>45344</v>
      </c>
      <c r="C859" s="1">
        <v>45351</v>
      </c>
      <c r="D859" s="4">
        <f t="shared" si="156"/>
        <v>7</v>
      </c>
      <c r="E859" s="4" t="str">
        <f>TEXT(Table1[[#This Row],[Order_Date]],"dddd")</f>
        <v>Thursday</v>
      </c>
      <c r="F859" s="4">
        <f t="shared" si="157"/>
        <v>2</v>
      </c>
      <c r="G859" t="str">
        <f t="shared" si="160"/>
        <v>February</v>
      </c>
      <c r="H859">
        <f t="shared" si="161"/>
        <v>2024</v>
      </c>
      <c r="I859" t="str">
        <f t="shared" si="162"/>
        <v>2024-Q1</v>
      </c>
      <c r="J859" t="s">
        <v>21</v>
      </c>
      <c r="K859" t="s">
        <v>4590</v>
      </c>
      <c r="L859" t="s">
        <v>4591</v>
      </c>
      <c r="M859" t="s">
        <v>24</v>
      </c>
      <c r="N859" t="s">
        <v>25</v>
      </c>
      <c r="O859" t="s">
        <v>80</v>
      </c>
      <c r="P859" t="s">
        <v>49</v>
      </c>
      <c r="Q859" t="s">
        <v>66</v>
      </c>
      <c r="R859" t="s">
        <v>4592</v>
      </c>
      <c r="S859" t="s">
        <v>51</v>
      </c>
      <c r="T859" t="s">
        <v>94</v>
      </c>
      <c r="U859" t="s">
        <v>4593</v>
      </c>
      <c r="V859" s="3">
        <v>4969.4799999999996</v>
      </c>
      <c r="W859" s="4">
        <v>10</v>
      </c>
      <c r="X859" s="2">
        <v>0.1</v>
      </c>
      <c r="Y859" s="3">
        <v>-836.09</v>
      </c>
      <c r="Z859" t="str">
        <f t="shared" si="158"/>
        <v>Outlier</v>
      </c>
      <c r="AA859" t="str">
        <f t="shared" si="159"/>
        <v>Medium</v>
      </c>
      <c r="AB859" t="str">
        <f t="shared" si="163"/>
        <v>Loss</v>
      </c>
      <c r="AC859" s="3">
        <f t="shared" si="164"/>
        <v>-0.16824496728027885</v>
      </c>
      <c r="AD859" s="3">
        <f t="shared" si="165"/>
        <v>496.94799999999998</v>
      </c>
      <c r="AE859" s="3">
        <f t="shared" si="166"/>
        <v>-83.609000000000009</v>
      </c>
      <c r="AF859" t="str">
        <f t="shared" si="167"/>
        <v>Regular</v>
      </c>
    </row>
    <row r="860" spans="1:32" x14ac:dyDescent="0.25">
      <c r="A860" t="s">
        <v>3195</v>
      </c>
      <c r="B860" s="1">
        <v>45345</v>
      </c>
      <c r="C860" s="1">
        <v>45350</v>
      </c>
      <c r="D860" s="4">
        <f t="shared" si="156"/>
        <v>5</v>
      </c>
      <c r="E860" s="4" t="str">
        <f>TEXT(Table1[[#This Row],[Order_Date]],"dddd")</f>
        <v>Friday</v>
      </c>
      <c r="F860" s="4">
        <f t="shared" si="157"/>
        <v>2</v>
      </c>
      <c r="G860" t="str">
        <f t="shared" si="160"/>
        <v>February</v>
      </c>
      <c r="H860">
        <f t="shared" si="161"/>
        <v>2024</v>
      </c>
      <c r="I860" t="str">
        <f t="shared" si="162"/>
        <v>2024-Q1</v>
      </c>
      <c r="J860" t="s">
        <v>21</v>
      </c>
      <c r="K860" t="s">
        <v>3196</v>
      </c>
      <c r="L860" t="s">
        <v>3197</v>
      </c>
      <c r="M860" t="s">
        <v>47</v>
      </c>
      <c r="N860" t="s">
        <v>25</v>
      </c>
      <c r="O860" t="s">
        <v>611</v>
      </c>
      <c r="P860" t="s">
        <v>74</v>
      </c>
      <c r="Q860" t="s">
        <v>28</v>
      </c>
      <c r="R860" t="s">
        <v>3198</v>
      </c>
      <c r="S860" t="s">
        <v>51</v>
      </c>
      <c r="T860" t="s">
        <v>151</v>
      </c>
      <c r="U860" t="s">
        <v>3199</v>
      </c>
      <c r="V860" s="3">
        <v>2613.8200000000002</v>
      </c>
      <c r="W860" s="4">
        <v>10</v>
      </c>
      <c r="X860" s="2">
        <v>0.3</v>
      </c>
      <c r="Y860" s="3">
        <v>316.37</v>
      </c>
      <c r="Z860" t="str">
        <f t="shared" si="158"/>
        <v>Normal</v>
      </c>
      <c r="AA860" t="str">
        <f t="shared" si="159"/>
        <v>High</v>
      </c>
      <c r="AB860" t="str">
        <f t="shared" si="163"/>
        <v>Low Profit</v>
      </c>
      <c r="AC860" s="3">
        <f t="shared" si="164"/>
        <v>0.12103740884988254</v>
      </c>
      <c r="AD860" s="3">
        <f t="shared" si="165"/>
        <v>261.38200000000001</v>
      </c>
      <c r="AE860" s="3">
        <f t="shared" si="166"/>
        <v>31.637</v>
      </c>
      <c r="AF860" t="str">
        <f t="shared" si="167"/>
        <v>Regular</v>
      </c>
    </row>
    <row r="861" spans="1:32" x14ac:dyDescent="0.25">
      <c r="A861" t="s">
        <v>2617</v>
      </c>
      <c r="B861" s="1">
        <v>45346</v>
      </c>
      <c r="C861" s="1">
        <v>45349</v>
      </c>
      <c r="D861" s="4">
        <f t="shared" si="156"/>
        <v>3</v>
      </c>
      <c r="E861" s="4" t="str">
        <f>TEXT(Table1[[#This Row],[Order_Date]],"dddd")</f>
        <v>Saturday</v>
      </c>
      <c r="F861" s="4">
        <f t="shared" si="157"/>
        <v>2</v>
      </c>
      <c r="G861" t="str">
        <f t="shared" si="160"/>
        <v>February</v>
      </c>
      <c r="H861">
        <f t="shared" si="161"/>
        <v>2024</v>
      </c>
      <c r="I861" t="str">
        <f t="shared" si="162"/>
        <v>2024-Q1</v>
      </c>
      <c r="J861" t="s">
        <v>44</v>
      </c>
      <c r="K861" t="s">
        <v>2618</v>
      </c>
      <c r="L861" t="s">
        <v>2619</v>
      </c>
      <c r="M861" t="s">
        <v>24</v>
      </c>
      <c r="N861" t="s">
        <v>25</v>
      </c>
      <c r="O861" t="s">
        <v>65</v>
      </c>
      <c r="P861" t="s">
        <v>27</v>
      </c>
      <c r="Q861" t="s">
        <v>66</v>
      </c>
      <c r="R861" t="s">
        <v>2620</v>
      </c>
      <c r="S861" t="s">
        <v>51</v>
      </c>
      <c r="T861" t="s">
        <v>151</v>
      </c>
      <c r="U861" t="s">
        <v>2621</v>
      </c>
      <c r="V861" s="3">
        <v>1262.24</v>
      </c>
      <c r="W861" s="4">
        <v>6</v>
      </c>
      <c r="X861" s="2">
        <v>0.1</v>
      </c>
      <c r="Y861" s="3">
        <v>82.39</v>
      </c>
      <c r="Z861" t="str">
        <f t="shared" si="158"/>
        <v>Normal</v>
      </c>
      <c r="AA861" t="str">
        <f t="shared" si="159"/>
        <v>Medium</v>
      </c>
      <c r="AB861" t="str">
        <f t="shared" si="163"/>
        <v>Low Profit</v>
      </c>
      <c r="AC861" s="3">
        <f t="shared" si="164"/>
        <v>6.5272848269742681E-2</v>
      </c>
      <c r="AD861" s="3">
        <f t="shared" si="165"/>
        <v>210.37333333333333</v>
      </c>
      <c r="AE861" s="3">
        <f t="shared" si="166"/>
        <v>13.731666666666667</v>
      </c>
      <c r="AF861" t="str">
        <f t="shared" si="167"/>
        <v>Regular</v>
      </c>
    </row>
    <row r="862" spans="1:32" x14ac:dyDescent="0.25">
      <c r="A862" t="s">
        <v>4500</v>
      </c>
      <c r="B862" s="1">
        <v>45346</v>
      </c>
      <c r="C862" s="1">
        <v>45347</v>
      </c>
      <c r="D862" s="4">
        <f t="shared" si="156"/>
        <v>1</v>
      </c>
      <c r="E862" s="4" t="str">
        <f>TEXT(Table1[[#This Row],[Order_Date]],"dddd")</f>
        <v>Saturday</v>
      </c>
      <c r="F862" s="4">
        <f t="shared" si="157"/>
        <v>2</v>
      </c>
      <c r="G862" t="str">
        <f t="shared" si="160"/>
        <v>February</v>
      </c>
      <c r="H862">
        <f t="shared" si="161"/>
        <v>2024</v>
      </c>
      <c r="I862" t="str">
        <f t="shared" si="162"/>
        <v>2024-Q1</v>
      </c>
      <c r="J862" t="s">
        <v>55</v>
      </c>
      <c r="K862" t="s">
        <v>4501</v>
      </c>
      <c r="L862" t="s">
        <v>4502</v>
      </c>
      <c r="M862" t="s">
        <v>47</v>
      </c>
      <c r="N862" t="s">
        <v>25</v>
      </c>
      <c r="O862" t="s">
        <v>179</v>
      </c>
      <c r="P862" t="s">
        <v>27</v>
      </c>
      <c r="Q862" t="s">
        <v>87</v>
      </c>
      <c r="R862" t="s">
        <v>4503</v>
      </c>
      <c r="S862" t="s">
        <v>30</v>
      </c>
      <c r="T862" t="s">
        <v>41</v>
      </c>
      <c r="U862" t="s">
        <v>4504</v>
      </c>
      <c r="V862" s="3">
        <v>924.92</v>
      </c>
      <c r="W862" s="4">
        <v>7</v>
      </c>
      <c r="X862" s="2">
        <v>0.1</v>
      </c>
      <c r="Y862" s="3">
        <v>165.07</v>
      </c>
      <c r="Z862" t="str">
        <f t="shared" si="158"/>
        <v>Normal</v>
      </c>
      <c r="AA862" t="str">
        <f t="shared" si="159"/>
        <v>Medium</v>
      </c>
      <c r="AB862" t="str">
        <f t="shared" si="163"/>
        <v>Low Profit</v>
      </c>
      <c r="AC862" s="3">
        <f t="shared" si="164"/>
        <v>0.17846948925312459</v>
      </c>
      <c r="AD862" s="3">
        <f t="shared" si="165"/>
        <v>132.13142857142856</v>
      </c>
      <c r="AE862" s="3">
        <f t="shared" si="166"/>
        <v>23.581428571428571</v>
      </c>
      <c r="AF862" t="str">
        <f t="shared" si="167"/>
        <v>Regular</v>
      </c>
    </row>
    <row r="863" spans="1:32" x14ac:dyDescent="0.25">
      <c r="A863" t="s">
        <v>5755</v>
      </c>
      <c r="B863" s="1">
        <v>45346</v>
      </c>
      <c r="C863" s="1">
        <v>45347</v>
      </c>
      <c r="D863" s="4">
        <f t="shared" si="156"/>
        <v>1</v>
      </c>
      <c r="E863" s="4" t="str">
        <f>TEXT(Table1[[#This Row],[Order_Date]],"dddd")</f>
        <v>Saturday</v>
      </c>
      <c r="F863" s="4">
        <f t="shared" si="157"/>
        <v>2</v>
      </c>
      <c r="G863" t="str">
        <f t="shared" si="160"/>
        <v>February</v>
      </c>
      <c r="H863">
        <f t="shared" si="161"/>
        <v>2024</v>
      </c>
      <c r="I863" t="str">
        <f t="shared" si="162"/>
        <v>2024-Q1</v>
      </c>
      <c r="J863" t="s">
        <v>104</v>
      </c>
      <c r="K863" t="s">
        <v>5756</v>
      </c>
      <c r="L863" t="s">
        <v>5757</v>
      </c>
      <c r="M863" t="s">
        <v>24</v>
      </c>
      <c r="N863" t="s">
        <v>25</v>
      </c>
      <c r="O863" t="s">
        <v>80</v>
      </c>
      <c r="P863" t="s">
        <v>49</v>
      </c>
      <c r="Q863" t="s">
        <v>66</v>
      </c>
      <c r="R863" t="s">
        <v>5758</v>
      </c>
      <c r="S863" t="s">
        <v>59</v>
      </c>
      <c r="T863" t="s">
        <v>277</v>
      </c>
      <c r="U863" t="s">
        <v>3845</v>
      </c>
      <c r="V863" s="3">
        <v>2805</v>
      </c>
      <c r="W863" s="4">
        <v>10</v>
      </c>
      <c r="X863" s="2">
        <v>0.2</v>
      </c>
      <c r="Y863" s="3">
        <v>-128.97</v>
      </c>
      <c r="Z863" t="str">
        <f t="shared" si="158"/>
        <v>Normal</v>
      </c>
      <c r="AA863" t="str">
        <f t="shared" si="159"/>
        <v>High</v>
      </c>
      <c r="AB863" t="str">
        <f t="shared" si="163"/>
        <v>Loss</v>
      </c>
      <c r="AC863" s="3">
        <f t="shared" si="164"/>
        <v>-4.5978609625668451E-2</v>
      </c>
      <c r="AD863" s="3">
        <f t="shared" si="165"/>
        <v>280.5</v>
      </c>
      <c r="AE863" s="3">
        <f t="shared" si="166"/>
        <v>-12.897</v>
      </c>
      <c r="AF863" t="str">
        <f t="shared" si="167"/>
        <v>Regular</v>
      </c>
    </row>
    <row r="864" spans="1:32" x14ac:dyDescent="0.25">
      <c r="A864" t="s">
        <v>5173</v>
      </c>
      <c r="B864" s="1">
        <v>45347</v>
      </c>
      <c r="C864" s="1">
        <v>45350</v>
      </c>
      <c r="D864" s="4">
        <f t="shared" si="156"/>
        <v>3</v>
      </c>
      <c r="E864" s="4" t="str">
        <f>TEXT(Table1[[#This Row],[Order_Date]],"dddd")</f>
        <v>Sunday</v>
      </c>
      <c r="F864" s="4">
        <f t="shared" si="157"/>
        <v>2</v>
      </c>
      <c r="G864" t="str">
        <f t="shared" si="160"/>
        <v>February</v>
      </c>
      <c r="H864">
        <f t="shared" si="161"/>
        <v>2024</v>
      </c>
      <c r="I864" t="str">
        <f t="shared" si="162"/>
        <v>2024-Q1</v>
      </c>
      <c r="J864" t="s">
        <v>55</v>
      </c>
      <c r="K864" t="s">
        <v>5174</v>
      </c>
      <c r="L864" t="s">
        <v>5175</v>
      </c>
      <c r="M864" t="s">
        <v>36</v>
      </c>
      <c r="N864" t="s">
        <v>25</v>
      </c>
      <c r="O864" t="s">
        <v>80</v>
      </c>
      <c r="P864" t="s">
        <v>49</v>
      </c>
      <c r="Q864" t="s">
        <v>28</v>
      </c>
      <c r="R864" t="s">
        <v>5176</v>
      </c>
      <c r="S864" t="s">
        <v>59</v>
      </c>
      <c r="T864" t="s">
        <v>60</v>
      </c>
      <c r="U864" t="s">
        <v>5177</v>
      </c>
      <c r="V864" s="3">
        <v>2662.88</v>
      </c>
      <c r="W864" s="4">
        <v>6</v>
      </c>
      <c r="X864" s="2">
        <v>0</v>
      </c>
      <c r="Y864" s="3">
        <v>-286.33</v>
      </c>
      <c r="Z864" t="str">
        <f t="shared" si="158"/>
        <v>Normal</v>
      </c>
      <c r="AA864" t="str">
        <f t="shared" si="159"/>
        <v>Low</v>
      </c>
      <c r="AB864" t="str">
        <f t="shared" si="163"/>
        <v>Loss</v>
      </c>
      <c r="AC864" s="3">
        <f t="shared" si="164"/>
        <v>-0.10752643754130865</v>
      </c>
      <c r="AD864" s="3">
        <f t="shared" si="165"/>
        <v>443.81333333333333</v>
      </c>
      <c r="AE864" s="3">
        <f t="shared" si="166"/>
        <v>-47.721666666666664</v>
      </c>
      <c r="AF864" t="str">
        <f t="shared" si="167"/>
        <v>Regular</v>
      </c>
    </row>
    <row r="865" spans="1:32" x14ac:dyDescent="0.25">
      <c r="A865" t="s">
        <v>738</v>
      </c>
      <c r="B865" s="1">
        <v>45348</v>
      </c>
      <c r="C865" s="1">
        <v>45352</v>
      </c>
      <c r="D865" s="4">
        <f t="shared" si="156"/>
        <v>4</v>
      </c>
      <c r="E865" s="4" t="str">
        <f>TEXT(Table1[[#This Row],[Order_Date]],"dddd")</f>
        <v>Monday</v>
      </c>
      <c r="F865" s="4">
        <f t="shared" si="157"/>
        <v>2</v>
      </c>
      <c r="G865" t="str">
        <f t="shared" si="160"/>
        <v>February</v>
      </c>
      <c r="H865">
        <f t="shared" si="161"/>
        <v>2024</v>
      </c>
      <c r="I865" t="str">
        <f t="shared" si="162"/>
        <v>2024-Q1</v>
      </c>
      <c r="J865" t="s">
        <v>44</v>
      </c>
      <c r="K865" t="s">
        <v>739</v>
      </c>
      <c r="L865" t="s">
        <v>740</v>
      </c>
      <c r="M865" t="s">
        <v>36</v>
      </c>
      <c r="N865" t="s">
        <v>25</v>
      </c>
      <c r="O865" t="s">
        <v>162</v>
      </c>
      <c r="P865" t="s">
        <v>163</v>
      </c>
      <c r="Q865" t="s">
        <v>28</v>
      </c>
      <c r="R865" t="s">
        <v>741</v>
      </c>
      <c r="S865" t="s">
        <v>59</v>
      </c>
      <c r="T865" t="s">
        <v>303</v>
      </c>
      <c r="U865" t="s">
        <v>742</v>
      </c>
      <c r="V865" s="3">
        <v>719.02</v>
      </c>
      <c r="W865" s="4">
        <v>9</v>
      </c>
      <c r="X865" s="2">
        <v>0.2</v>
      </c>
      <c r="Y865" s="3">
        <v>23.35</v>
      </c>
      <c r="Z865" t="str">
        <f t="shared" si="158"/>
        <v>Normal</v>
      </c>
      <c r="AA865" t="str">
        <f t="shared" si="159"/>
        <v>High</v>
      </c>
      <c r="AB865" t="str">
        <f t="shared" si="163"/>
        <v>Low Profit</v>
      </c>
      <c r="AC865" s="3">
        <f t="shared" si="164"/>
        <v>3.2474757308558873E-2</v>
      </c>
      <c r="AD865" s="3">
        <f t="shared" si="165"/>
        <v>79.891111111111115</v>
      </c>
      <c r="AE865" s="3">
        <f t="shared" si="166"/>
        <v>2.5944444444444446</v>
      </c>
      <c r="AF865" t="str">
        <f t="shared" si="167"/>
        <v>Regular</v>
      </c>
    </row>
    <row r="866" spans="1:32" x14ac:dyDescent="0.25">
      <c r="A866" t="s">
        <v>5493</v>
      </c>
      <c r="B866" s="1">
        <v>45349</v>
      </c>
      <c r="C866" s="1">
        <v>45350</v>
      </c>
      <c r="D866" s="4">
        <f t="shared" si="156"/>
        <v>1</v>
      </c>
      <c r="E866" s="4" t="str">
        <f>TEXT(Table1[[#This Row],[Order_Date]],"dddd")</f>
        <v>Tuesday</v>
      </c>
      <c r="F866" s="4">
        <f t="shared" si="157"/>
        <v>2</v>
      </c>
      <c r="G866" t="str">
        <f t="shared" si="160"/>
        <v>February</v>
      </c>
      <c r="H866">
        <f t="shared" si="161"/>
        <v>2024</v>
      </c>
      <c r="I866" t="str">
        <f t="shared" si="162"/>
        <v>2024-Q1</v>
      </c>
      <c r="J866" t="s">
        <v>44</v>
      </c>
      <c r="K866" t="s">
        <v>5494</v>
      </c>
      <c r="L866" t="s">
        <v>5495</v>
      </c>
      <c r="M866" t="s">
        <v>47</v>
      </c>
      <c r="N866" t="s">
        <v>25</v>
      </c>
      <c r="O866" t="s">
        <v>179</v>
      </c>
      <c r="P866" t="s">
        <v>27</v>
      </c>
      <c r="Q866" t="s">
        <v>87</v>
      </c>
      <c r="R866" t="s">
        <v>5496</v>
      </c>
      <c r="S866" t="s">
        <v>30</v>
      </c>
      <c r="T866" t="s">
        <v>68</v>
      </c>
      <c r="U866" t="s">
        <v>5497</v>
      </c>
      <c r="V866" s="3">
        <v>2236.27</v>
      </c>
      <c r="W866" s="4">
        <v>2</v>
      </c>
      <c r="X866" s="2">
        <v>0.4</v>
      </c>
      <c r="Y866" s="3">
        <v>112.35</v>
      </c>
      <c r="Z866" t="str">
        <f t="shared" si="158"/>
        <v>Normal</v>
      </c>
      <c r="AA866" t="str">
        <f t="shared" si="159"/>
        <v>High</v>
      </c>
      <c r="AB866" t="str">
        <f t="shared" si="163"/>
        <v>Low Profit</v>
      </c>
      <c r="AC866" s="3">
        <f t="shared" si="164"/>
        <v>5.0239908418929731E-2</v>
      </c>
      <c r="AD866" s="3">
        <f t="shared" si="165"/>
        <v>1118.135</v>
      </c>
      <c r="AE866" s="3">
        <f t="shared" si="166"/>
        <v>56.174999999999997</v>
      </c>
      <c r="AF866" t="str">
        <f t="shared" si="167"/>
        <v>Regular</v>
      </c>
    </row>
    <row r="867" spans="1:32" x14ac:dyDescent="0.25">
      <c r="A867" t="s">
        <v>6654</v>
      </c>
      <c r="B867" s="1">
        <v>45349</v>
      </c>
      <c r="C867" s="1">
        <v>45352</v>
      </c>
      <c r="D867" s="4">
        <f t="shared" si="156"/>
        <v>3</v>
      </c>
      <c r="E867" s="4" t="str">
        <f>TEXT(Table1[[#This Row],[Order_Date]],"dddd")</f>
        <v>Tuesday</v>
      </c>
      <c r="F867" s="4">
        <f t="shared" si="157"/>
        <v>2</v>
      </c>
      <c r="G867" t="str">
        <f t="shared" si="160"/>
        <v>February</v>
      </c>
      <c r="H867">
        <f t="shared" si="161"/>
        <v>2024</v>
      </c>
      <c r="I867" t="str">
        <f t="shared" si="162"/>
        <v>2024-Q1</v>
      </c>
      <c r="J867" t="s">
        <v>44</v>
      </c>
      <c r="K867" t="s">
        <v>6655</v>
      </c>
      <c r="L867" t="s">
        <v>6656</v>
      </c>
      <c r="M867" t="s">
        <v>47</v>
      </c>
      <c r="N867" t="s">
        <v>25</v>
      </c>
      <c r="O867" t="s">
        <v>119</v>
      </c>
      <c r="P867" t="s">
        <v>120</v>
      </c>
      <c r="Q867" t="s">
        <v>87</v>
      </c>
      <c r="R867" t="s">
        <v>6657</v>
      </c>
      <c r="S867" t="s">
        <v>51</v>
      </c>
      <c r="T867" t="s">
        <v>151</v>
      </c>
      <c r="U867" t="s">
        <v>6658</v>
      </c>
      <c r="V867" s="3">
        <v>3261.65</v>
      </c>
      <c r="W867" s="4">
        <v>8</v>
      </c>
      <c r="X867" s="2">
        <v>0.1</v>
      </c>
      <c r="Y867" s="3">
        <v>-15.36</v>
      </c>
      <c r="Z867" t="str">
        <f t="shared" si="158"/>
        <v>Normal</v>
      </c>
      <c r="AA867" t="str">
        <f t="shared" si="159"/>
        <v>Medium</v>
      </c>
      <c r="AB867" t="str">
        <f t="shared" si="163"/>
        <v>Loss</v>
      </c>
      <c r="AC867" s="3">
        <f t="shared" si="164"/>
        <v>-4.709272914015912E-3</v>
      </c>
      <c r="AD867" s="3">
        <f t="shared" si="165"/>
        <v>407.70625000000001</v>
      </c>
      <c r="AE867" s="3">
        <f t="shared" si="166"/>
        <v>-1.92</v>
      </c>
      <c r="AF867" t="str">
        <f t="shared" si="167"/>
        <v>Regular</v>
      </c>
    </row>
    <row r="868" spans="1:32" x14ac:dyDescent="0.25">
      <c r="A868" t="s">
        <v>2016</v>
      </c>
      <c r="B868" s="1">
        <v>45350</v>
      </c>
      <c r="C868" s="1">
        <v>45353</v>
      </c>
      <c r="D868" s="4">
        <f t="shared" si="156"/>
        <v>3</v>
      </c>
      <c r="E868" s="4" t="str">
        <f>TEXT(Table1[[#This Row],[Order_Date]],"dddd")</f>
        <v>Wednesday</v>
      </c>
      <c r="F868" s="4">
        <f t="shared" si="157"/>
        <v>2</v>
      </c>
      <c r="G868" t="str">
        <f t="shared" si="160"/>
        <v>February</v>
      </c>
      <c r="H868">
        <f t="shared" si="161"/>
        <v>2024</v>
      </c>
      <c r="I868" t="str">
        <f t="shared" si="162"/>
        <v>2024-Q1</v>
      </c>
      <c r="J868" t="s">
        <v>21</v>
      </c>
      <c r="K868" t="s">
        <v>2017</v>
      </c>
      <c r="L868" t="s">
        <v>2018</v>
      </c>
      <c r="M868" t="s">
        <v>47</v>
      </c>
      <c r="N868" t="s">
        <v>25</v>
      </c>
      <c r="O868" t="s">
        <v>451</v>
      </c>
      <c r="P868" t="s">
        <v>38</v>
      </c>
      <c r="Q868" t="s">
        <v>66</v>
      </c>
      <c r="R868" t="s">
        <v>2019</v>
      </c>
      <c r="S868" t="s">
        <v>51</v>
      </c>
      <c r="T868" t="s">
        <v>151</v>
      </c>
      <c r="U868" t="s">
        <v>2020</v>
      </c>
      <c r="V868" s="3">
        <v>1446.34</v>
      </c>
      <c r="W868" s="4">
        <v>8</v>
      </c>
      <c r="X868" s="2">
        <v>0.3</v>
      </c>
      <c r="Y868" s="3">
        <v>-127.54</v>
      </c>
      <c r="Z868" t="str">
        <f t="shared" si="158"/>
        <v>Normal</v>
      </c>
      <c r="AA868" t="str">
        <f t="shared" si="159"/>
        <v>High</v>
      </c>
      <c r="AB868" t="str">
        <f t="shared" si="163"/>
        <v>Loss</v>
      </c>
      <c r="AC868" s="3">
        <f t="shared" si="164"/>
        <v>-8.8181202206949971E-2</v>
      </c>
      <c r="AD868" s="3">
        <f t="shared" si="165"/>
        <v>180.79249999999999</v>
      </c>
      <c r="AE868" s="3">
        <f t="shared" si="166"/>
        <v>-15.942500000000001</v>
      </c>
      <c r="AF868" t="str">
        <f t="shared" si="167"/>
        <v>Regular</v>
      </c>
    </row>
    <row r="869" spans="1:32" x14ac:dyDescent="0.25">
      <c r="A869" t="s">
        <v>4637</v>
      </c>
      <c r="B869" s="1">
        <v>45350</v>
      </c>
      <c r="C869" s="1">
        <v>45356</v>
      </c>
      <c r="D869" s="4">
        <f t="shared" si="156"/>
        <v>6</v>
      </c>
      <c r="E869" s="4" t="str">
        <f>TEXT(Table1[[#This Row],[Order_Date]],"dddd")</f>
        <v>Wednesday</v>
      </c>
      <c r="F869" s="4">
        <f t="shared" si="157"/>
        <v>2</v>
      </c>
      <c r="G869" t="str">
        <f t="shared" si="160"/>
        <v>February</v>
      </c>
      <c r="H869">
        <f t="shared" si="161"/>
        <v>2024</v>
      </c>
      <c r="I869" t="str">
        <f t="shared" si="162"/>
        <v>2024-Q1</v>
      </c>
      <c r="J869" t="s">
        <v>44</v>
      </c>
      <c r="K869" t="s">
        <v>4638</v>
      </c>
      <c r="L869" t="s">
        <v>4639</v>
      </c>
      <c r="M869" t="s">
        <v>36</v>
      </c>
      <c r="N869" t="s">
        <v>25</v>
      </c>
      <c r="O869" t="s">
        <v>48</v>
      </c>
      <c r="P869" t="s">
        <v>49</v>
      </c>
      <c r="Q869" t="s">
        <v>87</v>
      </c>
      <c r="R869" t="s">
        <v>4640</v>
      </c>
      <c r="S869" t="s">
        <v>51</v>
      </c>
      <c r="T869" t="s">
        <v>108</v>
      </c>
      <c r="U869" t="s">
        <v>4641</v>
      </c>
      <c r="V869" s="3">
        <v>652.77</v>
      </c>
      <c r="W869" s="4">
        <v>7</v>
      </c>
      <c r="X869" s="2">
        <v>0.3</v>
      </c>
      <c r="Y869" s="3">
        <v>-0.6</v>
      </c>
      <c r="Z869" t="str">
        <f t="shared" si="158"/>
        <v>Normal</v>
      </c>
      <c r="AA869" t="str">
        <f t="shared" si="159"/>
        <v>High</v>
      </c>
      <c r="AB869" t="str">
        <f t="shared" si="163"/>
        <v>Loss</v>
      </c>
      <c r="AC869" s="3">
        <f t="shared" si="164"/>
        <v>-9.1915988786249372E-4</v>
      </c>
      <c r="AD869" s="3">
        <f t="shared" si="165"/>
        <v>93.252857142857138</v>
      </c>
      <c r="AE869" s="3">
        <f t="shared" si="166"/>
        <v>-8.5714285714285715E-2</v>
      </c>
      <c r="AF869" t="str">
        <f t="shared" si="167"/>
        <v>Regular</v>
      </c>
    </row>
    <row r="870" spans="1:32" x14ac:dyDescent="0.25">
      <c r="A870" t="s">
        <v>6758</v>
      </c>
      <c r="B870" s="1">
        <v>45351</v>
      </c>
      <c r="C870" s="1">
        <v>45359</v>
      </c>
      <c r="D870" s="4">
        <f t="shared" si="156"/>
        <v>8</v>
      </c>
      <c r="E870" s="4" t="str">
        <f>TEXT(Table1[[#This Row],[Order_Date]],"dddd")</f>
        <v>Thursday</v>
      </c>
      <c r="F870" s="4">
        <f t="shared" si="157"/>
        <v>2</v>
      </c>
      <c r="G870" t="str">
        <f t="shared" si="160"/>
        <v>February</v>
      </c>
      <c r="H870">
        <f t="shared" si="161"/>
        <v>2024</v>
      </c>
      <c r="I870" t="str">
        <f t="shared" si="162"/>
        <v>2024-Q1</v>
      </c>
      <c r="J870" t="s">
        <v>21</v>
      </c>
      <c r="K870" t="s">
        <v>6759</v>
      </c>
      <c r="L870" t="s">
        <v>6760</v>
      </c>
      <c r="M870" t="s">
        <v>24</v>
      </c>
      <c r="N870" t="s">
        <v>25</v>
      </c>
      <c r="O870" t="s">
        <v>233</v>
      </c>
      <c r="P870" t="s">
        <v>163</v>
      </c>
      <c r="Q870" t="s">
        <v>87</v>
      </c>
      <c r="R870" t="s">
        <v>6761</v>
      </c>
      <c r="S870" t="s">
        <v>59</v>
      </c>
      <c r="T870" t="s">
        <v>101</v>
      </c>
      <c r="U870" t="s">
        <v>6762</v>
      </c>
      <c r="V870" s="3">
        <v>4015.92</v>
      </c>
      <c r="W870" s="4">
        <v>1</v>
      </c>
      <c r="X870" s="2">
        <v>0.1</v>
      </c>
      <c r="Y870" s="3">
        <v>408.08</v>
      </c>
      <c r="Z870" t="str">
        <f t="shared" si="158"/>
        <v>Normal</v>
      </c>
      <c r="AA870" t="str">
        <f t="shared" si="159"/>
        <v>Medium</v>
      </c>
      <c r="AB870" t="str">
        <f t="shared" si="163"/>
        <v>Low Profit</v>
      </c>
      <c r="AC870" s="3">
        <f t="shared" si="164"/>
        <v>0.10161557003127551</v>
      </c>
      <c r="AD870" s="3">
        <f t="shared" si="165"/>
        <v>4015.92</v>
      </c>
      <c r="AE870" s="3">
        <f t="shared" si="166"/>
        <v>408.08</v>
      </c>
      <c r="AF870" t="str">
        <f t="shared" si="167"/>
        <v>Regular</v>
      </c>
    </row>
    <row r="871" spans="1:32" x14ac:dyDescent="0.25">
      <c r="A871" t="s">
        <v>6911</v>
      </c>
      <c r="B871" s="1">
        <v>45352</v>
      </c>
      <c r="C871" s="1">
        <v>45359</v>
      </c>
      <c r="D871" s="4">
        <f t="shared" si="156"/>
        <v>7</v>
      </c>
      <c r="E871" s="4" t="str">
        <f>TEXT(Table1[[#This Row],[Order_Date]],"dddd")</f>
        <v>Friday</v>
      </c>
      <c r="F871" s="4">
        <f t="shared" si="157"/>
        <v>3</v>
      </c>
      <c r="G871" t="str">
        <f t="shared" si="160"/>
        <v>March</v>
      </c>
      <c r="H871">
        <f t="shared" si="161"/>
        <v>2024</v>
      </c>
      <c r="I871" t="str">
        <f t="shared" si="162"/>
        <v>2024-Q1</v>
      </c>
      <c r="J871" t="s">
        <v>21</v>
      </c>
      <c r="K871" t="s">
        <v>6912</v>
      </c>
      <c r="L871" t="s">
        <v>6913</v>
      </c>
      <c r="M871" t="s">
        <v>47</v>
      </c>
      <c r="N871" t="s">
        <v>25</v>
      </c>
      <c r="O871" t="s">
        <v>511</v>
      </c>
      <c r="P871" t="s">
        <v>120</v>
      </c>
      <c r="Q871" t="s">
        <v>87</v>
      </c>
      <c r="R871" t="s">
        <v>6914</v>
      </c>
      <c r="S871" t="s">
        <v>59</v>
      </c>
      <c r="T871" t="s">
        <v>101</v>
      </c>
      <c r="U871" t="s">
        <v>6915</v>
      </c>
      <c r="V871" s="3">
        <v>3200.58</v>
      </c>
      <c r="W871" s="4">
        <v>4</v>
      </c>
      <c r="X871" s="2">
        <v>0.2</v>
      </c>
      <c r="Y871" s="3">
        <v>-453.27</v>
      </c>
      <c r="Z871" t="str">
        <f t="shared" si="158"/>
        <v>Normal</v>
      </c>
      <c r="AA871" t="str">
        <f t="shared" si="159"/>
        <v>High</v>
      </c>
      <c r="AB871" t="str">
        <f t="shared" si="163"/>
        <v>Loss</v>
      </c>
      <c r="AC871" s="3">
        <f t="shared" si="164"/>
        <v>-0.14162120615638416</v>
      </c>
      <c r="AD871" s="3">
        <f t="shared" si="165"/>
        <v>800.14499999999998</v>
      </c>
      <c r="AE871" s="3">
        <f t="shared" si="166"/>
        <v>-113.3175</v>
      </c>
      <c r="AF871" t="str">
        <f t="shared" si="167"/>
        <v>Regular</v>
      </c>
    </row>
    <row r="872" spans="1:32" x14ac:dyDescent="0.25">
      <c r="A872" t="s">
        <v>6243</v>
      </c>
      <c r="B872" s="1">
        <v>45352</v>
      </c>
      <c r="C872" s="1">
        <v>45360</v>
      </c>
      <c r="D872" s="4">
        <f t="shared" si="156"/>
        <v>8</v>
      </c>
      <c r="E872" s="4" t="str">
        <f>TEXT(Table1[[#This Row],[Order_Date]],"dddd")</f>
        <v>Friday</v>
      </c>
      <c r="F872" s="4">
        <f t="shared" si="157"/>
        <v>3</v>
      </c>
      <c r="G872" t="str">
        <f t="shared" si="160"/>
        <v>March</v>
      </c>
      <c r="H872">
        <f t="shared" si="161"/>
        <v>2024</v>
      </c>
      <c r="I872" t="str">
        <f t="shared" si="162"/>
        <v>2024-Q1</v>
      </c>
      <c r="J872" t="s">
        <v>55</v>
      </c>
      <c r="K872" t="s">
        <v>6244</v>
      </c>
      <c r="L872" t="s">
        <v>6245</v>
      </c>
      <c r="M872" t="s">
        <v>47</v>
      </c>
      <c r="N872" t="s">
        <v>25</v>
      </c>
      <c r="O872" t="s">
        <v>201</v>
      </c>
      <c r="P872" t="s">
        <v>113</v>
      </c>
      <c r="Q872" t="s">
        <v>87</v>
      </c>
      <c r="R872" t="s">
        <v>6246</v>
      </c>
      <c r="S872" t="s">
        <v>51</v>
      </c>
      <c r="T872" t="s">
        <v>52</v>
      </c>
      <c r="U872" t="s">
        <v>6247</v>
      </c>
      <c r="V872" s="3">
        <v>1908.87</v>
      </c>
      <c r="W872" s="4">
        <v>10</v>
      </c>
      <c r="X872" s="2">
        <v>0.1</v>
      </c>
      <c r="Y872" s="3">
        <v>58.31</v>
      </c>
      <c r="Z872" t="str">
        <f t="shared" si="158"/>
        <v>Normal</v>
      </c>
      <c r="AA872" t="str">
        <f t="shared" si="159"/>
        <v>Medium</v>
      </c>
      <c r="AB872" t="str">
        <f t="shared" si="163"/>
        <v>Low Profit</v>
      </c>
      <c r="AC872" s="3">
        <f t="shared" si="164"/>
        <v>3.0546868042349667E-2</v>
      </c>
      <c r="AD872" s="3">
        <f t="shared" si="165"/>
        <v>190.887</v>
      </c>
      <c r="AE872" s="3">
        <f t="shared" si="166"/>
        <v>5.8310000000000004</v>
      </c>
      <c r="AF872" t="str">
        <f t="shared" si="167"/>
        <v>Regular</v>
      </c>
    </row>
    <row r="873" spans="1:32" x14ac:dyDescent="0.25">
      <c r="A873" t="s">
        <v>7199</v>
      </c>
      <c r="B873" s="1">
        <v>45352</v>
      </c>
      <c r="C873" s="1">
        <v>45353</v>
      </c>
      <c r="D873" s="4">
        <f t="shared" si="156"/>
        <v>1</v>
      </c>
      <c r="E873" s="4" t="str">
        <f>TEXT(Table1[[#This Row],[Order_Date]],"dddd")</f>
        <v>Friday</v>
      </c>
      <c r="F873" s="4">
        <f t="shared" si="157"/>
        <v>3</v>
      </c>
      <c r="G873" t="str">
        <f t="shared" si="160"/>
        <v>March</v>
      </c>
      <c r="H873">
        <f t="shared" si="161"/>
        <v>2024</v>
      </c>
      <c r="I873" t="str">
        <f t="shared" si="162"/>
        <v>2024-Q1</v>
      </c>
      <c r="J873" t="s">
        <v>21</v>
      </c>
      <c r="K873" t="s">
        <v>7200</v>
      </c>
      <c r="L873" t="s">
        <v>7201</v>
      </c>
      <c r="M873" t="s">
        <v>47</v>
      </c>
      <c r="N873" t="s">
        <v>25</v>
      </c>
      <c r="O873" t="s">
        <v>190</v>
      </c>
      <c r="P873" t="s">
        <v>120</v>
      </c>
      <c r="Q873" t="s">
        <v>66</v>
      </c>
      <c r="R873" t="s">
        <v>7202</v>
      </c>
      <c r="S873" t="s">
        <v>51</v>
      </c>
      <c r="T873" t="s">
        <v>151</v>
      </c>
      <c r="U873" t="s">
        <v>7203</v>
      </c>
      <c r="V873" s="3">
        <v>3375.52</v>
      </c>
      <c r="W873" s="4">
        <v>5</v>
      </c>
      <c r="X873" s="2">
        <v>0.3</v>
      </c>
      <c r="Y873" s="3">
        <v>586.30999999999995</v>
      </c>
      <c r="Z873" t="str">
        <f t="shared" si="158"/>
        <v>Normal</v>
      </c>
      <c r="AA873" t="str">
        <f t="shared" si="159"/>
        <v>High</v>
      </c>
      <c r="AB873" t="str">
        <f t="shared" si="163"/>
        <v>High Profit</v>
      </c>
      <c r="AC873" s="3">
        <f t="shared" si="164"/>
        <v>0.17369471962838318</v>
      </c>
      <c r="AD873" s="3">
        <f t="shared" si="165"/>
        <v>675.10400000000004</v>
      </c>
      <c r="AE873" s="3">
        <f t="shared" si="166"/>
        <v>117.26199999999999</v>
      </c>
      <c r="AF873" t="str">
        <f t="shared" si="167"/>
        <v>Regular</v>
      </c>
    </row>
    <row r="874" spans="1:32" x14ac:dyDescent="0.25">
      <c r="A874" t="s">
        <v>3917</v>
      </c>
      <c r="B874" s="1">
        <v>45352</v>
      </c>
      <c r="C874" s="1">
        <v>45362</v>
      </c>
      <c r="D874" s="4">
        <f t="shared" si="156"/>
        <v>10</v>
      </c>
      <c r="E874" s="4" t="str">
        <f>TEXT(Table1[[#This Row],[Order_Date]],"dddd")</f>
        <v>Friday</v>
      </c>
      <c r="F874" s="4">
        <f t="shared" si="157"/>
        <v>3</v>
      </c>
      <c r="G874" t="str">
        <f t="shared" si="160"/>
        <v>March</v>
      </c>
      <c r="H874">
        <f t="shared" si="161"/>
        <v>2024</v>
      </c>
      <c r="I874" t="str">
        <f t="shared" si="162"/>
        <v>2024-Q1</v>
      </c>
      <c r="J874" t="s">
        <v>44</v>
      </c>
      <c r="K874" t="s">
        <v>3918</v>
      </c>
      <c r="L874" t="s">
        <v>3919</v>
      </c>
      <c r="M874" t="s">
        <v>47</v>
      </c>
      <c r="N874" t="s">
        <v>25</v>
      </c>
      <c r="O874" t="s">
        <v>113</v>
      </c>
      <c r="P874" t="s">
        <v>113</v>
      </c>
      <c r="Q874" t="s">
        <v>66</v>
      </c>
      <c r="R874" t="s">
        <v>3920</v>
      </c>
      <c r="S874" t="s">
        <v>30</v>
      </c>
      <c r="T874" t="s">
        <v>31</v>
      </c>
      <c r="U874" t="s">
        <v>2582</v>
      </c>
      <c r="V874" s="3">
        <v>3651.87</v>
      </c>
      <c r="W874" s="4">
        <v>5</v>
      </c>
      <c r="X874" s="2">
        <v>0.1</v>
      </c>
      <c r="Y874" s="3">
        <v>-363.28</v>
      </c>
      <c r="Z874" t="str">
        <f t="shared" si="158"/>
        <v>Normal</v>
      </c>
      <c r="AA874" t="str">
        <f t="shared" si="159"/>
        <v>Medium</v>
      </c>
      <c r="AB874" t="str">
        <f t="shared" si="163"/>
        <v>Loss</v>
      </c>
      <c r="AC874" s="3">
        <f t="shared" si="164"/>
        <v>-9.9477801783743672E-2</v>
      </c>
      <c r="AD874" s="3">
        <f t="shared" si="165"/>
        <v>730.37400000000002</v>
      </c>
      <c r="AE874" s="3">
        <f t="shared" si="166"/>
        <v>-72.655999999999992</v>
      </c>
      <c r="AF874" t="str">
        <f t="shared" si="167"/>
        <v>Regular</v>
      </c>
    </row>
    <row r="875" spans="1:32" x14ac:dyDescent="0.25">
      <c r="A875" t="s">
        <v>2568</v>
      </c>
      <c r="B875" s="1">
        <v>45352</v>
      </c>
      <c r="C875" s="1">
        <v>45362</v>
      </c>
      <c r="D875" s="4">
        <f t="shared" si="156"/>
        <v>10</v>
      </c>
      <c r="E875" s="4" t="str">
        <f>TEXT(Table1[[#This Row],[Order_Date]],"dddd")</f>
        <v>Friday</v>
      </c>
      <c r="F875" s="4">
        <f t="shared" si="157"/>
        <v>3</v>
      </c>
      <c r="G875" t="str">
        <f t="shared" si="160"/>
        <v>March</v>
      </c>
      <c r="H875">
        <f t="shared" si="161"/>
        <v>2024</v>
      </c>
      <c r="I875" t="str">
        <f t="shared" si="162"/>
        <v>2024-Q1</v>
      </c>
      <c r="J875" t="s">
        <v>21</v>
      </c>
      <c r="K875" t="s">
        <v>2569</v>
      </c>
      <c r="L875" t="s">
        <v>2570</v>
      </c>
      <c r="M875" t="s">
        <v>24</v>
      </c>
      <c r="N875" t="s">
        <v>25</v>
      </c>
      <c r="O875" t="s">
        <v>451</v>
      </c>
      <c r="P875" t="s">
        <v>38</v>
      </c>
      <c r="Q875" t="s">
        <v>87</v>
      </c>
      <c r="R875" t="s">
        <v>2571</v>
      </c>
      <c r="S875" t="s">
        <v>30</v>
      </c>
      <c r="T875" t="s">
        <v>31</v>
      </c>
      <c r="U875" t="s">
        <v>2572</v>
      </c>
      <c r="V875" s="3">
        <v>3911.48</v>
      </c>
      <c r="W875" s="4">
        <v>4</v>
      </c>
      <c r="X875" s="2">
        <v>0.1</v>
      </c>
      <c r="Y875" s="3">
        <v>22.08</v>
      </c>
      <c r="Z875" t="str">
        <f t="shared" si="158"/>
        <v>Normal</v>
      </c>
      <c r="AA875" t="str">
        <f t="shared" si="159"/>
        <v>Medium</v>
      </c>
      <c r="AB875" t="str">
        <f t="shared" si="163"/>
        <v>Low Profit</v>
      </c>
      <c r="AC875" s="3">
        <f t="shared" si="164"/>
        <v>5.6449221266630526E-3</v>
      </c>
      <c r="AD875" s="3">
        <f t="shared" si="165"/>
        <v>977.87</v>
      </c>
      <c r="AE875" s="3">
        <f t="shared" si="166"/>
        <v>5.52</v>
      </c>
      <c r="AF875" t="str">
        <f t="shared" si="167"/>
        <v>Regular</v>
      </c>
    </row>
    <row r="876" spans="1:32" x14ac:dyDescent="0.25">
      <c r="A876" t="s">
        <v>7280</v>
      </c>
      <c r="B876" s="1">
        <v>45352</v>
      </c>
      <c r="C876" s="1">
        <v>45359</v>
      </c>
      <c r="D876" s="4">
        <f t="shared" si="156"/>
        <v>7</v>
      </c>
      <c r="E876" s="4" t="str">
        <f>TEXT(Table1[[#This Row],[Order_Date]],"dddd")</f>
        <v>Friday</v>
      </c>
      <c r="F876" s="4">
        <f t="shared" si="157"/>
        <v>3</v>
      </c>
      <c r="G876" t="str">
        <f t="shared" si="160"/>
        <v>March</v>
      </c>
      <c r="H876">
        <f t="shared" si="161"/>
        <v>2024</v>
      </c>
      <c r="I876" t="str">
        <f t="shared" si="162"/>
        <v>2024-Q1</v>
      </c>
      <c r="J876" t="s">
        <v>55</v>
      </c>
      <c r="K876" t="s">
        <v>7281</v>
      </c>
      <c r="L876" t="s">
        <v>7282</v>
      </c>
      <c r="M876" t="s">
        <v>24</v>
      </c>
      <c r="N876" t="s">
        <v>25</v>
      </c>
      <c r="O876" t="s">
        <v>382</v>
      </c>
      <c r="P876" t="s">
        <v>38</v>
      </c>
      <c r="Q876" t="s">
        <v>87</v>
      </c>
      <c r="R876" t="s">
        <v>7283</v>
      </c>
      <c r="S876" t="s">
        <v>30</v>
      </c>
      <c r="T876" t="s">
        <v>41</v>
      </c>
      <c r="U876" t="s">
        <v>7284</v>
      </c>
      <c r="V876" s="3">
        <v>3227.5</v>
      </c>
      <c r="W876" s="4">
        <v>9</v>
      </c>
      <c r="X876" s="2">
        <v>0.3</v>
      </c>
      <c r="Y876" s="3">
        <v>-103.85</v>
      </c>
      <c r="Z876" t="str">
        <f t="shared" si="158"/>
        <v>Normal</v>
      </c>
      <c r="AA876" t="str">
        <f t="shared" si="159"/>
        <v>High</v>
      </c>
      <c r="AB876" t="str">
        <f t="shared" si="163"/>
        <v>Loss</v>
      </c>
      <c r="AC876" s="3">
        <f t="shared" si="164"/>
        <v>-3.2176607281177383E-2</v>
      </c>
      <c r="AD876" s="3">
        <f t="shared" si="165"/>
        <v>358.61111111111109</v>
      </c>
      <c r="AE876" s="3">
        <f t="shared" si="166"/>
        <v>-11.538888888888888</v>
      </c>
      <c r="AF876" t="str">
        <f t="shared" si="167"/>
        <v>Regular</v>
      </c>
    </row>
    <row r="877" spans="1:32" x14ac:dyDescent="0.25">
      <c r="A877" t="s">
        <v>2374</v>
      </c>
      <c r="B877" s="1">
        <v>45353</v>
      </c>
      <c r="C877" s="1">
        <v>45355</v>
      </c>
      <c r="D877" s="4">
        <f t="shared" si="156"/>
        <v>2</v>
      </c>
      <c r="E877" s="4" t="str">
        <f>TEXT(Table1[[#This Row],[Order_Date]],"dddd")</f>
        <v>Saturday</v>
      </c>
      <c r="F877" s="4">
        <f t="shared" si="157"/>
        <v>3</v>
      </c>
      <c r="G877" t="str">
        <f t="shared" si="160"/>
        <v>March</v>
      </c>
      <c r="H877">
        <f t="shared" si="161"/>
        <v>2024</v>
      </c>
      <c r="I877" t="str">
        <f t="shared" si="162"/>
        <v>2024-Q1</v>
      </c>
      <c r="J877" t="s">
        <v>44</v>
      </c>
      <c r="K877" t="s">
        <v>2375</v>
      </c>
      <c r="L877" t="s">
        <v>2376</v>
      </c>
      <c r="M877" t="s">
        <v>24</v>
      </c>
      <c r="N877" t="s">
        <v>25</v>
      </c>
      <c r="O877" t="s">
        <v>119</v>
      </c>
      <c r="P877" t="s">
        <v>120</v>
      </c>
      <c r="Q877" t="s">
        <v>87</v>
      </c>
      <c r="R877" t="s">
        <v>2377</v>
      </c>
      <c r="S877" t="s">
        <v>51</v>
      </c>
      <c r="T877" t="s">
        <v>108</v>
      </c>
      <c r="U877" t="s">
        <v>2378</v>
      </c>
      <c r="V877" s="3">
        <v>857</v>
      </c>
      <c r="W877" s="4">
        <v>2</v>
      </c>
      <c r="X877" s="2">
        <v>0</v>
      </c>
      <c r="Y877" s="3">
        <v>-22</v>
      </c>
      <c r="Z877" t="str">
        <f t="shared" si="158"/>
        <v>Normal</v>
      </c>
      <c r="AA877" t="str">
        <f t="shared" si="159"/>
        <v>Low</v>
      </c>
      <c r="AB877" t="str">
        <f t="shared" si="163"/>
        <v>Loss</v>
      </c>
      <c r="AC877" s="3">
        <f t="shared" si="164"/>
        <v>-2.5670945157526253E-2</v>
      </c>
      <c r="AD877" s="3">
        <f t="shared" si="165"/>
        <v>428.5</v>
      </c>
      <c r="AE877" s="3">
        <f t="shared" si="166"/>
        <v>-11</v>
      </c>
      <c r="AF877" t="str">
        <f t="shared" si="167"/>
        <v>Regular</v>
      </c>
    </row>
    <row r="878" spans="1:32" x14ac:dyDescent="0.25">
      <c r="A878" t="s">
        <v>1976</v>
      </c>
      <c r="B878" s="1">
        <v>45354</v>
      </c>
      <c r="C878" s="1">
        <v>45364</v>
      </c>
      <c r="D878" s="4">
        <f t="shared" si="156"/>
        <v>10</v>
      </c>
      <c r="E878" s="4" t="str">
        <f>TEXT(Table1[[#This Row],[Order_Date]],"dddd")</f>
        <v>Sunday</v>
      </c>
      <c r="F878" s="4">
        <f t="shared" si="157"/>
        <v>3</v>
      </c>
      <c r="G878" t="str">
        <f t="shared" si="160"/>
        <v>March</v>
      </c>
      <c r="H878">
        <f t="shared" si="161"/>
        <v>2024</v>
      </c>
      <c r="I878" t="str">
        <f t="shared" si="162"/>
        <v>2024-Q1</v>
      </c>
      <c r="J878" t="s">
        <v>55</v>
      </c>
      <c r="K878" t="s">
        <v>1977</v>
      </c>
      <c r="L878" t="s">
        <v>1978</v>
      </c>
      <c r="M878" t="s">
        <v>36</v>
      </c>
      <c r="N878" t="s">
        <v>25</v>
      </c>
      <c r="O878" t="s">
        <v>233</v>
      </c>
      <c r="P878" t="s">
        <v>163</v>
      </c>
      <c r="Q878" t="s">
        <v>28</v>
      </c>
      <c r="R878" t="s">
        <v>1979</v>
      </c>
      <c r="S878" t="s">
        <v>30</v>
      </c>
      <c r="T878" t="s">
        <v>31</v>
      </c>
      <c r="U878" t="s">
        <v>1980</v>
      </c>
      <c r="V878" s="3">
        <v>2560.0700000000002</v>
      </c>
      <c r="W878" s="4">
        <v>4</v>
      </c>
      <c r="X878" s="2">
        <v>0.1</v>
      </c>
      <c r="Y878" s="3">
        <v>-94.99</v>
      </c>
      <c r="Z878" t="str">
        <f t="shared" si="158"/>
        <v>Normal</v>
      </c>
      <c r="AA878" t="str">
        <f t="shared" si="159"/>
        <v>Medium</v>
      </c>
      <c r="AB878" t="str">
        <f t="shared" si="163"/>
        <v>Loss</v>
      </c>
      <c r="AC878" s="3">
        <f t="shared" si="164"/>
        <v>-3.7104454175081146E-2</v>
      </c>
      <c r="AD878" s="3">
        <f t="shared" si="165"/>
        <v>640.01750000000004</v>
      </c>
      <c r="AE878" s="3">
        <f t="shared" si="166"/>
        <v>-23.747499999999999</v>
      </c>
      <c r="AF878" t="str">
        <f t="shared" si="167"/>
        <v>Regular</v>
      </c>
    </row>
    <row r="879" spans="1:32" x14ac:dyDescent="0.25">
      <c r="A879" t="s">
        <v>6728</v>
      </c>
      <c r="B879" s="1">
        <v>45354</v>
      </c>
      <c r="C879" s="1">
        <v>45362</v>
      </c>
      <c r="D879" s="4">
        <f t="shared" si="156"/>
        <v>8</v>
      </c>
      <c r="E879" s="4" t="str">
        <f>TEXT(Table1[[#This Row],[Order_Date]],"dddd")</f>
        <v>Sunday</v>
      </c>
      <c r="F879" s="4">
        <f t="shared" si="157"/>
        <v>3</v>
      </c>
      <c r="G879" t="str">
        <f t="shared" si="160"/>
        <v>March</v>
      </c>
      <c r="H879">
        <f t="shared" si="161"/>
        <v>2024</v>
      </c>
      <c r="I879" t="str">
        <f t="shared" si="162"/>
        <v>2024-Q1</v>
      </c>
      <c r="J879" t="s">
        <v>104</v>
      </c>
      <c r="K879" t="s">
        <v>6729</v>
      </c>
      <c r="L879" t="s">
        <v>6730</v>
      </c>
      <c r="M879" t="s">
        <v>24</v>
      </c>
      <c r="N879" t="s">
        <v>25</v>
      </c>
      <c r="O879" t="s">
        <v>119</v>
      </c>
      <c r="P879" t="s">
        <v>120</v>
      </c>
      <c r="Q879" t="s">
        <v>87</v>
      </c>
      <c r="R879" t="s">
        <v>6731</v>
      </c>
      <c r="S879" t="s">
        <v>30</v>
      </c>
      <c r="T879" t="s">
        <v>31</v>
      </c>
      <c r="U879" t="s">
        <v>6732</v>
      </c>
      <c r="V879" s="3">
        <v>3880.04</v>
      </c>
      <c r="W879" s="4">
        <v>1</v>
      </c>
      <c r="X879" s="2">
        <v>0.3</v>
      </c>
      <c r="Y879" s="3">
        <v>-335.43</v>
      </c>
      <c r="Z879" t="str">
        <f t="shared" si="158"/>
        <v>Normal</v>
      </c>
      <c r="AA879" t="str">
        <f t="shared" si="159"/>
        <v>High</v>
      </c>
      <c r="AB879" t="str">
        <f t="shared" si="163"/>
        <v>Loss</v>
      </c>
      <c r="AC879" s="3">
        <f t="shared" si="164"/>
        <v>-8.6450139689281558E-2</v>
      </c>
      <c r="AD879" s="3">
        <f t="shared" si="165"/>
        <v>3880.04</v>
      </c>
      <c r="AE879" s="3">
        <f t="shared" si="166"/>
        <v>-335.43</v>
      </c>
      <c r="AF879" t="str">
        <f t="shared" si="167"/>
        <v>Regular</v>
      </c>
    </row>
    <row r="880" spans="1:32" x14ac:dyDescent="0.25">
      <c r="A880" t="s">
        <v>6329</v>
      </c>
      <c r="B880" s="1">
        <v>45354</v>
      </c>
      <c r="C880" s="1">
        <v>45363</v>
      </c>
      <c r="D880" s="4">
        <f t="shared" si="156"/>
        <v>9</v>
      </c>
      <c r="E880" s="4" t="str">
        <f>TEXT(Table1[[#This Row],[Order_Date]],"dddd")</f>
        <v>Sunday</v>
      </c>
      <c r="F880" s="4">
        <f t="shared" si="157"/>
        <v>3</v>
      </c>
      <c r="G880" t="str">
        <f t="shared" si="160"/>
        <v>March</v>
      </c>
      <c r="H880">
        <f t="shared" si="161"/>
        <v>2024</v>
      </c>
      <c r="I880" t="str">
        <f t="shared" si="162"/>
        <v>2024-Q1</v>
      </c>
      <c r="J880" t="s">
        <v>55</v>
      </c>
      <c r="K880" t="s">
        <v>6330</v>
      </c>
      <c r="L880" t="s">
        <v>6331</v>
      </c>
      <c r="M880" t="s">
        <v>47</v>
      </c>
      <c r="N880" t="s">
        <v>25</v>
      </c>
      <c r="O880" t="s">
        <v>113</v>
      </c>
      <c r="P880" t="s">
        <v>113</v>
      </c>
      <c r="Q880" t="s">
        <v>28</v>
      </c>
      <c r="R880" t="s">
        <v>6332</v>
      </c>
      <c r="S880" t="s">
        <v>59</v>
      </c>
      <c r="T880" t="s">
        <v>303</v>
      </c>
      <c r="U880" t="s">
        <v>6333</v>
      </c>
      <c r="V880" s="3">
        <v>48.73</v>
      </c>
      <c r="W880" s="4">
        <v>9</v>
      </c>
      <c r="X880" s="2">
        <v>0.1</v>
      </c>
      <c r="Y880" s="3">
        <v>-3.11</v>
      </c>
      <c r="Z880" t="str">
        <f t="shared" si="158"/>
        <v>Normal</v>
      </c>
      <c r="AA880" t="str">
        <f t="shared" si="159"/>
        <v>Medium</v>
      </c>
      <c r="AB880" t="str">
        <f t="shared" si="163"/>
        <v>Loss</v>
      </c>
      <c r="AC880" s="3">
        <f t="shared" si="164"/>
        <v>-6.3821054791709422E-2</v>
      </c>
      <c r="AD880" s="3">
        <f t="shared" si="165"/>
        <v>5.4144444444444444</v>
      </c>
      <c r="AE880" s="3">
        <f t="shared" si="166"/>
        <v>-0.34555555555555556</v>
      </c>
      <c r="AF880" t="str">
        <f t="shared" si="167"/>
        <v>Regular</v>
      </c>
    </row>
    <row r="881" spans="1:32" x14ac:dyDescent="0.25">
      <c r="A881" t="s">
        <v>563</v>
      </c>
      <c r="B881" s="1">
        <v>45354</v>
      </c>
      <c r="C881" s="1">
        <v>45358</v>
      </c>
      <c r="D881" s="4">
        <f t="shared" si="156"/>
        <v>4</v>
      </c>
      <c r="E881" s="4" t="str">
        <f>TEXT(Table1[[#This Row],[Order_Date]],"dddd")</f>
        <v>Sunday</v>
      </c>
      <c r="F881" s="4">
        <f t="shared" si="157"/>
        <v>3</v>
      </c>
      <c r="G881" t="str">
        <f t="shared" si="160"/>
        <v>March</v>
      </c>
      <c r="H881">
        <f t="shared" si="161"/>
        <v>2024</v>
      </c>
      <c r="I881" t="str">
        <f t="shared" si="162"/>
        <v>2024-Q1</v>
      </c>
      <c r="J881" t="s">
        <v>55</v>
      </c>
      <c r="K881" t="s">
        <v>564</v>
      </c>
      <c r="L881" t="s">
        <v>565</v>
      </c>
      <c r="M881" t="s">
        <v>47</v>
      </c>
      <c r="N881" t="s">
        <v>25</v>
      </c>
      <c r="O881" t="s">
        <v>48</v>
      </c>
      <c r="P881" t="s">
        <v>49</v>
      </c>
      <c r="Q881" t="s">
        <v>66</v>
      </c>
      <c r="R881" t="s">
        <v>566</v>
      </c>
      <c r="S881" t="s">
        <v>51</v>
      </c>
      <c r="T881" t="s">
        <v>108</v>
      </c>
      <c r="U881" t="s">
        <v>567</v>
      </c>
      <c r="V881" s="3">
        <v>1172.6400000000001</v>
      </c>
      <c r="W881" s="4">
        <v>5</v>
      </c>
      <c r="X881" s="2">
        <v>0</v>
      </c>
      <c r="Y881" s="3">
        <v>99.96</v>
      </c>
      <c r="Z881" t="str">
        <f t="shared" si="158"/>
        <v>Normal</v>
      </c>
      <c r="AA881" t="str">
        <f t="shared" si="159"/>
        <v>Low</v>
      </c>
      <c r="AB881" t="str">
        <f t="shared" si="163"/>
        <v>Low Profit</v>
      </c>
      <c r="AC881" s="3">
        <f t="shared" si="164"/>
        <v>8.5243553008595971E-2</v>
      </c>
      <c r="AD881" s="3">
        <f t="shared" si="165"/>
        <v>234.52800000000002</v>
      </c>
      <c r="AE881" s="3">
        <f t="shared" si="166"/>
        <v>19.991999999999997</v>
      </c>
      <c r="AF881" t="str">
        <f t="shared" si="167"/>
        <v>Regular</v>
      </c>
    </row>
    <row r="882" spans="1:32" x14ac:dyDescent="0.25">
      <c r="A882" t="s">
        <v>3643</v>
      </c>
      <c r="B882" s="1">
        <v>45355</v>
      </c>
      <c r="C882" s="1">
        <v>45357</v>
      </c>
      <c r="D882" s="4">
        <f t="shared" si="156"/>
        <v>2</v>
      </c>
      <c r="E882" s="4" t="str">
        <f>TEXT(Table1[[#This Row],[Order_Date]],"dddd")</f>
        <v>Monday</v>
      </c>
      <c r="F882" s="4">
        <f t="shared" si="157"/>
        <v>3</v>
      </c>
      <c r="G882" t="str">
        <f t="shared" si="160"/>
        <v>March</v>
      </c>
      <c r="H882">
        <f t="shared" si="161"/>
        <v>2024</v>
      </c>
      <c r="I882" t="str">
        <f t="shared" si="162"/>
        <v>2024-Q1</v>
      </c>
      <c r="J882" t="s">
        <v>55</v>
      </c>
      <c r="K882" t="s">
        <v>3644</v>
      </c>
      <c r="L882" t="s">
        <v>3645</v>
      </c>
      <c r="M882" t="s">
        <v>24</v>
      </c>
      <c r="N882" t="s">
        <v>25</v>
      </c>
      <c r="O882" t="s">
        <v>73</v>
      </c>
      <c r="P882" t="s">
        <v>74</v>
      </c>
      <c r="Q882" t="s">
        <v>66</v>
      </c>
      <c r="R882" t="s">
        <v>3646</v>
      </c>
      <c r="S882" t="s">
        <v>51</v>
      </c>
      <c r="T882" t="s">
        <v>94</v>
      </c>
      <c r="U882" t="s">
        <v>3647</v>
      </c>
      <c r="V882" s="3">
        <v>2705.56</v>
      </c>
      <c r="W882" s="4">
        <v>6</v>
      </c>
      <c r="X882" s="2">
        <v>0.2</v>
      </c>
      <c r="Y882" s="3">
        <v>-469.32</v>
      </c>
      <c r="Z882" t="str">
        <f t="shared" si="158"/>
        <v>Normal</v>
      </c>
      <c r="AA882" t="str">
        <f t="shared" si="159"/>
        <v>High</v>
      </c>
      <c r="AB882" t="str">
        <f t="shared" si="163"/>
        <v>Loss</v>
      </c>
      <c r="AC882" s="3">
        <f t="shared" si="164"/>
        <v>-0.17346501278848003</v>
      </c>
      <c r="AD882" s="3">
        <f t="shared" si="165"/>
        <v>450.92666666666668</v>
      </c>
      <c r="AE882" s="3">
        <f t="shared" si="166"/>
        <v>-78.22</v>
      </c>
      <c r="AF882" t="str">
        <f t="shared" si="167"/>
        <v>Regular</v>
      </c>
    </row>
    <row r="883" spans="1:32" x14ac:dyDescent="0.25">
      <c r="A883" t="s">
        <v>6149</v>
      </c>
      <c r="B883" s="1">
        <v>45355</v>
      </c>
      <c r="C883" s="1">
        <v>45361</v>
      </c>
      <c r="D883" s="4">
        <f t="shared" si="156"/>
        <v>6</v>
      </c>
      <c r="E883" s="4" t="str">
        <f>TEXT(Table1[[#This Row],[Order_Date]],"dddd")</f>
        <v>Monday</v>
      </c>
      <c r="F883" s="4">
        <f t="shared" si="157"/>
        <v>3</v>
      </c>
      <c r="G883" t="str">
        <f t="shared" si="160"/>
        <v>March</v>
      </c>
      <c r="H883">
        <f t="shared" si="161"/>
        <v>2024</v>
      </c>
      <c r="I883" t="str">
        <f t="shared" si="162"/>
        <v>2024-Q1</v>
      </c>
      <c r="J883" t="s">
        <v>55</v>
      </c>
      <c r="K883" t="s">
        <v>6150</v>
      </c>
      <c r="L883" t="s">
        <v>6151</v>
      </c>
      <c r="M883" t="s">
        <v>36</v>
      </c>
      <c r="N883" t="s">
        <v>25</v>
      </c>
      <c r="O883" t="s">
        <v>179</v>
      </c>
      <c r="P883" t="s">
        <v>27</v>
      </c>
      <c r="Q883" t="s">
        <v>28</v>
      </c>
      <c r="R883" t="s">
        <v>6152</v>
      </c>
      <c r="S883" t="s">
        <v>51</v>
      </c>
      <c r="T883" t="s">
        <v>52</v>
      </c>
      <c r="U883" t="s">
        <v>1892</v>
      </c>
      <c r="V883" s="3">
        <v>1841.29</v>
      </c>
      <c r="W883" s="4">
        <v>4</v>
      </c>
      <c r="X883" s="2">
        <v>0</v>
      </c>
      <c r="Y883" s="3">
        <v>402.87</v>
      </c>
      <c r="Z883" t="str">
        <f t="shared" si="158"/>
        <v>Normal</v>
      </c>
      <c r="AA883" t="str">
        <f t="shared" si="159"/>
        <v>Low</v>
      </c>
      <c r="AB883" t="str">
        <f t="shared" si="163"/>
        <v>Low Profit</v>
      </c>
      <c r="AC883" s="3">
        <f t="shared" si="164"/>
        <v>0.21879769074942024</v>
      </c>
      <c r="AD883" s="3">
        <f t="shared" si="165"/>
        <v>460.32249999999999</v>
      </c>
      <c r="AE883" s="3">
        <f t="shared" si="166"/>
        <v>100.7175</v>
      </c>
      <c r="AF883" t="str">
        <f t="shared" si="167"/>
        <v>Regular</v>
      </c>
    </row>
    <row r="884" spans="1:32" x14ac:dyDescent="0.25">
      <c r="A884" t="s">
        <v>3322</v>
      </c>
      <c r="B884" s="1">
        <v>45356</v>
      </c>
      <c r="C884" s="1">
        <v>45358</v>
      </c>
      <c r="D884" s="4">
        <f t="shared" si="156"/>
        <v>2</v>
      </c>
      <c r="E884" s="4" t="str">
        <f>TEXT(Table1[[#This Row],[Order_Date]],"dddd")</f>
        <v>Tuesday</v>
      </c>
      <c r="F884" s="4">
        <f t="shared" si="157"/>
        <v>3</v>
      </c>
      <c r="G884" t="str">
        <f t="shared" si="160"/>
        <v>March</v>
      </c>
      <c r="H884">
        <f t="shared" si="161"/>
        <v>2024</v>
      </c>
      <c r="I884" t="str">
        <f t="shared" si="162"/>
        <v>2024-Q1</v>
      </c>
      <c r="J884" t="s">
        <v>44</v>
      </c>
      <c r="K884" t="s">
        <v>3323</v>
      </c>
      <c r="L884" t="s">
        <v>3324</v>
      </c>
      <c r="M884" t="s">
        <v>24</v>
      </c>
      <c r="N884" t="s">
        <v>25</v>
      </c>
      <c r="O884" t="s">
        <v>255</v>
      </c>
      <c r="P884" t="s">
        <v>143</v>
      </c>
      <c r="Q884" t="s">
        <v>39</v>
      </c>
      <c r="R884" t="s">
        <v>3325</v>
      </c>
      <c r="S884" t="s">
        <v>30</v>
      </c>
      <c r="T884" t="s">
        <v>41</v>
      </c>
      <c r="U884" t="s">
        <v>3326</v>
      </c>
      <c r="V884" s="3">
        <v>274.95</v>
      </c>
      <c r="W884" s="4">
        <v>3</v>
      </c>
      <c r="X884" s="2">
        <v>0.3</v>
      </c>
      <c r="Y884" s="3">
        <v>77.03</v>
      </c>
      <c r="Z884" t="str">
        <f t="shared" si="158"/>
        <v>Normal</v>
      </c>
      <c r="AA884" t="str">
        <f t="shared" si="159"/>
        <v>High</v>
      </c>
      <c r="AB884" t="str">
        <f t="shared" si="163"/>
        <v>Low Profit</v>
      </c>
      <c r="AC884" s="3">
        <f t="shared" si="164"/>
        <v>0.2801600290961993</v>
      </c>
      <c r="AD884" s="3">
        <f t="shared" si="165"/>
        <v>91.649999999999991</v>
      </c>
      <c r="AE884" s="3">
        <f t="shared" si="166"/>
        <v>25.676666666666666</v>
      </c>
      <c r="AF884" t="str">
        <f t="shared" si="167"/>
        <v>Regular</v>
      </c>
    </row>
    <row r="885" spans="1:32" x14ac:dyDescent="0.25">
      <c r="A885" t="s">
        <v>5697</v>
      </c>
      <c r="B885" s="1">
        <v>45357</v>
      </c>
      <c r="C885" s="1">
        <v>45364</v>
      </c>
      <c r="D885" s="4">
        <f t="shared" si="156"/>
        <v>7</v>
      </c>
      <c r="E885" s="4" t="str">
        <f>TEXT(Table1[[#This Row],[Order_Date]],"dddd")</f>
        <v>Wednesday</v>
      </c>
      <c r="F885" s="4">
        <f t="shared" si="157"/>
        <v>3</v>
      </c>
      <c r="G885" t="str">
        <f t="shared" si="160"/>
        <v>March</v>
      </c>
      <c r="H885">
        <f t="shared" si="161"/>
        <v>2024</v>
      </c>
      <c r="I885" t="str">
        <f t="shared" si="162"/>
        <v>2024-Q1</v>
      </c>
      <c r="J885" t="s">
        <v>21</v>
      </c>
      <c r="K885" t="s">
        <v>5698</v>
      </c>
      <c r="L885" t="s">
        <v>5699</v>
      </c>
      <c r="M885" t="s">
        <v>24</v>
      </c>
      <c r="N885" t="s">
        <v>25</v>
      </c>
      <c r="O885" t="s">
        <v>156</v>
      </c>
      <c r="P885" t="s">
        <v>143</v>
      </c>
      <c r="Q885" t="s">
        <v>66</v>
      </c>
      <c r="R885" t="s">
        <v>5700</v>
      </c>
      <c r="S885" t="s">
        <v>30</v>
      </c>
      <c r="T885" t="s">
        <v>82</v>
      </c>
      <c r="U885" t="s">
        <v>5701</v>
      </c>
      <c r="V885" s="3">
        <v>3970.33</v>
      </c>
      <c r="W885" s="4">
        <v>2</v>
      </c>
      <c r="X885" s="2">
        <v>0.1</v>
      </c>
      <c r="Y885" s="3">
        <v>1133.78</v>
      </c>
      <c r="Z885" t="str">
        <f t="shared" si="158"/>
        <v>Outlier</v>
      </c>
      <c r="AA885" t="str">
        <f t="shared" si="159"/>
        <v>Medium</v>
      </c>
      <c r="AB885" t="str">
        <f t="shared" si="163"/>
        <v>High Profit</v>
      </c>
      <c r="AC885" s="3">
        <f t="shared" si="164"/>
        <v>0.28556316477471644</v>
      </c>
      <c r="AD885" s="3">
        <f t="shared" si="165"/>
        <v>1985.165</v>
      </c>
      <c r="AE885" s="3">
        <f t="shared" si="166"/>
        <v>566.89</v>
      </c>
      <c r="AF885" t="str">
        <f t="shared" si="167"/>
        <v>Regular</v>
      </c>
    </row>
    <row r="886" spans="1:32" x14ac:dyDescent="0.25">
      <c r="A886" t="s">
        <v>882</v>
      </c>
      <c r="B886" s="1">
        <v>45357</v>
      </c>
      <c r="C886" s="1">
        <v>45362</v>
      </c>
      <c r="D886" s="4">
        <f t="shared" si="156"/>
        <v>5</v>
      </c>
      <c r="E886" s="4" t="str">
        <f>TEXT(Table1[[#This Row],[Order_Date]],"dddd")</f>
        <v>Wednesday</v>
      </c>
      <c r="F886" s="4">
        <f t="shared" si="157"/>
        <v>3</v>
      </c>
      <c r="G886" t="str">
        <f t="shared" si="160"/>
        <v>March</v>
      </c>
      <c r="H886">
        <f t="shared" si="161"/>
        <v>2024</v>
      </c>
      <c r="I886" t="str">
        <f t="shared" si="162"/>
        <v>2024-Q1</v>
      </c>
      <c r="J886" t="s">
        <v>55</v>
      </c>
      <c r="K886" t="s">
        <v>883</v>
      </c>
      <c r="L886" t="s">
        <v>884</v>
      </c>
      <c r="M886" t="s">
        <v>47</v>
      </c>
      <c r="N886" t="s">
        <v>25</v>
      </c>
      <c r="O886" t="s">
        <v>142</v>
      </c>
      <c r="P886" t="s">
        <v>143</v>
      </c>
      <c r="Q886" t="s">
        <v>66</v>
      </c>
      <c r="R886" t="s">
        <v>885</v>
      </c>
      <c r="S886" t="s">
        <v>51</v>
      </c>
      <c r="T886" t="s">
        <v>151</v>
      </c>
      <c r="U886" t="s">
        <v>886</v>
      </c>
      <c r="V886" s="3">
        <v>2816.81</v>
      </c>
      <c r="W886" s="4">
        <v>1</v>
      </c>
      <c r="X886" s="2">
        <v>0.2</v>
      </c>
      <c r="Y886" s="3">
        <v>814.09</v>
      </c>
      <c r="Z886" t="str">
        <f t="shared" si="158"/>
        <v>Normal</v>
      </c>
      <c r="AA886" t="str">
        <f t="shared" si="159"/>
        <v>High</v>
      </c>
      <c r="AB886" t="str">
        <f t="shared" si="163"/>
        <v>High Profit</v>
      </c>
      <c r="AC886" s="3">
        <f t="shared" si="164"/>
        <v>0.28901132841760718</v>
      </c>
      <c r="AD886" s="3">
        <f t="shared" si="165"/>
        <v>2816.81</v>
      </c>
      <c r="AE886" s="3">
        <f t="shared" si="166"/>
        <v>814.09</v>
      </c>
      <c r="AF886" t="str">
        <f t="shared" si="167"/>
        <v>Regular</v>
      </c>
    </row>
    <row r="887" spans="1:32" x14ac:dyDescent="0.25">
      <c r="A887" t="s">
        <v>4652</v>
      </c>
      <c r="B887" s="1">
        <v>45358</v>
      </c>
      <c r="C887" s="1">
        <v>45359</v>
      </c>
      <c r="D887" s="4">
        <f t="shared" si="156"/>
        <v>1</v>
      </c>
      <c r="E887" s="4" t="str">
        <f>TEXT(Table1[[#This Row],[Order_Date]],"dddd")</f>
        <v>Thursday</v>
      </c>
      <c r="F887" s="4">
        <f t="shared" si="157"/>
        <v>3</v>
      </c>
      <c r="G887" t="str">
        <f t="shared" si="160"/>
        <v>March</v>
      </c>
      <c r="H887">
        <f t="shared" si="161"/>
        <v>2024</v>
      </c>
      <c r="I887" t="str">
        <f t="shared" si="162"/>
        <v>2024-Q1</v>
      </c>
      <c r="J887" t="s">
        <v>104</v>
      </c>
      <c r="K887" t="s">
        <v>4653</v>
      </c>
      <c r="L887" t="s">
        <v>4654</v>
      </c>
      <c r="M887" t="s">
        <v>47</v>
      </c>
      <c r="N887" t="s">
        <v>25</v>
      </c>
      <c r="O887" t="s">
        <v>37</v>
      </c>
      <c r="P887" t="s">
        <v>38</v>
      </c>
      <c r="Q887" t="s">
        <v>66</v>
      </c>
      <c r="R887" t="s">
        <v>4655</v>
      </c>
      <c r="S887" t="s">
        <v>30</v>
      </c>
      <c r="T887" t="s">
        <v>41</v>
      </c>
      <c r="U887" t="s">
        <v>4656</v>
      </c>
      <c r="V887" s="3">
        <v>2587.77</v>
      </c>
      <c r="W887" s="4">
        <v>10</v>
      </c>
      <c r="X887" s="2">
        <v>0.3</v>
      </c>
      <c r="Y887" s="3">
        <v>-101.7</v>
      </c>
      <c r="Z887" t="str">
        <f t="shared" si="158"/>
        <v>Normal</v>
      </c>
      <c r="AA887" t="str">
        <f t="shared" si="159"/>
        <v>High</v>
      </c>
      <c r="AB887" t="str">
        <f t="shared" si="163"/>
        <v>Loss</v>
      </c>
      <c r="AC887" s="3">
        <f t="shared" si="164"/>
        <v>-3.9300246930755053E-2</v>
      </c>
      <c r="AD887" s="3">
        <f t="shared" si="165"/>
        <v>258.77699999999999</v>
      </c>
      <c r="AE887" s="3">
        <f t="shared" si="166"/>
        <v>-10.17</v>
      </c>
      <c r="AF887" t="str">
        <f t="shared" si="167"/>
        <v>Regular</v>
      </c>
    </row>
    <row r="888" spans="1:32" x14ac:dyDescent="0.25">
      <c r="A888" t="s">
        <v>5238</v>
      </c>
      <c r="B888" s="1">
        <v>45359</v>
      </c>
      <c r="C888" s="1">
        <v>45363</v>
      </c>
      <c r="D888" s="4">
        <f t="shared" si="156"/>
        <v>4</v>
      </c>
      <c r="E888" s="4" t="str">
        <f>TEXT(Table1[[#This Row],[Order_Date]],"dddd")</f>
        <v>Friday</v>
      </c>
      <c r="F888" s="4">
        <f t="shared" si="157"/>
        <v>3</v>
      </c>
      <c r="G888" t="str">
        <f t="shared" si="160"/>
        <v>March</v>
      </c>
      <c r="H888">
        <f t="shared" si="161"/>
        <v>2024</v>
      </c>
      <c r="I888" t="str">
        <f t="shared" si="162"/>
        <v>2024-Q1</v>
      </c>
      <c r="J888" t="s">
        <v>55</v>
      </c>
      <c r="K888" t="s">
        <v>5239</v>
      </c>
      <c r="L888" t="s">
        <v>5240</v>
      </c>
      <c r="M888" t="s">
        <v>36</v>
      </c>
      <c r="N888" t="s">
        <v>25</v>
      </c>
      <c r="O888" t="s">
        <v>142</v>
      </c>
      <c r="P888" t="s">
        <v>143</v>
      </c>
      <c r="Q888" t="s">
        <v>87</v>
      </c>
      <c r="R888" t="s">
        <v>5241</v>
      </c>
      <c r="S888" t="s">
        <v>59</v>
      </c>
      <c r="T888" t="s">
        <v>277</v>
      </c>
      <c r="U888" t="s">
        <v>5242</v>
      </c>
      <c r="V888" s="3">
        <v>4591.3500000000004</v>
      </c>
      <c r="W888" s="4">
        <v>3</v>
      </c>
      <c r="X888" s="2">
        <v>0.3</v>
      </c>
      <c r="Y888" s="3">
        <v>957.54</v>
      </c>
      <c r="Z888" t="str">
        <f t="shared" si="158"/>
        <v>Normal</v>
      </c>
      <c r="AA888" t="str">
        <f t="shared" si="159"/>
        <v>High</v>
      </c>
      <c r="AB888" t="str">
        <f t="shared" si="163"/>
        <v>High Profit</v>
      </c>
      <c r="AC888" s="3">
        <f t="shared" si="164"/>
        <v>0.20855303995556859</v>
      </c>
      <c r="AD888" s="3">
        <f t="shared" si="165"/>
        <v>1530.45</v>
      </c>
      <c r="AE888" s="3">
        <f t="shared" si="166"/>
        <v>319.18</v>
      </c>
      <c r="AF888" t="str">
        <f t="shared" si="167"/>
        <v>Regular</v>
      </c>
    </row>
    <row r="889" spans="1:32" x14ac:dyDescent="0.25">
      <c r="A889" t="s">
        <v>4265</v>
      </c>
      <c r="B889" s="1">
        <v>45359</v>
      </c>
      <c r="C889" s="1">
        <v>45368</v>
      </c>
      <c r="D889" s="4">
        <f t="shared" si="156"/>
        <v>9</v>
      </c>
      <c r="E889" s="4" t="str">
        <f>TEXT(Table1[[#This Row],[Order_Date]],"dddd")</f>
        <v>Friday</v>
      </c>
      <c r="F889" s="4">
        <f t="shared" si="157"/>
        <v>3</v>
      </c>
      <c r="G889" t="str">
        <f t="shared" si="160"/>
        <v>March</v>
      </c>
      <c r="H889">
        <f t="shared" si="161"/>
        <v>2024</v>
      </c>
      <c r="I889" t="str">
        <f t="shared" si="162"/>
        <v>2024-Q1</v>
      </c>
      <c r="J889" t="s">
        <v>104</v>
      </c>
      <c r="K889" t="s">
        <v>4266</v>
      </c>
      <c r="L889" t="s">
        <v>4267</v>
      </c>
      <c r="M889" t="s">
        <v>36</v>
      </c>
      <c r="N889" t="s">
        <v>25</v>
      </c>
      <c r="O889" t="s">
        <v>451</v>
      </c>
      <c r="P889" t="s">
        <v>38</v>
      </c>
      <c r="Q889" t="s">
        <v>28</v>
      </c>
      <c r="R889" t="s">
        <v>4268</v>
      </c>
      <c r="S889" t="s">
        <v>51</v>
      </c>
      <c r="T889" t="s">
        <v>52</v>
      </c>
      <c r="U889" t="s">
        <v>4269</v>
      </c>
      <c r="V889" s="3">
        <v>3024.6</v>
      </c>
      <c r="W889" s="4">
        <v>6</v>
      </c>
      <c r="X889" s="2">
        <v>0.2</v>
      </c>
      <c r="Y889" s="3">
        <v>-106.28</v>
      </c>
      <c r="Z889" t="str">
        <f t="shared" si="158"/>
        <v>Normal</v>
      </c>
      <c r="AA889" t="str">
        <f t="shared" si="159"/>
        <v>High</v>
      </c>
      <c r="AB889" t="str">
        <f t="shared" si="163"/>
        <v>Loss</v>
      </c>
      <c r="AC889" s="3">
        <f t="shared" si="164"/>
        <v>-3.5138530714805265E-2</v>
      </c>
      <c r="AD889" s="3">
        <f t="shared" si="165"/>
        <v>504.09999999999997</v>
      </c>
      <c r="AE889" s="3">
        <f t="shared" si="166"/>
        <v>-17.713333333333335</v>
      </c>
      <c r="AF889" t="str">
        <f t="shared" si="167"/>
        <v>Regular</v>
      </c>
    </row>
    <row r="890" spans="1:32" x14ac:dyDescent="0.25">
      <c r="A890" t="s">
        <v>369</v>
      </c>
      <c r="B890" s="1">
        <v>45359</v>
      </c>
      <c r="C890" s="1">
        <v>45361</v>
      </c>
      <c r="D890" s="4">
        <f t="shared" si="156"/>
        <v>2</v>
      </c>
      <c r="E890" s="4" t="str">
        <f>TEXT(Table1[[#This Row],[Order_Date]],"dddd")</f>
        <v>Friday</v>
      </c>
      <c r="F890" s="4">
        <f t="shared" si="157"/>
        <v>3</v>
      </c>
      <c r="G890" t="str">
        <f t="shared" si="160"/>
        <v>March</v>
      </c>
      <c r="H890">
        <f t="shared" si="161"/>
        <v>2024</v>
      </c>
      <c r="I890" t="str">
        <f t="shared" si="162"/>
        <v>2024-Q1</v>
      </c>
      <c r="J890" t="s">
        <v>44</v>
      </c>
      <c r="K890" t="s">
        <v>370</v>
      </c>
      <c r="L890" t="s">
        <v>371</v>
      </c>
      <c r="M890" t="s">
        <v>47</v>
      </c>
      <c r="N890" t="s">
        <v>25</v>
      </c>
      <c r="O890" t="s">
        <v>244</v>
      </c>
      <c r="P890" t="s">
        <v>163</v>
      </c>
      <c r="Q890" t="s">
        <v>39</v>
      </c>
      <c r="R890" t="s">
        <v>372</v>
      </c>
      <c r="S890" t="s">
        <v>51</v>
      </c>
      <c r="T890" t="s">
        <v>108</v>
      </c>
      <c r="U890" t="s">
        <v>373</v>
      </c>
      <c r="V890" s="3">
        <v>887.09</v>
      </c>
      <c r="W890" s="4">
        <v>10</v>
      </c>
      <c r="X890" s="2">
        <v>0</v>
      </c>
      <c r="Y890" s="3">
        <v>195.96</v>
      </c>
      <c r="Z890" t="str">
        <f t="shared" si="158"/>
        <v>Normal</v>
      </c>
      <c r="AA890" t="str">
        <f t="shared" si="159"/>
        <v>Low</v>
      </c>
      <c r="AB890" t="str">
        <f t="shared" si="163"/>
        <v>Low Profit</v>
      </c>
      <c r="AC890" s="3">
        <f t="shared" si="164"/>
        <v>0.22090205052474945</v>
      </c>
      <c r="AD890" s="3">
        <f t="shared" si="165"/>
        <v>88.709000000000003</v>
      </c>
      <c r="AE890" s="3">
        <f t="shared" si="166"/>
        <v>19.596</v>
      </c>
      <c r="AF890" t="str">
        <f t="shared" si="167"/>
        <v>Regular</v>
      </c>
    </row>
    <row r="891" spans="1:32" x14ac:dyDescent="0.25">
      <c r="A891" t="s">
        <v>4594</v>
      </c>
      <c r="B891" s="1">
        <v>45359</v>
      </c>
      <c r="C891" s="1">
        <v>45362</v>
      </c>
      <c r="D891" s="4">
        <f t="shared" si="156"/>
        <v>3</v>
      </c>
      <c r="E891" s="4" t="str">
        <f>TEXT(Table1[[#This Row],[Order_Date]],"dddd")</f>
        <v>Friday</v>
      </c>
      <c r="F891" s="4">
        <f t="shared" si="157"/>
        <v>3</v>
      </c>
      <c r="G891" t="str">
        <f t="shared" si="160"/>
        <v>March</v>
      </c>
      <c r="H891">
        <f t="shared" si="161"/>
        <v>2024</v>
      </c>
      <c r="I891" t="str">
        <f t="shared" si="162"/>
        <v>2024-Q1</v>
      </c>
      <c r="J891" t="s">
        <v>104</v>
      </c>
      <c r="K891" t="s">
        <v>4595</v>
      </c>
      <c r="L891" t="s">
        <v>2911</v>
      </c>
      <c r="M891" t="s">
        <v>24</v>
      </c>
      <c r="N891" t="s">
        <v>25</v>
      </c>
      <c r="O891" t="s">
        <v>611</v>
      </c>
      <c r="P891" t="s">
        <v>74</v>
      </c>
      <c r="Q891" t="s">
        <v>87</v>
      </c>
      <c r="R891" t="s">
        <v>7403</v>
      </c>
      <c r="S891" t="s">
        <v>59</v>
      </c>
      <c r="T891" t="s">
        <v>60</v>
      </c>
      <c r="U891" t="s">
        <v>4596</v>
      </c>
      <c r="V891" s="3">
        <v>3626.15</v>
      </c>
      <c r="W891" s="4">
        <v>2</v>
      </c>
      <c r="X891" s="2">
        <v>0.3</v>
      </c>
      <c r="Y891" s="3">
        <v>129.59</v>
      </c>
      <c r="Z891" t="str">
        <f t="shared" si="158"/>
        <v>Normal</v>
      </c>
      <c r="AA891" t="str">
        <f t="shared" si="159"/>
        <v>High</v>
      </c>
      <c r="AB891" t="str">
        <f t="shared" si="163"/>
        <v>Low Profit</v>
      </c>
      <c r="AC891" s="3">
        <f t="shared" si="164"/>
        <v>3.573762806282145E-2</v>
      </c>
      <c r="AD891" s="3">
        <f t="shared" si="165"/>
        <v>1813.075</v>
      </c>
      <c r="AE891" s="3">
        <f t="shared" si="166"/>
        <v>64.795000000000002</v>
      </c>
      <c r="AF891" t="str">
        <f t="shared" si="167"/>
        <v>Regular</v>
      </c>
    </row>
    <row r="892" spans="1:32" x14ac:dyDescent="0.25">
      <c r="A892" t="s">
        <v>7097</v>
      </c>
      <c r="B892" s="1">
        <v>45360</v>
      </c>
      <c r="C892" s="1">
        <v>45367</v>
      </c>
      <c r="D892" s="4">
        <f t="shared" si="156"/>
        <v>7</v>
      </c>
      <c r="E892" s="4" t="str">
        <f>TEXT(Table1[[#This Row],[Order_Date]],"dddd")</f>
        <v>Saturday</v>
      </c>
      <c r="F892" s="4">
        <f t="shared" si="157"/>
        <v>3</v>
      </c>
      <c r="G892" t="str">
        <f t="shared" si="160"/>
        <v>March</v>
      </c>
      <c r="H892">
        <f t="shared" si="161"/>
        <v>2024</v>
      </c>
      <c r="I892" t="str">
        <f t="shared" si="162"/>
        <v>2024-Q1</v>
      </c>
      <c r="J892" t="s">
        <v>21</v>
      </c>
      <c r="K892" t="s">
        <v>7098</v>
      </c>
      <c r="L892" t="s">
        <v>7099</v>
      </c>
      <c r="M892" t="s">
        <v>36</v>
      </c>
      <c r="N892" t="s">
        <v>25</v>
      </c>
      <c r="O892" t="s">
        <v>190</v>
      </c>
      <c r="P892" t="s">
        <v>120</v>
      </c>
      <c r="Q892" t="s">
        <v>66</v>
      </c>
      <c r="R892" t="s">
        <v>7100</v>
      </c>
      <c r="S892" t="s">
        <v>51</v>
      </c>
      <c r="T892" t="s">
        <v>127</v>
      </c>
      <c r="U892" t="s">
        <v>7101</v>
      </c>
      <c r="V892" s="3">
        <v>639.69000000000005</v>
      </c>
      <c r="W892" s="4">
        <v>9</v>
      </c>
      <c r="X892" s="2">
        <v>0.3</v>
      </c>
      <c r="Y892" s="3">
        <v>-80.48</v>
      </c>
      <c r="Z892" t="str">
        <f t="shared" si="158"/>
        <v>Normal</v>
      </c>
      <c r="AA892" t="str">
        <f t="shared" si="159"/>
        <v>High</v>
      </c>
      <c r="AB892" t="str">
        <f t="shared" si="163"/>
        <v>Loss</v>
      </c>
      <c r="AC892" s="3">
        <f t="shared" si="164"/>
        <v>-0.12581093967390455</v>
      </c>
      <c r="AD892" s="3">
        <f t="shared" si="165"/>
        <v>71.076666666666668</v>
      </c>
      <c r="AE892" s="3">
        <f t="shared" si="166"/>
        <v>-8.9422222222222221</v>
      </c>
      <c r="AF892" t="str">
        <f t="shared" si="167"/>
        <v>Regular</v>
      </c>
    </row>
    <row r="893" spans="1:32" x14ac:dyDescent="0.25">
      <c r="A893" t="s">
        <v>5584</v>
      </c>
      <c r="B893" s="1">
        <v>45360</v>
      </c>
      <c r="C893" s="1">
        <v>45367</v>
      </c>
      <c r="D893" s="4">
        <f t="shared" si="156"/>
        <v>7</v>
      </c>
      <c r="E893" s="4" t="str">
        <f>TEXT(Table1[[#This Row],[Order_Date]],"dddd")</f>
        <v>Saturday</v>
      </c>
      <c r="F893" s="4">
        <f t="shared" si="157"/>
        <v>3</v>
      </c>
      <c r="G893" t="str">
        <f t="shared" si="160"/>
        <v>March</v>
      </c>
      <c r="H893">
        <f t="shared" si="161"/>
        <v>2024</v>
      </c>
      <c r="I893" t="str">
        <f t="shared" si="162"/>
        <v>2024-Q1</v>
      </c>
      <c r="J893" t="s">
        <v>55</v>
      </c>
      <c r="K893" t="s">
        <v>5585</v>
      </c>
      <c r="L893" t="s">
        <v>5586</v>
      </c>
      <c r="M893" t="s">
        <v>24</v>
      </c>
      <c r="N893" t="s">
        <v>25</v>
      </c>
      <c r="O893" t="s">
        <v>149</v>
      </c>
      <c r="P893" t="s">
        <v>113</v>
      </c>
      <c r="Q893" t="s">
        <v>66</v>
      </c>
      <c r="R893" t="s">
        <v>5587</v>
      </c>
      <c r="S893" t="s">
        <v>51</v>
      </c>
      <c r="T893" t="s">
        <v>52</v>
      </c>
      <c r="U893" t="s">
        <v>5225</v>
      </c>
      <c r="V893" s="3">
        <v>1257.74</v>
      </c>
      <c r="W893" s="4">
        <v>2</v>
      </c>
      <c r="X893" s="2">
        <v>0.4</v>
      </c>
      <c r="Y893" s="3">
        <v>240.5</v>
      </c>
      <c r="Z893" t="str">
        <f t="shared" si="158"/>
        <v>Normal</v>
      </c>
      <c r="AA893" t="str">
        <f t="shared" si="159"/>
        <v>High</v>
      </c>
      <c r="AB893" t="str">
        <f t="shared" si="163"/>
        <v>Low Profit</v>
      </c>
      <c r="AC893" s="3">
        <f t="shared" si="164"/>
        <v>0.19121599058628969</v>
      </c>
      <c r="AD893" s="3">
        <f t="shared" si="165"/>
        <v>628.87</v>
      </c>
      <c r="AE893" s="3">
        <f t="shared" si="166"/>
        <v>120.25</v>
      </c>
      <c r="AF893" t="str">
        <f t="shared" si="167"/>
        <v>Regular</v>
      </c>
    </row>
    <row r="894" spans="1:32" x14ac:dyDescent="0.25">
      <c r="A894" t="s">
        <v>5908</v>
      </c>
      <c r="B894" s="1">
        <v>45360</v>
      </c>
      <c r="C894" s="1">
        <v>45369</v>
      </c>
      <c r="D894" s="4">
        <f t="shared" si="156"/>
        <v>9</v>
      </c>
      <c r="E894" s="4" t="str">
        <f>TEXT(Table1[[#This Row],[Order_Date]],"dddd")</f>
        <v>Saturday</v>
      </c>
      <c r="F894" s="4">
        <f t="shared" si="157"/>
        <v>3</v>
      </c>
      <c r="G894" t="str">
        <f t="shared" si="160"/>
        <v>March</v>
      </c>
      <c r="H894">
        <f t="shared" si="161"/>
        <v>2024</v>
      </c>
      <c r="I894" t="str">
        <f t="shared" si="162"/>
        <v>2024-Q1</v>
      </c>
      <c r="J894" t="s">
        <v>55</v>
      </c>
      <c r="K894" t="s">
        <v>5909</v>
      </c>
      <c r="L894" t="s">
        <v>5910</v>
      </c>
      <c r="M894" t="s">
        <v>47</v>
      </c>
      <c r="N894" t="s">
        <v>25</v>
      </c>
      <c r="O894" t="s">
        <v>48</v>
      </c>
      <c r="P894" t="s">
        <v>49</v>
      </c>
      <c r="Q894" t="s">
        <v>66</v>
      </c>
      <c r="R894" t="s">
        <v>5911</v>
      </c>
      <c r="S894" t="s">
        <v>30</v>
      </c>
      <c r="T894" t="s">
        <v>41</v>
      </c>
      <c r="U894" t="s">
        <v>2553</v>
      </c>
      <c r="V894" s="3">
        <v>1252.3499999999999</v>
      </c>
      <c r="W894" s="4">
        <v>7</v>
      </c>
      <c r="X894" s="2">
        <v>0.1</v>
      </c>
      <c r="Y894" s="3">
        <v>238.55</v>
      </c>
      <c r="Z894" t="str">
        <f t="shared" si="158"/>
        <v>Normal</v>
      </c>
      <c r="AA894" t="str">
        <f t="shared" si="159"/>
        <v>Medium</v>
      </c>
      <c r="AB894" t="str">
        <f t="shared" si="163"/>
        <v>Low Profit</v>
      </c>
      <c r="AC894" s="3">
        <f t="shared" si="164"/>
        <v>0.19048189403920632</v>
      </c>
      <c r="AD894" s="3">
        <f t="shared" si="165"/>
        <v>178.90714285714284</v>
      </c>
      <c r="AE894" s="3">
        <f t="shared" si="166"/>
        <v>34.078571428571429</v>
      </c>
      <c r="AF894" t="str">
        <f t="shared" si="167"/>
        <v>Regular</v>
      </c>
    </row>
    <row r="895" spans="1:32" x14ac:dyDescent="0.25">
      <c r="A895" t="s">
        <v>1568</v>
      </c>
      <c r="B895" s="1">
        <v>45360</v>
      </c>
      <c r="C895" s="1">
        <v>45365</v>
      </c>
      <c r="D895" s="4">
        <f t="shared" si="156"/>
        <v>5</v>
      </c>
      <c r="E895" s="4" t="str">
        <f>TEXT(Table1[[#This Row],[Order_Date]],"dddd")</f>
        <v>Saturday</v>
      </c>
      <c r="F895" s="4">
        <f t="shared" si="157"/>
        <v>3</v>
      </c>
      <c r="G895" t="str">
        <f t="shared" si="160"/>
        <v>March</v>
      </c>
      <c r="H895">
        <f t="shared" si="161"/>
        <v>2024</v>
      </c>
      <c r="I895" t="str">
        <f t="shared" si="162"/>
        <v>2024-Q1</v>
      </c>
      <c r="J895" t="s">
        <v>104</v>
      </c>
      <c r="K895" t="s">
        <v>1569</v>
      </c>
      <c r="L895" t="s">
        <v>1570</v>
      </c>
      <c r="M895" t="s">
        <v>47</v>
      </c>
      <c r="N895" t="s">
        <v>25</v>
      </c>
      <c r="O895" t="s">
        <v>227</v>
      </c>
      <c r="P895" t="s">
        <v>49</v>
      </c>
      <c r="Q895" t="s">
        <v>87</v>
      </c>
      <c r="R895" t="s">
        <v>1571</v>
      </c>
      <c r="S895" t="s">
        <v>51</v>
      </c>
      <c r="T895" t="s">
        <v>108</v>
      </c>
      <c r="U895" t="s">
        <v>1572</v>
      </c>
      <c r="V895" s="3">
        <v>3503.79</v>
      </c>
      <c r="W895" s="4">
        <v>4</v>
      </c>
      <c r="X895" s="2">
        <v>0.1</v>
      </c>
      <c r="Y895" s="3">
        <v>-111.81</v>
      </c>
      <c r="Z895" t="str">
        <f t="shared" si="158"/>
        <v>Normal</v>
      </c>
      <c r="AA895" t="str">
        <f t="shared" si="159"/>
        <v>Medium</v>
      </c>
      <c r="AB895" t="str">
        <f t="shared" si="163"/>
        <v>Loss</v>
      </c>
      <c r="AC895" s="3">
        <f t="shared" si="164"/>
        <v>-3.1911159059190189E-2</v>
      </c>
      <c r="AD895" s="3">
        <f t="shared" si="165"/>
        <v>875.94749999999999</v>
      </c>
      <c r="AE895" s="3">
        <f t="shared" si="166"/>
        <v>-27.952500000000001</v>
      </c>
      <c r="AF895" t="str">
        <f t="shared" si="167"/>
        <v>Regular</v>
      </c>
    </row>
    <row r="896" spans="1:32" x14ac:dyDescent="0.25">
      <c r="A896" t="s">
        <v>4072</v>
      </c>
      <c r="B896" s="1">
        <v>45361</v>
      </c>
      <c r="C896" s="1">
        <v>45367</v>
      </c>
      <c r="D896" s="4">
        <f t="shared" si="156"/>
        <v>6</v>
      </c>
      <c r="E896" s="4" t="str">
        <f>TEXT(Table1[[#This Row],[Order_Date]],"dddd")</f>
        <v>Sunday</v>
      </c>
      <c r="F896" s="4">
        <f t="shared" si="157"/>
        <v>3</v>
      </c>
      <c r="G896" t="str">
        <f t="shared" si="160"/>
        <v>March</v>
      </c>
      <c r="H896">
        <f t="shared" si="161"/>
        <v>2024</v>
      </c>
      <c r="I896" t="str">
        <f t="shared" si="162"/>
        <v>2024-Q1</v>
      </c>
      <c r="J896" t="s">
        <v>44</v>
      </c>
      <c r="K896" t="s">
        <v>4073</v>
      </c>
      <c r="L896" t="s">
        <v>4074</v>
      </c>
      <c r="M896" t="s">
        <v>47</v>
      </c>
      <c r="N896" t="s">
        <v>25</v>
      </c>
      <c r="O896" t="s">
        <v>233</v>
      </c>
      <c r="P896" t="s">
        <v>163</v>
      </c>
      <c r="Q896" t="s">
        <v>39</v>
      </c>
      <c r="R896" t="s">
        <v>4075</v>
      </c>
      <c r="S896" t="s">
        <v>51</v>
      </c>
      <c r="T896" t="s">
        <v>151</v>
      </c>
      <c r="U896" t="s">
        <v>4076</v>
      </c>
      <c r="V896" s="3">
        <v>4695.3100000000004</v>
      </c>
      <c r="W896" s="4">
        <v>3</v>
      </c>
      <c r="X896" s="2">
        <v>0</v>
      </c>
      <c r="Y896" s="3">
        <v>490.63</v>
      </c>
      <c r="Z896" t="str">
        <f t="shared" si="158"/>
        <v>Normal</v>
      </c>
      <c r="AA896" t="str">
        <f t="shared" si="159"/>
        <v>Low</v>
      </c>
      <c r="AB896" t="str">
        <f t="shared" si="163"/>
        <v>Low Profit</v>
      </c>
      <c r="AC896" s="3">
        <f t="shared" si="164"/>
        <v>0.10449363300825716</v>
      </c>
      <c r="AD896" s="3">
        <f t="shared" si="165"/>
        <v>1565.1033333333335</v>
      </c>
      <c r="AE896" s="3">
        <f t="shared" si="166"/>
        <v>163.54333333333332</v>
      </c>
      <c r="AF896" t="str">
        <f t="shared" si="167"/>
        <v>Regular</v>
      </c>
    </row>
    <row r="897" spans="1:32" x14ac:dyDescent="0.25">
      <c r="A897" t="s">
        <v>952</v>
      </c>
      <c r="B897" s="1">
        <v>45361</v>
      </c>
      <c r="C897" s="1">
        <v>45362</v>
      </c>
      <c r="D897" s="4">
        <f t="shared" si="156"/>
        <v>1</v>
      </c>
      <c r="E897" s="4" t="str">
        <f>TEXT(Table1[[#This Row],[Order_Date]],"dddd")</f>
        <v>Sunday</v>
      </c>
      <c r="F897" s="4">
        <f t="shared" si="157"/>
        <v>3</v>
      </c>
      <c r="G897" t="str">
        <f t="shared" si="160"/>
        <v>March</v>
      </c>
      <c r="H897">
        <f t="shared" si="161"/>
        <v>2024</v>
      </c>
      <c r="I897" t="str">
        <f t="shared" si="162"/>
        <v>2024-Q1</v>
      </c>
      <c r="J897" t="s">
        <v>44</v>
      </c>
      <c r="K897" t="s">
        <v>953</v>
      </c>
      <c r="L897" t="s">
        <v>954</v>
      </c>
      <c r="M897" t="s">
        <v>47</v>
      </c>
      <c r="N897" t="s">
        <v>25</v>
      </c>
      <c r="O897" t="s">
        <v>179</v>
      </c>
      <c r="P897" t="s">
        <v>27</v>
      </c>
      <c r="Q897" t="s">
        <v>28</v>
      </c>
      <c r="R897" t="s">
        <v>955</v>
      </c>
      <c r="S897" t="s">
        <v>30</v>
      </c>
      <c r="T897" t="s">
        <v>41</v>
      </c>
      <c r="U897" t="s">
        <v>956</v>
      </c>
      <c r="V897" s="3">
        <v>2463.33</v>
      </c>
      <c r="W897" s="4">
        <v>2</v>
      </c>
      <c r="X897" s="2">
        <v>0.3</v>
      </c>
      <c r="Y897" s="3">
        <v>46.88</v>
      </c>
      <c r="Z897" t="str">
        <f t="shared" si="158"/>
        <v>Normal</v>
      </c>
      <c r="AA897" t="str">
        <f t="shared" si="159"/>
        <v>High</v>
      </c>
      <c r="AB897" t="str">
        <f t="shared" si="163"/>
        <v>Low Profit</v>
      </c>
      <c r="AC897" s="3">
        <f t="shared" si="164"/>
        <v>1.903114889194708E-2</v>
      </c>
      <c r="AD897" s="3">
        <f t="shared" si="165"/>
        <v>1231.665</v>
      </c>
      <c r="AE897" s="3">
        <f t="shared" si="166"/>
        <v>23.44</v>
      </c>
      <c r="AF897" t="str">
        <f t="shared" si="167"/>
        <v>Regular</v>
      </c>
    </row>
    <row r="898" spans="1:32" x14ac:dyDescent="0.25">
      <c r="A898" t="s">
        <v>4057</v>
      </c>
      <c r="B898" s="1">
        <v>45362</v>
      </c>
      <c r="C898" s="1">
        <v>45370</v>
      </c>
      <c r="D898" s="4">
        <f t="shared" ref="D898:D961" si="168">C898-B898</f>
        <v>8</v>
      </c>
      <c r="E898" s="4" t="str">
        <f>TEXT(Table1[[#This Row],[Order_Date]],"dddd")</f>
        <v>Monday</v>
      </c>
      <c r="F898" s="4">
        <f t="shared" ref="F898:F961" si="169">MONTH(B898)</f>
        <v>3</v>
      </c>
      <c r="G898" t="str">
        <f t="shared" si="160"/>
        <v>March</v>
      </c>
      <c r="H898">
        <f t="shared" si="161"/>
        <v>2024</v>
      </c>
      <c r="I898" t="str">
        <f t="shared" si="162"/>
        <v>2024-Q1</v>
      </c>
      <c r="J898" t="s">
        <v>104</v>
      </c>
      <c r="K898" t="s">
        <v>4058</v>
      </c>
      <c r="L898" t="s">
        <v>4059</v>
      </c>
      <c r="M898" t="s">
        <v>47</v>
      </c>
      <c r="N898" t="s">
        <v>25</v>
      </c>
      <c r="O898" t="s">
        <v>80</v>
      </c>
      <c r="P898" t="s">
        <v>49</v>
      </c>
      <c r="Q898" t="s">
        <v>87</v>
      </c>
      <c r="R898" t="s">
        <v>4060</v>
      </c>
      <c r="S898" t="s">
        <v>59</v>
      </c>
      <c r="T898" t="s">
        <v>303</v>
      </c>
      <c r="U898" t="s">
        <v>4061</v>
      </c>
      <c r="V898" s="3">
        <v>2022.45</v>
      </c>
      <c r="W898" s="4">
        <v>10</v>
      </c>
      <c r="X898" s="2">
        <v>0.4</v>
      </c>
      <c r="Y898" s="3">
        <v>-44.6</v>
      </c>
      <c r="Z898" t="str">
        <f t="shared" ref="Z898:Z961" si="170">IF(OR(Y898&lt;-800.884,Y898&gt;1030.126),"Outlier","Normal")</f>
        <v>Normal</v>
      </c>
      <c r="AA898" t="str">
        <f t="shared" ref="AA898:AA961" si="171">IF(X898&lt;10%,"Low",IF(X898&lt;0.2,"Medium","High"))</f>
        <v>High</v>
      </c>
      <c r="AB898" t="str">
        <f t="shared" si="163"/>
        <v>Loss</v>
      </c>
      <c r="AC898" s="3">
        <f t="shared" si="164"/>
        <v>-2.2052461123884398E-2</v>
      </c>
      <c r="AD898" s="3">
        <f t="shared" si="165"/>
        <v>202.245</v>
      </c>
      <c r="AE898" s="3">
        <f t="shared" si="166"/>
        <v>-4.46</v>
      </c>
      <c r="AF898" t="str">
        <f t="shared" si="167"/>
        <v>Regular</v>
      </c>
    </row>
    <row r="899" spans="1:32" x14ac:dyDescent="0.25">
      <c r="A899" t="s">
        <v>1272</v>
      </c>
      <c r="B899" s="1">
        <v>45362</v>
      </c>
      <c r="C899" s="1">
        <v>45371</v>
      </c>
      <c r="D899" s="4">
        <f t="shared" si="168"/>
        <v>9</v>
      </c>
      <c r="E899" s="4" t="str">
        <f>TEXT(Table1[[#This Row],[Order_Date]],"dddd")</f>
        <v>Monday</v>
      </c>
      <c r="F899" s="4">
        <f t="shared" si="169"/>
        <v>3</v>
      </c>
      <c r="G899" t="str">
        <f t="shared" ref="G899:G962" si="172">TEXT(B899,"mmmm")</f>
        <v>March</v>
      </c>
      <c r="H899">
        <f t="shared" ref="H899:H962" si="173">YEAR(B899)</f>
        <v>2024</v>
      </c>
      <c r="I899" t="str">
        <f t="shared" ref="I899:I962" si="174">H899 &amp; "-Q" &amp; INT((MONTH(B899)+2)/3)</f>
        <v>2024-Q1</v>
      </c>
      <c r="J899" t="s">
        <v>44</v>
      </c>
      <c r="K899" t="s">
        <v>1273</v>
      </c>
      <c r="L899" t="s">
        <v>1274</v>
      </c>
      <c r="M899" t="s">
        <v>24</v>
      </c>
      <c r="N899" t="s">
        <v>25</v>
      </c>
      <c r="O899" t="s">
        <v>382</v>
      </c>
      <c r="P899" t="s">
        <v>38</v>
      </c>
      <c r="Q899" t="s">
        <v>39</v>
      </c>
      <c r="R899" t="s">
        <v>1275</v>
      </c>
      <c r="S899" t="s">
        <v>51</v>
      </c>
      <c r="T899" t="s">
        <v>108</v>
      </c>
      <c r="U899" t="s">
        <v>1276</v>
      </c>
      <c r="V899" s="3">
        <v>4815.6899999999996</v>
      </c>
      <c r="W899" s="4">
        <v>10</v>
      </c>
      <c r="X899" s="2">
        <v>0.2</v>
      </c>
      <c r="Y899" s="3">
        <v>222.82197629999999</v>
      </c>
      <c r="Z899" t="str">
        <f t="shared" si="170"/>
        <v>Normal</v>
      </c>
      <c r="AA899" t="str">
        <f t="shared" si="171"/>
        <v>High</v>
      </c>
      <c r="AB899" t="str">
        <f t="shared" ref="AB899:AB962" si="175">IF(Y899&lt;0, "Loss", IF(Y899&lt;500,"Low Profit", "High Profit"))</f>
        <v>Low Profit</v>
      </c>
      <c r="AC899" s="3">
        <f t="shared" ref="AC899:AC962" si="176">Y899/V899</f>
        <v>4.6269999999999999E-2</v>
      </c>
      <c r="AD899" s="3">
        <f t="shared" ref="AD899:AD962" si="177">V899/W899</f>
        <v>481.56899999999996</v>
      </c>
      <c r="AE899" s="3">
        <f t="shared" ref="AE899:AE962" si="178">Y899/W899</f>
        <v>22.282197629999999</v>
      </c>
      <c r="AF899" t="str">
        <f t="shared" ref="AF899:AF962" si="179">IF(V899&gt;5000,"High value", "Regular")</f>
        <v>Regular</v>
      </c>
    </row>
    <row r="900" spans="1:32" x14ac:dyDescent="0.25">
      <c r="A900" t="s">
        <v>3166</v>
      </c>
      <c r="B900" s="1">
        <v>45364</v>
      </c>
      <c r="C900" s="1">
        <v>45369</v>
      </c>
      <c r="D900" s="4">
        <f t="shared" si="168"/>
        <v>5</v>
      </c>
      <c r="E900" s="4" t="str">
        <f>TEXT(Table1[[#This Row],[Order_Date]],"dddd")</f>
        <v>Wednesday</v>
      </c>
      <c r="F900" s="4">
        <f t="shared" si="169"/>
        <v>3</v>
      </c>
      <c r="G900" t="str">
        <f t="shared" si="172"/>
        <v>March</v>
      </c>
      <c r="H900">
        <f t="shared" si="173"/>
        <v>2024</v>
      </c>
      <c r="I900" t="str">
        <f t="shared" si="174"/>
        <v>2024-Q1</v>
      </c>
      <c r="J900" t="s">
        <v>44</v>
      </c>
      <c r="K900" t="s">
        <v>3167</v>
      </c>
      <c r="L900" t="s">
        <v>3168</v>
      </c>
      <c r="M900" t="s">
        <v>47</v>
      </c>
      <c r="N900" t="s">
        <v>25</v>
      </c>
      <c r="O900" t="s">
        <v>201</v>
      </c>
      <c r="P900" t="s">
        <v>113</v>
      </c>
      <c r="Q900" t="s">
        <v>39</v>
      </c>
      <c r="R900" t="s">
        <v>3169</v>
      </c>
      <c r="S900" t="s">
        <v>59</v>
      </c>
      <c r="T900" t="s">
        <v>303</v>
      </c>
      <c r="U900" t="s">
        <v>3170</v>
      </c>
      <c r="V900" s="3">
        <v>4446.87</v>
      </c>
      <c r="W900" s="4">
        <v>5</v>
      </c>
      <c r="X900" s="2">
        <v>0.1</v>
      </c>
      <c r="Y900" s="3">
        <v>300.75</v>
      </c>
      <c r="Z900" t="str">
        <f t="shared" si="170"/>
        <v>Normal</v>
      </c>
      <c r="AA900" t="str">
        <f t="shared" si="171"/>
        <v>Medium</v>
      </c>
      <c r="AB900" t="str">
        <f t="shared" si="175"/>
        <v>Low Profit</v>
      </c>
      <c r="AC900" s="3">
        <f t="shared" si="176"/>
        <v>6.7631839923361831E-2</v>
      </c>
      <c r="AD900" s="3">
        <f t="shared" si="177"/>
        <v>889.37400000000002</v>
      </c>
      <c r="AE900" s="3">
        <f t="shared" si="178"/>
        <v>60.15</v>
      </c>
      <c r="AF900" t="str">
        <f t="shared" si="179"/>
        <v>Regular</v>
      </c>
    </row>
    <row r="901" spans="1:32" x14ac:dyDescent="0.25">
      <c r="A901" t="s">
        <v>828</v>
      </c>
      <c r="B901" s="1">
        <v>45364</v>
      </c>
      <c r="C901" s="1">
        <v>45373</v>
      </c>
      <c r="D901" s="4">
        <f t="shared" si="168"/>
        <v>9</v>
      </c>
      <c r="E901" s="4" t="str">
        <f>TEXT(Table1[[#This Row],[Order_Date]],"dddd")</f>
        <v>Wednesday</v>
      </c>
      <c r="F901" s="4">
        <f t="shared" si="169"/>
        <v>3</v>
      </c>
      <c r="G901" t="str">
        <f t="shared" si="172"/>
        <v>March</v>
      </c>
      <c r="H901">
        <f t="shared" si="173"/>
        <v>2024</v>
      </c>
      <c r="I901" t="str">
        <f t="shared" si="174"/>
        <v>2024-Q1</v>
      </c>
      <c r="J901" t="s">
        <v>104</v>
      </c>
      <c r="K901" t="s">
        <v>829</v>
      </c>
      <c r="L901" t="s">
        <v>830</v>
      </c>
      <c r="M901" t="s">
        <v>24</v>
      </c>
      <c r="N901" t="s">
        <v>25</v>
      </c>
      <c r="O901" t="s">
        <v>48</v>
      </c>
      <c r="P901" t="s">
        <v>49</v>
      </c>
      <c r="Q901" t="s">
        <v>28</v>
      </c>
      <c r="R901" t="s">
        <v>831</v>
      </c>
      <c r="S901" t="s">
        <v>51</v>
      </c>
      <c r="T901" t="s">
        <v>108</v>
      </c>
      <c r="U901" t="s">
        <v>832</v>
      </c>
      <c r="V901" s="3">
        <v>1636.6</v>
      </c>
      <c r="W901" s="4">
        <v>4</v>
      </c>
      <c r="X901" s="2">
        <v>0.2</v>
      </c>
      <c r="Y901" s="3">
        <v>-139.06</v>
      </c>
      <c r="Z901" t="str">
        <f t="shared" si="170"/>
        <v>Normal</v>
      </c>
      <c r="AA901" t="str">
        <f t="shared" si="171"/>
        <v>High</v>
      </c>
      <c r="AB901" t="str">
        <f t="shared" si="175"/>
        <v>Loss</v>
      </c>
      <c r="AC901" s="3">
        <f t="shared" si="176"/>
        <v>-8.4968837834535016E-2</v>
      </c>
      <c r="AD901" s="3">
        <f t="shared" si="177"/>
        <v>409.15</v>
      </c>
      <c r="AE901" s="3">
        <f t="shared" si="178"/>
        <v>-34.765000000000001</v>
      </c>
      <c r="AF901" t="str">
        <f t="shared" si="179"/>
        <v>Regular</v>
      </c>
    </row>
    <row r="902" spans="1:32" x14ac:dyDescent="0.25">
      <c r="A902" t="s">
        <v>5063</v>
      </c>
      <c r="B902" s="1">
        <v>45365</v>
      </c>
      <c r="C902" s="1">
        <v>45369</v>
      </c>
      <c r="D902" s="4">
        <f t="shared" si="168"/>
        <v>4</v>
      </c>
      <c r="E902" s="4" t="str">
        <f>TEXT(Table1[[#This Row],[Order_Date]],"dddd")</f>
        <v>Thursday</v>
      </c>
      <c r="F902" s="4">
        <f t="shared" si="169"/>
        <v>3</v>
      </c>
      <c r="G902" t="str">
        <f t="shared" si="172"/>
        <v>March</v>
      </c>
      <c r="H902">
        <f t="shared" si="173"/>
        <v>2024</v>
      </c>
      <c r="I902" t="str">
        <f t="shared" si="174"/>
        <v>2024-Q1</v>
      </c>
      <c r="J902" t="s">
        <v>55</v>
      </c>
      <c r="K902" t="s">
        <v>5064</v>
      </c>
      <c r="L902" t="s">
        <v>2204</v>
      </c>
      <c r="M902" t="s">
        <v>47</v>
      </c>
      <c r="N902" t="s">
        <v>25</v>
      </c>
      <c r="O902" t="s">
        <v>80</v>
      </c>
      <c r="P902" t="s">
        <v>49</v>
      </c>
      <c r="Q902" t="s">
        <v>87</v>
      </c>
      <c r="R902" t="s">
        <v>5065</v>
      </c>
      <c r="S902" t="s">
        <v>51</v>
      </c>
      <c r="T902" t="s">
        <v>151</v>
      </c>
      <c r="U902" t="s">
        <v>5066</v>
      </c>
      <c r="V902" s="3">
        <v>4589.03</v>
      </c>
      <c r="W902" s="4">
        <v>7</v>
      </c>
      <c r="X902" s="2">
        <v>0.3</v>
      </c>
      <c r="Y902" s="3">
        <v>589.21</v>
      </c>
      <c r="Z902" t="str">
        <f t="shared" si="170"/>
        <v>Normal</v>
      </c>
      <c r="AA902" t="str">
        <f t="shared" si="171"/>
        <v>High</v>
      </c>
      <c r="AB902" t="str">
        <f t="shared" si="175"/>
        <v>High Profit</v>
      </c>
      <c r="AC902" s="3">
        <f t="shared" si="176"/>
        <v>0.12839532537377182</v>
      </c>
      <c r="AD902" s="3">
        <f t="shared" si="177"/>
        <v>655.5757142857143</v>
      </c>
      <c r="AE902" s="3">
        <f t="shared" si="178"/>
        <v>84.172857142857154</v>
      </c>
      <c r="AF902" t="str">
        <f t="shared" si="179"/>
        <v>Regular</v>
      </c>
    </row>
    <row r="903" spans="1:32" x14ac:dyDescent="0.25">
      <c r="A903" t="s">
        <v>5312</v>
      </c>
      <c r="B903" s="1">
        <v>45366</v>
      </c>
      <c r="C903" s="1">
        <v>45375</v>
      </c>
      <c r="D903" s="4">
        <f t="shared" si="168"/>
        <v>9</v>
      </c>
      <c r="E903" s="4" t="str">
        <f>TEXT(Table1[[#This Row],[Order_Date]],"dddd")</f>
        <v>Friday</v>
      </c>
      <c r="F903" s="4">
        <f t="shared" si="169"/>
        <v>3</v>
      </c>
      <c r="G903" t="str">
        <f t="shared" si="172"/>
        <v>March</v>
      </c>
      <c r="H903">
        <f t="shared" si="173"/>
        <v>2024</v>
      </c>
      <c r="I903" t="str">
        <f t="shared" si="174"/>
        <v>2024-Q1</v>
      </c>
      <c r="J903" t="s">
        <v>55</v>
      </c>
      <c r="K903" t="s">
        <v>5313</v>
      </c>
      <c r="L903" t="s">
        <v>5314</v>
      </c>
      <c r="M903" t="s">
        <v>47</v>
      </c>
      <c r="N903" t="s">
        <v>25</v>
      </c>
      <c r="O903" t="s">
        <v>511</v>
      </c>
      <c r="P903" t="s">
        <v>120</v>
      </c>
      <c r="Q903" t="s">
        <v>87</v>
      </c>
      <c r="R903" t="s">
        <v>5315</v>
      </c>
      <c r="S903" t="s">
        <v>59</v>
      </c>
      <c r="T903" t="s">
        <v>101</v>
      </c>
      <c r="U903" t="s">
        <v>5316</v>
      </c>
      <c r="V903" s="3">
        <v>2465.06</v>
      </c>
      <c r="W903" s="4">
        <v>2</v>
      </c>
      <c r="X903" s="2">
        <v>0.4</v>
      </c>
      <c r="Y903" s="3">
        <v>-262.66000000000003</v>
      </c>
      <c r="Z903" t="str">
        <f t="shared" si="170"/>
        <v>Normal</v>
      </c>
      <c r="AA903" t="str">
        <f t="shared" si="171"/>
        <v>High</v>
      </c>
      <c r="AB903" t="str">
        <f t="shared" si="175"/>
        <v>Loss</v>
      </c>
      <c r="AC903" s="3">
        <f t="shared" si="176"/>
        <v>-0.10655318734635263</v>
      </c>
      <c r="AD903" s="3">
        <f t="shared" si="177"/>
        <v>1232.53</v>
      </c>
      <c r="AE903" s="3">
        <f t="shared" si="178"/>
        <v>-131.33000000000001</v>
      </c>
      <c r="AF903" t="str">
        <f t="shared" si="179"/>
        <v>Regular</v>
      </c>
    </row>
    <row r="904" spans="1:32" x14ac:dyDescent="0.25">
      <c r="A904" t="s">
        <v>2529</v>
      </c>
      <c r="B904" s="1">
        <v>45367</v>
      </c>
      <c r="C904" s="1">
        <v>45376</v>
      </c>
      <c r="D904" s="4">
        <f t="shared" si="168"/>
        <v>9</v>
      </c>
      <c r="E904" s="4" t="str">
        <f>TEXT(Table1[[#This Row],[Order_Date]],"dddd")</f>
        <v>Saturday</v>
      </c>
      <c r="F904" s="4">
        <f t="shared" si="169"/>
        <v>3</v>
      </c>
      <c r="G904" t="str">
        <f t="shared" si="172"/>
        <v>March</v>
      </c>
      <c r="H904">
        <f t="shared" si="173"/>
        <v>2024</v>
      </c>
      <c r="I904" t="str">
        <f t="shared" si="174"/>
        <v>2024-Q1</v>
      </c>
      <c r="J904" t="s">
        <v>21</v>
      </c>
      <c r="K904" t="s">
        <v>2530</v>
      </c>
      <c r="L904" t="s">
        <v>2531</v>
      </c>
      <c r="M904" t="s">
        <v>47</v>
      </c>
      <c r="N904" t="s">
        <v>25</v>
      </c>
      <c r="O904" t="s">
        <v>611</v>
      </c>
      <c r="P904" t="s">
        <v>74</v>
      </c>
      <c r="Q904" t="s">
        <v>39</v>
      </c>
      <c r="R904" t="s">
        <v>2532</v>
      </c>
      <c r="S904" t="s">
        <v>51</v>
      </c>
      <c r="T904" t="s">
        <v>108</v>
      </c>
      <c r="U904" t="s">
        <v>2533</v>
      </c>
      <c r="V904" s="3">
        <v>551.38</v>
      </c>
      <c r="W904" s="4">
        <v>2</v>
      </c>
      <c r="X904" s="2">
        <v>0.3</v>
      </c>
      <c r="Y904" s="3">
        <v>116.58</v>
      </c>
      <c r="Z904" t="str">
        <f t="shared" si="170"/>
        <v>Normal</v>
      </c>
      <c r="AA904" t="str">
        <f t="shared" si="171"/>
        <v>High</v>
      </c>
      <c r="AB904" t="str">
        <f t="shared" si="175"/>
        <v>Low Profit</v>
      </c>
      <c r="AC904" s="3">
        <f t="shared" si="176"/>
        <v>0.21143313141572057</v>
      </c>
      <c r="AD904" s="3">
        <f t="shared" si="177"/>
        <v>275.69</v>
      </c>
      <c r="AE904" s="3">
        <f t="shared" si="178"/>
        <v>58.29</v>
      </c>
      <c r="AF904" t="str">
        <f t="shared" si="179"/>
        <v>Regular</v>
      </c>
    </row>
    <row r="905" spans="1:32" x14ac:dyDescent="0.25">
      <c r="A905" t="s">
        <v>1141</v>
      </c>
      <c r="B905" s="1">
        <v>45368</v>
      </c>
      <c r="C905" s="1">
        <v>45373</v>
      </c>
      <c r="D905" s="4">
        <f t="shared" si="168"/>
        <v>5</v>
      </c>
      <c r="E905" s="4" t="str">
        <f>TEXT(Table1[[#This Row],[Order_Date]],"dddd")</f>
        <v>Sunday</v>
      </c>
      <c r="F905" s="4">
        <f t="shared" si="169"/>
        <v>3</v>
      </c>
      <c r="G905" t="str">
        <f t="shared" si="172"/>
        <v>March</v>
      </c>
      <c r="H905">
        <f t="shared" si="173"/>
        <v>2024</v>
      </c>
      <c r="I905" t="str">
        <f t="shared" si="174"/>
        <v>2024-Q1</v>
      </c>
      <c r="J905" t="s">
        <v>104</v>
      </c>
      <c r="K905" t="s">
        <v>1142</v>
      </c>
      <c r="L905" t="s">
        <v>1143</v>
      </c>
      <c r="M905" t="s">
        <v>24</v>
      </c>
      <c r="N905" t="s">
        <v>25</v>
      </c>
      <c r="O905" t="s">
        <v>48</v>
      </c>
      <c r="P905" t="s">
        <v>49</v>
      </c>
      <c r="Q905" t="s">
        <v>39</v>
      </c>
      <c r="R905" t="s">
        <v>1144</v>
      </c>
      <c r="S905" t="s">
        <v>59</v>
      </c>
      <c r="T905" t="s">
        <v>60</v>
      </c>
      <c r="U905" t="s">
        <v>1145</v>
      </c>
      <c r="V905" s="3">
        <v>219.43</v>
      </c>
      <c r="W905" s="4">
        <v>2</v>
      </c>
      <c r="X905" s="2">
        <v>0.1</v>
      </c>
      <c r="Y905" s="3">
        <v>25.23</v>
      </c>
      <c r="Z905" t="str">
        <f t="shared" si="170"/>
        <v>Normal</v>
      </c>
      <c r="AA905" t="str">
        <f t="shared" si="171"/>
        <v>Medium</v>
      </c>
      <c r="AB905" t="str">
        <f t="shared" si="175"/>
        <v>Low Profit</v>
      </c>
      <c r="AC905" s="3">
        <f t="shared" si="176"/>
        <v>0.11497972018411338</v>
      </c>
      <c r="AD905" s="3">
        <f t="shared" si="177"/>
        <v>109.715</v>
      </c>
      <c r="AE905" s="3">
        <f t="shared" si="178"/>
        <v>12.615</v>
      </c>
      <c r="AF905" t="str">
        <f t="shared" si="179"/>
        <v>Regular</v>
      </c>
    </row>
    <row r="906" spans="1:32" x14ac:dyDescent="0.25">
      <c r="A906" t="s">
        <v>838</v>
      </c>
      <c r="B906" s="1">
        <v>45369</v>
      </c>
      <c r="C906" s="1">
        <v>45378</v>
      </c>
      <c r="D906" s="4">
        <f t="shared" si="168"/>
        <v>9</v>
      </c>
      <c r="E906" s="4" t="str">
        <f>TEXT(Table1[[#This Row],[Order_Date]],"dddd")</f>
        <v>Monday</v>
      </c>
      <c r="F906" s="4">
        <f t="shared" si="169"/>
        <v>3</v>
      </c>
      <c r="G906" t="str">
        <f t="shared" si="172"/>
        <v>March</v>
      </c>
      <c r="H906">
        <f t="shared" si="173"/>
        <v>2024</v>
      </c>
      <c r="I906" t="str">
        <f t="shared" si="174"/>
        <v>2024-Q1</v>
      </c>
      <c r="J906" t="s">
        <v>21</v>
      </c>
      <c r="K906" t="s">
        <v>839</v>
      </c>
      <c r="L906" t="s">
        <v>840</v>
      </c>
      <c r="M906" t="s">
        <v>36</v>
      </c>
      <c r="N906" t="s">
        <v>25</v>
      </c>
      <c r="O906" t="s">
        <v>201</v>
      </c>
      <c r="P906" t="s">
        <v>113</v>
      </c>
      <c r="Q906" t="s">
        <v>87</v>
      </c>
      <c r="R906" t="s">
        <v>841</v>
      </c>
      <c r="S906" t="s">
        <v>59</v>
      </c>
      <c r="T906" t="s">
        <v>101</v>
      </c>
      <c r="U906" t="s">
        <v>842</v>
      </c>
      <c r="V906" s="3">
        <v>4850.9799999999996</v>
      </c>
      <c r="W906" s="4">
        <v>4</v>
      </c>
      <c r="X906" s="2">
        <v>0</v>
      </c>
      <c r="Y906" s="3">
        <v>28.37</v>
      </c>
      <c r="Z906" t="str">
        <f t="shared" si="170"/>
        <v>Normal</v>
      </c>
      <c r="AA906" t="str">
        <f t="shared" si="171"/>
        <v>Low</v>
      </c>
      <c r="AB906" t="str">
        <f t="shared" si="175"/>
        <v>Low Profit</v>
      </c>
      <c r="AC906" s="3">
        <f t="shared" si="176"/>
        <v>5.8483028171627182E-3</v>
      </c>
      <c r="AD906" s="3">
        <f t="shared" si="177"/>
        <v>1212.7449999999999</v>
      </c>
      <c r="AE906" s="3">
        <f t="shared" si="178"/>
        <v>7.0925000000000002</v>
      </c>
      <c r="AF906" t="str">
        <f t="shared" si="179"/>
        <v>Regular</v>
      </c>
    </row>
    <row r="907" spans="1:32" x14ac:dyDescent="0.25">
      <c r="A907" t="s">
        <v>2089</v>
      </c>
      <c r="B907" s="1">
        <v>45369</v>
      </c>
      <c r="C907" s="1">
        <v>45374</v>
      </c>
      <c r="D907" s="4">
        <f t="shared" si="168"/>
        <v>5</v>
      </c>
      <c r="E907" s="4" t="str">
        <f>TEXT(Table1[[#This Row],[Order_Date]],"dddd")</f>
        <v>Monday</v>
      </c>
      <c r="F907" s="4">
        <f t="shared" si="169"/>
        <v>3</v>
      </c>
      <c r="G907" t="str">
        <f t="shared" si="172"/>
        <v>March</v>
      </c>
      <c r="H907">
        <f t="shared" si="173"/>
        <v>2024</v>
      </c>
      <c r="I907" t="str">
        <f t="shared" si="174"/>
        <v>2024-Q1</v>
      </c>
      <c r="J907" t="s">
        <v>44</v>
      </c>
      <c r="K907" t="s">
        <v>2090</v>
      </c>
      <c r="L907" t="s">
        <v>2091</v>
      </c>
      <c r="M907" t="s">
        <v>47</v>
      </c>
      <c r="N907" t="s">
        <v>25</v>
      </c>
      <c r="O907" t="s">
        <v>119</v>
      </c>
      <c r="P907" t="s">
        <v>120</v>
      </c>
      <c r="Q907" t="s">
        <v>39</v>
      </c>
      <c r="R907" t="s">
        <v>2092</v>
      </c>
      <c r="S907" t="s">
        <v>30</v>
      </c>
      <c r="T907" t="s">
        <v>31</v>
      </c>
      <c r="U907" t="s">
        <v>2093</v>
      </c>
      <c r="V907" s="3">
        <v>3602.52</v>
      </c>
      <c r="W907" s="4">
        <v>5</v>
      </c>
      <c r="X907" s="2">
        <v>0.4</v>
      </c>
      <c r="Y907" s="3">
        <v>-139.80000000000001</v>
      </c>
      <c r="Z907" t="str">
        <f t="shared" si="170"/>
        <v>Normal</v>
      </c>
      <c r="AA907" t="str">
        <f t="shared" si="171"/>
        <v>High</v>
      </c>
      <c r="AB907" t="str">
        <f t="shared" si="175"/>
        <v>Loss</v>
      </c>
      <c r="AC907" s="3">
        <f t="shared" si="176"/>
        <v>-3.8806169015022818E-2</v>
      </c>
      <c r="AD907" s="3">
        <f t="shared" si="177"/>
        <v>720.50400000000002</v>
      </c>
      <c r="AE907" s="3">
        <f t="shared" si="178"/>
        <v>-27.96</v>
      </c>
      <c r="AF907" t="str">
        <f t="shared" si="179"/>
        <v>Regular</v>
      </c>
    </row>
    <row r="908" spans="1:32" x14ac:dyDescent="0.25">
      <c r="A908" t="s">
        <v>758</v>
      </c>
      <c r="B908" s="1">
        <v>45369</v>
      </c>
      <c r="C908" s="1">
        <v>45379</v>
      </c>
      <c r="D908" s="4">
        <f t="shared" si="168"/>
        <v>10</v>
      </c>
      <c r="E908" s="4" t="str">
        <f>TEXT(Table1[[#This Row],[Order_Date]],"dddd")</f>
        <v>Monday</v>
      </c>
      <c r="F908" s="4">
        <f t="shared" si="169"/>
        <v>3</v>
      </c>
      <c r="G908" t="str">
        <f t="shared" si="172"/>
        <v>March</v>
      </c>
      <c r="H908">
        <f t="shared" si="173"/>
        <v>2024</v>
      </c>
      <c r="I908" t="str">
        <f t="shared" si="174"/>
        <v>2024-Q1</v>
      </c>
      <c r="J908" t="s">
        <v>21</v>
      </c>
      <c r="K908" t="s">
        <v>759</v>
      </c>
      <c r="L908" t="s">
        <v>760</v>
      </c>
      <c r="M908" t="s">
        <v>24</v>
      </c>
      <c r="N908" t="s">
        <v>25</v>
      </c>
      <c r="O908" t="s">
        <v>190</v>
      </c>
      <c r="P908" t="s">
        <v>120</v>
      </c>
      <c r="Q908" t="s">
        <v>39</v>
      </c>
      <c r="R908" t="s">
        <v>761</v>
      </c>
      <c r="S908" t="s">
        <v>59</v>
      </c>
      <c r="T908" t="s">
        <v>101</v>
      </c>
      <c r="U908" t="s">
        <v>762</v>
      </c>
      <c r="V908" s="3">
        <v>3420.71</v>
      </c>
      <c r="W908" s="4">
        <v>7</v>
      </c>
      <c r="X908" s="2">
        <v>0.3</v>
      </c>
      <c r="Y908" s="3">
        <v>-234.96</v>
      </c>
      <c r="Z908" t="str">
        <f t="shared" si="170"/>
        <v>Normal</v>
      </c>
      <c r="AA908" t="str">
        <f t="shared" si="171"/>
        <v>High</v>
      </c>
      <c r="AB908" t="str">
        <f t="shared" si="175"/>
        <v>Loss</v>
      </c>
      <c r="AC908" s="3">
        <f t="shared" si="176"/>
        <v>-6.8687494701392404E-2</v>
      </c>
      <c r="AD908" s="3">
        <f t="shared" si="177"/>
        <v>488.67285714285714</v>
      </c>
      <c r="AE908" s="3">
        <f t="shared" si="178"/>
        <v>-33.565714285714286</v>
      </c>
      <c r="AF908" t="str">
        <f t="shared" si="179"/>
        <v>Regular</v>
      </c>
    </row>
    <row r="909" spans="1:32" x14ac:dyDescent="0.25">
      <c r="A909" t="s">
        <v>1731</v>
      </c>
      <c r="B909" s="1">
        <v>45369</v>
      </c>
      <c r="C909" s="1">
        <v>45376</v>
      </c>
      <c r="D909" s="4">
        <f t="shared" si="168"/>
        <v>7</v>
      </c>
      <c r="E909" s="4" t="str">
        <f>TEXT(Table1[[#This Row],[Order_Date]],"dddd")</f>
        <v>Monday</v>
      </c>
      <c r="F909" s="4">
        <f t="shared" si="169"/>
        <v>3</v>
      </c>
      <c r="G909" t="str">
        <f t="shared" si="172"/>
        <v>March</v>
      </c>
      <c r="H909">
        <f t="shared" si="173"/>
        <v>2024</v>
      </c>
      <c r="I909" t="str">
        <f t="shared" si="174"/>
        <v>2024-Q1</v>
      </c>
      <c r="J909" t="s">
        <v>104</v>
      </c>
      <c r="K909" t="s">
        <v>1732</v>
      </c>
      <c r="L909" t="s">
        <v>1733</v>
      </c>
      <c r="M909" t="s">
        <v>36</v>
      </c>
      <c r="N909" t="s">
        <v>25</v>
      </c>
      <c r="O909" t="s">
        <v>190</v>
      </c>
      <c r="P909" t="s">
        <v>120</v>
      </c>
      <c r="Q909" t="s">
        <v>39</v>
      </c>
      <c r="R909" t="s">
        <v>1734</v>
      </c>
      <c r="S909" t="s">
        <v>59</v>
      </c>
      <c r="T909" t="s">
        <v>277</v>
      </c>
      <c r="U909" t="s">
        <v>1735</v>
      </c>
      <c r="V909" s="3">
        <v>4399.24</v>
      </c>
      <c r="W909" s="4">
        <v>5</v>
      </c>
      <c r="X909" s="2">
        <v>0.2</v>
      </c>
      <c r="Y909" s="3">
        <v>964.5</v>
      </c>
      <c r="Z909" t="str">
        <f t="shared" si="170"/>
        <v>Normal</v>
      </c>
      <c r="AA909" t="str">
        <f t="shared" si="171"/>
        <v>High</v>
      </c>
      <c r="AB909" t="str">
        <f t="shared" si="175"/>
        <v>High Profit</v>
      </c>
      <c r="AC909" s="3">
        <f t="shared" si="176"/>
        <v>0.21924241459888527</v>
      </c>
      <c r="AD909" s="3">
        <f t="shared" si="177"/>
        <v>879.84799999999996</v>
      </c>
      <c r="AE909" s="3">
        <f t="shared" si="178"/>
        <v>192.9</v>
      </c>
      <c r="AF909" t="str">
        <f t="shared" si="179"/>
        <v>Regular</v>
      </c>
    </row>
    <row r="910" spans="1:32" x14ac:dyDescent="0.25">
      <c r="A910" t="s">
        <v>3465</v>
      </c>
      <c r="B910" s="1">
        <v>45371</v>
      </c>
      <c r="C910" s="1">
        <v>45381</v>
      </c>
      <c r="D910" s="4">
        <f t="shared" si="168"/>
        <v>10</v>
      </c>
      <c r="E910" s="4" t="str">
        <f>TEXT(Table1[[#This Row],[Order_Date]],"dddd")</f>
        <v>Wednesday</v>
      </c>
      <c r="F910" s="4">
        <f t="shared" si="169"/>
        <v>3</v>
      </c>
      <c r="G910" t="str">
        <f t="shared" si="172"/>
        <v>March</v>
      </c>
      <c r="H910">
        <f t="shared" si="173"/>
        <v>2024</v>
      </c>
      <c r="I910" t="str">
        <f t="shared" si="174"/>
        <v>2024-Q1</v>
      </c>
      <c r="J910" t="s">
        <v>104</v>
      </c>
      <c r="K910" t="s">
        <v>3466</v>
      </c>
      <c r="L910" t="s">
        <v>3467</v>
      </c>
      <c r="M910" t="s">
        <v>24</v>
      </c>
      <c r="N910" t="s">
        <v>25</v>
      </c>
      <c r="O910" t="s">
        <v>26</v>
      </c>
      <c r="P910" t="s">
        <v>27</v>
      </c>
      <c r="Q910" t="s">
        <v>87</v>
      </c>
      <c r="R910" t="s">
        <v>3468</v>
      </c>
      <c r="S910" t="s">
        <v>30</v>
      </c>
      <c r="T910" t="s">
        <v>82</v>
      </c>
      <c r="U910" t="s">
        <v>3469</v>
      </c>
      <c r="V910" s="3">
        <v>2006.65</v>
      </c>
      <c r="W910" s="4">
        <v>9</v>
      </c>
      <c r="X910" s="2">
        <v>0.1</v>
      </c>
      <c r="Y910" s="3">
        <v>214.79</v>
      </c>
      <c r="Z910" t="str">
        <f t="shared" si="170"/>
        <v>Normal</v>
      </c>
      <c r="AA910" t="str">
        <f t="shared" si="171"/>
        <v>Medium</v>
      </c>
      <c r="AB910" t="str">
        <f t="shared" si="175"/>
        <v>Low Profit</v>
      </c>
      <c r="AC910" s="3">
        <f t="shared" si="176"/>
        <v>0.10703909500909475</v>
      </c>
      <c r="AD910" s="3">
        <f t="shared" si="177"/>
        <v>222.96111111111111</v>
      </c>
      <c r="AE910" s="3">
        <f t="shared" si="178"/>
        <v>23.865555555555556</v>
      </c>
      <c r="AF910" t="str">
        <f t="shared" si="179"/>
        <v>Regular</v>
      </c>
    </row>
    <row r="911" spans="1:32" x14ac:dyDescent="0.25">
      <c r="A911" t="s">
        <v>7028</v>
      </c>
      <c r="B911" s="1">
        <v>45372</v>
      </c>
      <c r="C911" s="1">
        <v>45377</v>
      </c>
      <c r="D911" s="4">
        <f t="shared" si="168"/>
        <v>5</v>
      </c>
      <c r="E911" s="4" t="str">
        <f>TEXT(Table1[[#This Row],[Order_Date]],"dddd")</f>
        <v>Thursday</v>
      </c>
      <c r="F911" s="4">
        <f t="shared" si="169"/>
        <v>3</v>
      </c>
      <c r="G911" t="str">
        <f t="shared" si="172"/>
        <v>March</v>
      </c>
      <c r="H911">
        <f t="shared" si="173"/>
        <v>2024</v>
      </c>
      <c r="I911" t="str">
        <f t="shared" si="174"/>
        <v>2024-Q1</v>
      </c>
      <c r="J911" t="s">
        <v>44</v>
      </c>
      <c r="K911" t="s">
        <v>7029</v>
      </c>
      <c r="L911" t="s">
        <v>7030</v>
      </c>
      <c r="M911" t="s">
        <v>36</v>
      </c>
      <c r="N911" t="s">
        <v>25</v>
      </c>
      <c r="O911" t="s">
        <v>201</v>
      </c>
      <c r="P911" t="s">
        <v>113</v>
      </c>
      <c r="Q911" t="s">
        <v>87</v>
      </c>
      <c r="R911" t="s">
        <v>7031</v>
      </c>
      <c r="S911" t="s">
        <v>51</v>
      </c>
      <c r="T911" t="s">
        <v>108</v>
      </c>
      <c r="U911" t="s">
        <v>7032</v>
      </c>
      <c r="V911" s="3">
        <v>3914.97</v>
      </c>
      <c r="W911" s="4">
        <v>10</v>
      </c>
      <c r="X911" s="2">
        <v>0.2</v>
      </c>
      <c r="Y911" s="3">
        <v>818.55</v>
      </c>
      <c r="Z911" t="str">
        <f t="shared" si="170"/>
        <v>Normal</v>
      </c>
      <c r="AA911" t="str">
        <f t="shared" si="171"/>
        <v>High</v>
      </c>
      <c r="AB911" t="str">
        <f t="shared" si="175"/>
        <v>High Profit</v>
      </c>
      <c r="AC911" s="3">
        <f t="shared" si="176"/>
        <v>0.20908206193150905</v>
      </c>
      <c r="AD911" s="3">
        <f t="shared" si="177"/>
        <v>391.49699999999996</v>
      </c>
      <c r="AE911" s="3">
        <f t="shared" si="178"/>
        <v>81.85499999999999</v>
      </c>
      <c r="AF911" t="str">
        <f t="shared" si="179"/>
        <v>Regular</v>
      </c>
    </row>
    <row r="912" spans="1:32" x14ac:dyDescent="0.25">
      <c r="A912" t="s">
        <v>3821</v>
      </c>
      <c r="B912" s="1">
        <v>45372</v>
      </c>
      <c r="C912" s="1">
        <v>45381</v>
      </c>
      <c r="D912" s="4">
        <f t="shared" si="168"/>
        <v>9</v>
      </c>
      <c r="E912" s="4" t="str">
        <f>TEXT(Table1[[#This Row],[Order_Date]],"dddd")</f>
        <v>Thursday</v>
      </c>
      <c r="F912" s="4">
        <f t="shared" si="169"/>
        <v>3</v>
      </c>
      <c r="G912" t="str">
        <f t="shared" si="172"/>
        <v>March</v>
      </c>
      <c r="H912">
        <f t="shared" si="173"/>
        <v>2024</v>
      </c>
      <c r="I912" t="str">
        <f t="shared" si="174"/>
        <v>2024-Q1</v>
      </c>
      <c r="J912" t="s">
        <v>55</v>
      </c>
      <c r="K912" t="s">
        <v>3822</v>
      </c>
      <c r="L912" t="s">
        <v>3823</v>
      </c>
      <c r="M912" t="s">
        <v>47</v>
      </c>
      <c r="N912" t="s">
        <v>25</v>
      </c>
      <c r="O912" t="s">
        <v>99</v>
      </c>
      <c r="P912" t="s">
        <v>74</v>
      </c>
      <c r="Q912" t="s">
        <v>39</v>
      </c>
      <c r="R912" t="s">
        <v>3824</v>
      </c>
      <c r="S912" t="s">
        <v>51</v>
      </c>
      <c r="T912" t="s">
        <v>151</v>
      </c>
      <c r="U912" t="s">
        <v>3825</v>
      </c>
      <c r="V912" s="3">
        <v>1057</v>
      </c>
      <c r="W912" s="4">
        <v>4</v>
      </c>
      <c r="X912" s="2">
        <v>0.1</v>
      </c>
      <c r="Y912" s="3">
        <v>-136.55000000000001</v>
      </c>
      <c r="Z912" t="str">
        <f t="shared" si="170"/>
        <v>Normal</v>
      </c>
      <c r="AA912" t="str">
        <f t="shared" si="171"/>
        <v>Medium</v>
      </c>
      <c r="AB912" t="str">
        <f t="shared" si="175"/>
        <v>Loss</v>
      </c>
      <c r="AC912" s="3">
        <f t="shared" si="176"/>
        <v>-0.12918637653736992</v>
      </c>
      <c r="AD912" s="3">
        <f t="shared" si="177"/>
        <v>264.25</v>
      </c>
      <c r="AE912" s="3">
        <f t="shared" si="178"/>
        <v>-34.137500000000003</v>
      </c>
      <c r="AF912" t="str">
        <f t="shared" si="179"/>
        <v>Regular</v>
      </c>
    </row>
    <row r="913" spans="1:32" x14ac:dyDescent="0.25">
      <c r="A913" t="s">
        <v>5258</v>
      </c>
      <c r="B913" s="1">
        <v>45372</v>
      </c>
      <c r="C913" s="1">
        <v>45381</v>
      </c>
      <c r="D913" s="4">
        <f t="shared" si="168"/>
        <v>9</v>
      </c>
      <c r="E913" s="4" t="str">
        <f>TEXT(Table1[[#This Row],[Order_Date]],"dddd")</f>
        <v>Thursday</v>
      </c>
      <c r="F913" s="4">
        <f t="shared" si="169"/>
        <v>3</v>
      </c>
      <c r="G913" t="str">
        <f t="shared" si="172"/>
        <v>March</v>
      </c>
      <c r="H913">
        <f t="shared" si="173"/>
        <v>2024</v>
      </c>
      <c r="I913" t="str">
        <f t="shared" si="174"/>
        <v>2024-Q1</v>
      </c>
      <c r="J913" t="s">
        <v>44</v>
      </c>
      <c r="K913" t="s">
        <v>5259</v>
      </c>
      <c r="L913" t="s">
        <v>5260</v>
      </c>
      <c r="M913" t="s">
        <v>47</v>
      </c>
      <c r="N913" t="s">
        <v>25</v>
      </c>
      <c r="O913" t="s">
        <v>451</v>
      </c>
      <c r="P913" t="s">
        <v>38</v>
      </c>
      <c r="Q913" t="s">
        <v>66</v>
      </c>
      <c r="R913" t="s">
        <v>5261</v>
      </c>
      <c r="S913" t="s">
        <v>59</v>
      </c>
      <c r="T913" t="s">
        <v>60</v>
      </c>
      <c r="U913" t="s">
        <v>5262</v>
      </c>
      <c r="V913" s="3">
        <v>219.89</v>
      </c>
      <c r="W913" s="4">
        <v>1</v>
      </c>
      <c r="X913" s="2">
        <v>0</v>
      </c>
      <c r="Y913" s="3">
        <v>57.41</v>
      </c>
      <c r="Z913" t="str">
        <f t="shared" si="170"/>
        <v>Normal</v>
      </c>
      <c r="AA913" t="str">
        <f t="shared" si="171"/>
        <v>Low</v>
      </c>
      <c r="AB913" t="str">
        <f t="shared" si="175"/>
        <v>Low Profit</v>
      </c>
      <c r="AC913" s="3">
        <f t="shared" si="176"/>
        <v>0.26108508799854474</v>
      </c>
      <c r="AD913" s="3">
        <f t="shared" si="177"/>
        <v>219.89</v>
      </c>
      <c r="AE913" s="3">
        <f t="shared" si="178"/>
        <v>57.41</v>
      </c>
      <c r="AF913" t="str">
        <f t="shared" si="179"/>
        <v>Regular</v>
      </c>
    </row>
    <row r="914" spans="1:32" x14ac:dyDescent="0.25">
      <c r="A914" t="s">
        <v>1390</v>
      </c>
      <c r="B914" s="1">
        <v>45373</v>
      </c>
      <c r="C914" s="1">
        <v>45374</v>
      </c>
      <c r="D914" s="4">
        <f t="shared" si="168"/>
        <v>1</v>
      </c>
      <c r="E914" s="4" t="str">
        <f>TEXT(Table1[[#This Row],[Order_Date]],"dddd")</f>
        <v>Friday</v>
      </c>
      <c r="F914" s="4">
        <f t="shared" si="169"/>
        <v>3</v>
      </c>
      <c r="G914" t="str">
        <f t="shared" si="172"/>
        <v>March</v>
      </c>
      <c r="H914">
        <f t="shared" si="173"/>
        <v>2024</v>
      </c>
      <c r="I914" t="str">
        <f t="shared" si="174"/>
        <v>2024-Q1</v>
      </c>
      <c r="J914" t="s">
        <v>55</v>
      </c>
      <c r="K914" t="s">
        <v>1391</v>
      </c>
      <c r="L914" t="s">
        <v>1392</v>
      </c>
      <c r="M914" t="s">
        <v>36</v>
      </c>
      <c r="N914" t="s">
        <v>25</v>
      </c>
      <c r="O914" t="s">
        <v>142</v>
      </c>
      <c r="P914" t="s">
        <v>143</v>
      </c>
      <c r="Q914" t="s">
        <v>87</v>
      </c>
      <c r="R914" t="s">
        <v>1393</v>
      </c>
      <c r="S914" t="s">
        <v>51</v>
      </c>
      <c r="T914" t="s">
        <v>94</v>
      </c>
      <c r="U914" t="s">
        <v>1394</v>
      </c>
      <c r="V914" s="3">
        <v>829.15</v>
      </c>
      <c r="W914" s="4">
        <v>4</v>
      </c>
      <c r="X914" s="2">
        <v>0.1</v>
      </c>
      <c r="Y914" s="3">
        <v>9.9600000000000009</v>
      </c>
      <c r="Z914" t="str">
        <f t="shared" si="170"/>
        <v>Normal</v>
      </c>
      <c r="AA914" t="str">
        <f t="shared" si="171"/>
        <v>Medium</v>
      </c>
      <c r="AB914" t="str">
        <f t="shared" si="175"/>
        <v>Low Profit</v>
      </c>
      <c r="AC914" s="3">
        <f t="shared" si="176"/>
        <v>1.2012301754809144E-2</v>
      </c>
      <c r="AD914" s="3">
        <f t="shared" si="177"/>
        <v>207.28749999999999</v>
      </c>
      <c r="AE914" s="3">
        <f t="shared" si="178"/>
        <v>2.4900000000000002</v>
      </c>
      <c r="AF914" t="str">
        <f t="shared" si="179"/>
        <v>Regular</v>
      </c>
    </row>
    <row r="915" spans="1:32" x14ac:dyDescent="0.25">
      <c r="A915" t="s">
        <v>6100</v>
      </c>
      <c r="B915" s="1">
        <v>45373</v>
      </c>
      <c r="C915" s="1">
        <v>45380</v>
      </c>
      <c r="D915" s="4">
        <f t="shared" si="168"/>
        <v>7</v>
      </c>
      <c r="E915" s="4" t="str">
        <f>TEXT(Table1[[#This Row],[Order_Date]],"dddd")</f>
        <v>Friday</v>
      </c>
      <c r="F915" s="4">
        <f t="shared" si="169"/>
        <v>3</v>
      </c>
      <c r="G915" t="str">
        <f t="shared" si="172"/>
        <v>March</v>
      </c>
      <c r="H915">
        <f t="shared" si="173"/>
        <v>2024</v>
      </c>
      <c r="I915" t="str">
        <f t="shared" si="174"/>
        <v>2024-Q1</v>
      </c>
      <c r="J915" t="s">
        <v>21</v>
      </c>
      <c r="K915" t="s">
        <v>6101</v>
      </c>
      <c r="L915" t="s">
        <v>6102</v>
      </c>
      <c r="M915" t="s">
        <v>47</v>
      </c>
      <c r="N915" t="s">
        <v>25</v>
      </c>
      <c r="O915" t="s">
        <v>451</v>
      </c>
      <c r="P915" t="s">
        <v>38</v>
      </c>
      <c r="Q915" t="s">
        <v>87</v>
      </c>
      <c r="R915" t="s">
        <v>6103</v>
      </c>
      <c r="S915" t="s">
        <v>30</v>
      </c>
      <c r="T915" t="s">
        <v>31</v>
      </c>
      <c r="U915" t="s">
        <v>6104</v>
      </c>
      <c r="V915" s="3">
        <v>1124.1500000000001</v>
      </c>
      <c r="W915" s="4">
        <v>1</v>
      </c>
      <c r="X915" s="2">
        <v>0.4</v>
      </c>
      <c r="Y915" s="3">
        <v>-100.08</v>
      </c>
      <c r="Z915" t="str">
        <f t="shared" si="170"/>
        <v>Normal</v>
      </c>
      <c r="AA915" t="str">
        <f t="shared" si="171"/>
        <v>High</v>
      </c>
      <c r="AB915" t="str">
        <f t="shared" si="175"/>
        <v>Loss</v>
      </c>
      <c r="AC915" s="3">
        <f t="shared" si="176"/>
        <v>-8.9027265044700432E-2</v>
      </c>
      <c r="AD915" s="3">
        <f t="shared" si="177"/>
        <v>1124.1500000000001</v>
      </c>
      <c r="AE915" s="3">
        <f t="shared" si="178"/>
        <v>-100.08</v>
      </c>
      <c r="AF915" t="str">
        <f t="shared" si="179"/>
        <v>Regular</v>
      </c>
    </row>
    <row r="916" spans="1:32" x14ac:dyDescent="0.25">
      <c r="A916" t="s">
        <v>2266</v>
      </c>
      <c r="B916" s="1">
        <v>45374</v>
      </c>
      <c r="C916" s="1">
        <v>45377</v>
      </c>
      <c r="D916" s="4">
        <f t="shared" si="168"/>
        <v>3</v>
      </c>
      <c r="E916" s="4" t="str">
        <f>TEXT(Table1[[#This Row],[Order_Date]],"dddd")</f>
        <v>Saturday</v>
      </c>
      <c r="F916" s="4">
        <f t="shared" si="169"/>
        <v>3</v>
      </c>
      <c r="G916" t="str">
        <f t="shared" si="172"/>
        <v>March</v>
      </c>
      <c r="H916">
        <f t="shared" si="173"/>
        <v>2024</v>
      </c>
      <c r="I916" t="str">
        <f t="shared" si="174"/>
        <v>2024-Q1</v>
      </c>
      <c r="J916" t="s">
        <v>21</v>
      </c>
      <c r="K916" t="s">
        <v>2267</v>
      </c>
      <c r="L916" t="s">
        <v>2268</v>
      </c>
      <c r="M916" t="s">
        <v>47</v>
      </c>
      <c r="N916" t="s">
        <v>25</v>
      </c>
      <c r="O916" t="s">
        <v>73</v>
      </c>
      <c r="P916" t="s">
        <v>74</v>
      </c>
      <c r="Q916" t="s">
        <v>87</v>
      </c>
      <c r="R916" t="s">
        <v>2269</v>
      </c>
      <c r="S916" t="s">
        <v>59</v>
      </c>
      <c r="T916" t="s">
        <v>277</v>
      </c>
      <c r="U916" t="s">
        <v>2270</v>
      </c>
      <c r="V916" s="3">
        <v>4724.51</v>
      </c>
      <c r="W916" s="4">
        <v>3</v>
      </c>
      <c r="X916" s="2">
        <v>0.4</v>
      </c>
      <c r="Y916" s="3">
        <v>552.52</v>
      </c>
      <c r="Z916" t="str">
        <f t="shared" si="170"/>
        <v>Normal</v>
      </c>
      <c r="AA916" t="str">
        <f t="shared" si="171"/>
        <v>High</v>
      </c>
      <c r="AB916" t="str">
        <f t="shared" si="175"/>
        <v>High Profit</v>
      </c>
      <c r="AC916" s="3">
        <f t="shared" si="176"/>
        <v>0.11694757763238939</v>
      </c>
      <c r="AD916" s="3">
        <f t="shared" si="177"/>
        <v>1574.8366666666668</v>
      </c>
      <c r="AE916" s="3">
        <f t="shared" si="178"/>
        <v>184.17333333333332</v>
      </c>
      <c r="AF916" t="str">
        <f t="shared" si="179"/>
        <v>Regular</v>
      </c>
    </row>
    <row r="917" spans="1:32" x14ac:dyDescent="0.25">
      <c r="A917" t="s">
        <v>3678</v>
      </c>
      <c r="B917" s="1">
        <v>45374</v>
      </c>
      <c r="C917" s="1">
        <v>45380</v>
      </c>
      <c r="D917" s="4">
        <f t="shared" si="168"/>
        <v>6</v>
      </c>
      <c r="E917" s="4" t="str">
        <f>TEXT(Table1[[#This Row],[Order_Date]],"dddd")</f>
        <v>Saturday</v>
      </c>
      <c r="F917" s="4">
        <f t="shared" si="169"/>
        <v>3</v>
      </c>
      <c r="G917" t="str">
        <f t="shared" si="172"/>
        <v>March</v>
      </c>
      <c r="H917">
        <f t="shared" si="173"/>
        <v>2024</v>
      </c>
      <c r="I917" t="str">
        <f t="shared" si="174"/>
        <v>2024-Q1</v>
      </c>
      <c r="J917" t="s">
        <v>44</v>
      </c>
      <c r="K917" t="s">
        <v>3679</v>
      </c>
      <c r="L917" t="s">
        <v>3680</v>
      </c>
      <c r="M917" t="s">
        <v>36</v>
      </c>
      <c r="N917" t="s">
        <v>25</v>
      </c>
      <c r="O917" t="s">
        <v>65</v>
      </c>
      <c r="P917" t="s">
        <v>27</v>
      </c>
      <c r="Q917" t="s">
        <v>39</v>
      </c>
      <c r="R917" t="s">
        <v>3681</v>
      </c>
      <c r="S917" t="s">
        <v>59</v>
      </c>
      <c r="T917" t="s">
        <v>101</v>
      </c>
      <c r="U917" t="s">
        <v>3682</v>
      </c>
      <c r="V917" s="3">
        <v>2509.7600000000002</v>
      </c>
      <c r="W917" s="4">
        <v>3</v>
      </c>
      <c r="X917" s="2">
        <v>0.1</v>
      </c>
      <c r="Y917" s="3">
        <v>329.05</v>
      </c>
      <c r="Z917" t="str">
        <f t="shared" si="170"/>
        <v>Normal</v>
      </c>
      <c r="AA917" t="str">
        <f t="shared" si="171"/>
        <v>Medium</v>
      </c>
      <c r="AB917" t="str">
        <f t="shared" si="175"/>
        <v>Low Profit</v>
      </c>
      <c r="AC917" s="3">
        <f t="shared" si="176"/>
        <v>0.13110815376769092</v>
      </c>
      <c r="AD917" s="3">
        <f t="shared" si="177"/>
        <v>836.5866666666667</v>
      </c>
      <c r="AE917" s="3">
        <f t="shared" si="178"/>
        <v>109.68333333333334</v>
      </c>
      <c r="AF917" t="str">
        <f t="shared" si="179"/>
        <v>Regular</v>
      </c>
    </row>
    <row r="918" spans="1:32" x14ac:dyDescent="0.25">
      <c r="A918" t="s">
        <v>3357</v>
      </c>
      <c r="B918" s="1">
        <v>45374</v>
      </c>
      <c r="C918" s="1">
        <v>45382</v>
      </c>
      <c r="D918" s="4">
        <f t="shared" si="168"/>
        <v>8</v>
      </c>
      <c r="E918" s="4" t="str">
        <f>TEXT(Table1[[#This Row],[Order_Date]],"dddd")</f>
        <v>Saturday</v>
      </c>
      <c r="F918" s="4">
        <f t="shared" si="169"/>
        <v>3</v>
      </c>
      <c r="G918" t="str">
        <f t="shared" si="172"/>
        <v>March</v>
      </c>
      <c r="H918">
        <f t="shared" si="173"/>
        <v>2024</v>
      </c>
      <c r="I918" t="str">
        <f t="shared" si="174"/>
        <v>2024-Q1</v>
      </c>
      <c r="J918" t="s">
        <v>55</v>
      </c>
      <c r="K918" t="s">
        <v>3358</v>
      </c>
      <c r="L918" t="s">
        <v>3359</v>
      </c>
      <c r="M918" t="s">
        <v>47</v>
      </c>
      <c r="N918" t="s">
        <v>25</v>
      </c>
      <c r="O918" t="s">
        <v>26</v>
      </c>
      <c r="P918" t="s">
        <v>27</v>
      </c>
      <c r="Q918" t="s">
        <v>28</v>
      </c>
      <c r="R918" t="s">
        <v>3360</v>
      </c>
      <c r="S918" t="s">
        <v>30</v>
      </c>
      <c r="T918" t="s">
        <v>41</v>
      </c>
      <c r="U918" t="s">
        <v>3361</v>
      </c>
      <c r="V918" s="3">
        <v>1995.12</v>
      </c>
      <c r="W918" s="4">
        <v>3</v>
      </c>
      <c r="X918" s="2">
        <v>0.1</v>
      </c>
      <c r="Y918" s="3">
        <v>-283.75</v>
      </c>
      <c r="Z918" t="str">
        <f t="shared" si="170"/>
        <v>Normal</v>
      </c>
      <c r="AA918" t="str">
        <f t="shared" si="171"/>
        <v>Medium</v>
      </c>
      <c r="AB918" t="str">
        <f t="shared" si="175"/>
        <v>Loss</v>
      </c>
      <c r="AC918" s="3">
        <f t="shared" si="176"/>
        <v>-0.14222202173302859</v>
      </c>
      <c r="AD918" s="3">
        <f t="shared" si="177"/>
        <v>665.04</v>
      </c>
      <c r="AE918" s="3">
        <f t="shared" si="178"/>
        <v>-94.583333333333329</v>
      </c>
      <c r="AF918" t="str">
        <f t="shared" si="179"/>
        <v>Regular</v>
      </c>
    </row>
    <row r="919" spans="1:32" x14ac:dyDescent="0.25">
      <c r="A919" t="s">
        <v>5574</v>
      </c>
      <c r="B919" s="1">
        <v>45374</v>
      </c>
      <c r="C919" s="1">
        <v>45380</v>
      </c>
      <c r="D919" s="4">
        <f t="shared" si="168"/>
        <v>6</v>
      </c>
      <c r="E919" s="4" t="str">
        <f>TEXT(Table1[[#This Row],[Order_Date]],"dddd")</f>
        <v>Saturday</v>
      </c>
      <c r="F919" s="4">
        <f t="shared" si="169"/>
        <v>3</v>
      </c>
      <c r="G919" t="str">
        <f t="shared" si="172"/>
        <v>March</v>
      </c>
      <c r="H919">
        <f t="shared" si="173"/>
        <v>2024</v>
      </c>
      <c r="I919" t="str">
        <f t="shared" si="174"/>
        <v>2024-Q1</v>
      </c>
      <c r="J919" t="s">
        <v>21</v>
      </c>
      <c r="K919" t="s">
        <v>5575</v>
      </c>
      <c r="L919" t="s">
        <v>5576</v>
      </c>
      <c r="M919" t="s">
        <v>47</v>
      </c>
      <c r="N919" t="s">
        <v>25</v>
      </c>
      <c r="O919" t="s">
        <v>26</v>
      </c>
      <c r="P919" t="s">
        <v>27</v>
      </c>
      <c r="Q919" t="s">
        <v>28</v>
      </c>
      <c r="R919" t="s">
        <v>5577</v>
      </c>
      <c r="S919" t="s">
        <v>51</v>
      </c>
      <c r="T919" t="s">
        <v>127</v>
      </c>
      <c r="U919" t="s">
        <v>5578</v>
      </c>
      <c r="V919" s="3">
        <v>3108.78</v>
      </c>
      <c r="W919" s="4">
        <v>10</v>
      </c>
      <c r="X919" s="2">
        <v>0</v>
      </c>
      <c r="Y919" s="3">
        <v>772.93</v>
      </c>
      <c r="Z919" t="str">
        <f t="shared" si="170"/>
        <v>Normal</v>
      </c>
      <c r="AA919" t="str">
        <f t="shared" si="171"/>
        <v>Low</v>
      </c>
      <c r="AB919" t="str">
        <f t="shared" si="175"/>
        <v>High Profit</v>
      </c>
      <c r="AC919" s="3">
        <f t="shared" si="176"/>
        <v>0.24862807918218718</v>
      </c>
      <c r="AD919" s="3">
        <f t="shared" si="177"/>
        <v>310.87800000000004</v>
      </c>
      <c r="AE919" s="3">
        <f t="shared" si="178"/>
        <v>77.292999999999992</v>
      </c>
      <c r="AF919" t="str">
        <f t="shared" si="179"/>
        <v>Regular</v>
      </c>
    </row>
    <row r="920" spans="1:32" x14ac:dyDescent="0.25">
      <c r="A920" t="s">
        <v>2060</v>
      </c>
      <c r="B920" s="1">
        <v>45374</v>
      </c>
      <c r="C920" s="1">
        <v>45384</v>
      </c>
      <c r="D920" s="4">
        <f t="shared" si="168"/>
        <v>10</v>
      </c>
      <c r="E920" s="4" t="str">
        <f>TEXT(Table1[[#This Row],[Order_Date]],"dddd")</f>
        <v>Saturday</v>
      </c>
      <c r="F920" s="4">
        <f t="shared" si="169"/>
        <v>3</v>
      </c>
      <c r="G920" t="str">
        <f t="shared" si="172"/>
        <v>March</v>
      </c>
      <c r="H920">
        <f t="shared" si="173"/>
        <v>2024</v>
      </c>
      <c r="I920" t="str">
        <f t="shared" si="174"/>
        <v>2024-Q1</v>
      </c>
      <c r="J920" t="s">
        <v>104</v>
      </c>
      <c r="K920" t="s">
        <v>2061</v>
      </c>
      <c r="L920" t="s">
        <v>2062</v>
      </c>
      <c r="M920" t="s">
        <v>36</v>
      </c>
      <c r="N920" t="s">
        <v>25</v>
      </c>
      <c r="O920" t="s">
        <v>179</v>
      </c>
      <c r="P920" t="s">
        <v>27</v>
      </c>
      <c r="Q920" t="s">
        <v>87</v>
      </c>
      <c r="R920" t="s">
        <v>2063</v>
      </c>
      <c r="S920" t="s">
        <v>59</v>
      </c>
      <c r="T920" t="s">
        <v>60</v>
      </c>
      <c r="U920" t="s">
        <v>2064</v>
      </c>
      <c r="V920" s="3">
        <v>1995.71</v>
      </c>
      <c r="W920" s="4">
        <v>8</v>
      </c>
      <c r="X920" s="2">
        <v>0</v>
      </c>
      <c r="Y920" s="3">
        <v>-242.53</v>
      </c>
      <c r="Z920" t="str">
        <f t="shared" si="170"/>
        <v>Normal</v>
      </c>
      <c r="AA920" t="str">
        <f t="shared" si="171"/>
        <v>Low</v>
      </c>
      <c r="AB920" t="str">
        <f t="shared" si="175"/>
        <v>Loss</v>
      </c>
      <c r="AC920" s="3">
        <f t="shared" si="176"/>
        <v>-0.12152567256765763</v>
      </c>
      <c r="AD920" s="3">
        <f t="shared" si="177"/>
        <v>249.46375</v>
      </c>
      <c r="AE920" s="3">
        <f t="shared" si="178"/>
        <v>-30.31625</v>
      </c>
      <c r="AF920" t="str">
        <f t="shared" si="179"/>
        <v>Regular</v>
      </c>
    </row>
    <row r="921" spans="1:32" x14ac:dyDescent="0.25">
      <c r="A921" t="s">
        <v>3229</v>
      </c>
      <c r="B921" s="1">
        <v>45375</v>
      </c>
      <c r="C921" s="1">
        <v>45382</v>
      </c>
      <c r="D921" s="4">
        <f t="shared" si="168"/>
        <v>7</v>
      </c>
      <c r="E921" s="4" t="str">
        <f>TEXT(Table1[[#This Row],[Order_Date]],"dddd")</f>
        <v>Sunday</v>
      </c>
      <c r="F921" s="4">
        <f t="shared" si="169"/>
        <v>3</v>
      </c>
      <c r="G921" t="str">
        <f t="shared" si="172"/>
        <v>March</v>
      </c>
      <c r="H921">
        <f t="shared" si="173"/>
        <v>2024</v>
      </c>
      <c r="I921" t="str">
        <f t="shared" si="174"/>
        <v>2024-Q1</v>
      </c>
      <c r="J921" t="s">
        <v>44</v>
      </c>
      <c r="K921" t="s">
        <v>3230</v>
      </c>
      <c r="L921" t="s">
        <v>3231</v>
      </c>
      <c r="M921" t="s">
        <v>24</v>
      </c>
      <c r="N921" t="s">
        <v>25</v>
      </c>
      <c r="O921" t="s">
        <v>511</v>
      </c>
      <c r="P921" t="s">
        <v>120</v>
      </c>
      <c r="Q921" t="s">
        <v>28</v>
      </c>
      <c r="R921" t="s">
        <v>3232</v>
      </c>
      <c r="S921" t="s">
        <v>59</v>
      </c>
      <c r="T921" t="s">
        <v>303</v>
      </c>
      <c r="U921" t="s">
        <v>3233</v>
      </c>
      <c r="V921" s="3">
        <v>3406.92</v>
      </c>
      <c r="W921" s="4">
        <v>2</v>
      </c>
      <c r="X921" s="2">
        <v>0.3</v>
      </c>
      <c r="Y921" s="3">
        <v>133.41999999999999</v>
      </c>
      <c r="Z921" t="str">
        <f t="shared" si="170"/>
        <v>Normal</v>
      </c>
      <c r="AA921" t="str">
        <f t="shared" si="171"/>
        <v>High</v>
      </c>
      <c r="AB921" t="str">
        <f t="shared" si="175"/>
        <v>Low Profit</v>
      </c>
      <c r="AC921" s="3">
        <f t="shared" si="176"/>
        <v>3.9161471358294293E-2</v>
      </c>
      <c r="AD921" s="3">
        <f t="shared" si="177"/>
        <v>1703.46</v>
      </c>
      <c r="AE921" s="3">
        <f t="shared" si="178"/>
        <v>66.709999999999994</v>
      </c>
      <c r="AF921" t="str">
        <f t="shared" si="179"/>
        <v>Regular</v>
      </c>
    </row>
    <row r="922" spans="1:32" x14ac:dyDescent="0.25">
      <c r="A922" t="s">
        <v>4955</v>
      </c>
      <c r="B922" s="1">
        <v>45375</v>
      </c>
      <c r="C922" s="1">
        <v>45378</v>
      </c>
      <c r="D922" s="4">
        <f t="shared" si="168"/>
        <v>3</v>
      </c>
      <c r="E922" s="4" t="str">
        <f>TEXT(Table1[[#This Row],[Order_Date]],"dddd")</f>
        <v>Sunday</v>
      </c>
      <c r="F922" s="4">
        <f t="shared" si="169"/>
        <v>3</v>
      </c>
      <c r="G922" t="str">
        <f t="shared" si="172"/>
        <v>March</v>
      </c>
      <c r="H922">
        <f t="shared" si="173"/>
        <v>2024</v>
      </c>
      <c r="I922" t="str">
        <f t="shared" si="174"/>
        <v>2024-Q1</v>
      </c>
      <c r="J922" t="s">
        <v>55</v>
      </c>
      <c r="K922" t="s">
        <v>4956</v>
      </c>
      <c r="L922" t="s">
        <v>4957</v>
      </c>
      <c r="M922" t="s">
        <v>24</v>
      </c>
      <c r="N922" t="s">
        <v>25</v>
      </c>
      <c r="O922" t="s">
        <v>80</v>
      </c>
      <c r="P922" t="s">
        <v>49</v>
      </c>
      <c r="Q922" t="s">
        <v>87</v>
      </c>
      <c r="R922" t="s">
        <v>4958</v>
      </c>
      <c r="S922" t="s">
        <v>30</v>
      </c>
      <c r="T922" t="s">
        <v>82</v>
      </c>
      <c r="U922" t="s">
        <v>4959</v>
      </c>
      <c r="V922" s="3">
        <v>2946.03</v>
      </c>
      <c r="W922" s="4">
        <v>1</v>
      </c>
      <c r="X922" s="2">
        <v>0</v>
      </c>
      <c r="Y922" s="3">
        <v>735.98</v>
      </c>
      <c r="Z922" t="str">
        <f t="shared" si="170"/>
        <v>Normal</v>
      </c>
      <c r="AA922" t="str">
        <f t="shared" si="171"/>
        <v>Low</v>
      </c>
      <c r="AB922" t="str">
        <f t="shared" si="175"/>
        <v>High Profit</v>
      </c>
      <c r="AC922" s="3">
        <f t="shared" si="176"/>
        <v>0.24982094547577585</v>
      </c>
      <c r="AD922" s="3">
        <f t="shared" si="177"/>
        <v>2946.03</v>
      </c>
      <c r="AE922" s="3">
        <f t="shared" si="178"/>
        <v>735.98</v>
      </c>
      <c r="AF922" t="str">
        <f t="shared" si="179"/>
        <v>Regular</v>
      </c>
    </row>
    <row r="923" spans="1:32" x14ac:dyDescent="0.25">
      <c r="A923" t="s">
        <v>2350</v>
      </c>
      <c r="B923" s="1">
        <v>45376</v>
      </c>
      <c r="C923" s="1">
        <v>45384</v>
      </c>
      <c r="D923" s="4">
        <f t="shared" si="168"/>
        <v>8</v>
      </c>
      <c r="E923" s="4" t="str">
        <f>TEXT(Table1[[#This Row],[Order_Date]],"dddd")</f>
        <v>Monday</v>
      </c>
      <c r="F923" s="4">
        <f t="shared" si="169"/>
        <v>3</v>
      </c>
      <c r="G923" t="str">
        <f t="shared" si="172"/>
        <v>March</v>
      </c>
      <c r="H923">
        <f t="shared" si="173"/>
        <v>2024</v>
      </c>
      <c r="I923" t="str">
        <f t="shared" si="174"/>
        <v>2024-Q1</v>
      </c>
      <c r="J923" t="s">
        <v>104</v>
      </c>
      <c r="K923" t="s">
        <v>2351</v>
      </c>
      <c r="L923" t="s">
        <v>2352</v>
      </c>
      <c r="M923" t="s">
        <v>47</v>
      </c>
      <c r="N923" t="s">
        <v>25</v>
      </c>
      <c r="O923" t="s">
        <v>80</v>
      </c>
      <c r="P923" t="s">
        <v>49</v>
      </c>
      <c r="Q923" t="s">
        <v>66</v>
      </c>
      <c r="R923" t="s">
        <v>2353</v>
      </c>
      <c r="S923" t="s">
        <v>30</v>
      </c>
      <c r="T923" t="s">
        <v>68</v>
      </c>
      <c r="U923" t="s">
        <v>399</v>
      </c>
      <c r="V923" s="3">
        <v>1521.62</v>
      </c>
      <c r="W923" s="4">
        <v>7</v>
      </c>
      <c r="X923" s="2">
        <v>0.2</v>
      </c>
      <c r="Y923" s="3">
        <v>-127.07</v>
      </c>
      <c r="Z923" t="str">
        <f t="shared" si="170"/>
        <v>Normal</v>
      </c>
      <c r="AA923" t="str">
        <f t="shared" si="171"/>
        <v>High</v>
      </c>
      <c r="AB923" t="str">
        <f t="shared" si="175"/>
        <v>Loss</v>
      </c>
      <c r="AC923" s="3">
        <f t="shared" si="176"/>
        <v>-8.3509680472128395E-2</v>
      </c>
      <c r="AD923" s="3">
        <f t="shared" si="177"/>
        <v>217.37428571428569</v>
      </c>
      <c r="AE923" s="3">
        <f t="shared" si="178"/>
        <v>-18.15285714285714</v>
      </c>
      <c r="AF923" t="str">
        <f t="shared" si="179"/>
        <v>Regular</v>
      </c>
    </row>
    <row r="924" spans="1:32" x14ac:dyDescent="0.25">
      <c r="A924" t="s">
        <v>498</v>
      </c>
      <c r="B924" s="1">
        <v>45377</v>
      </c>
      <c r="C924" s="1">
        <v>45381</v>
      </c>
      <c r="D924" s="4">
        <f t="shared" si="168"/>
        <v>4</v>
      </c>
      <c r="E924" s="4" t="str">
        <f>TEXT(Table1[[#This Row],[Order_Date]],"dddd")</f>
        <v>Tuesday</v>
      </c>
      <c r="F924" s="4">
        <f t="shared" si="169"/>
        <v>3</v>
      </c>
      <c r="G924" t="str">
        <f t="shared" si="172"/>
        <v>March</v>
      </c>
      <c r="H924">
        <f t="shared" si="173"/>
        <v>2024</v>
      </c>
      <c r="I924" t="str">
        <f t="shared" si="174"/>
        <v>2024-Q1</v>
      </c>
      <c r="J924" t="s">
        <v>55</v>
      </c>
      <c r="K924" t="s">
        <v>499</v>
      </c>
      <c r="L924" t="s">
        <v>500</v>
      </c>
      <c r="M924" t="s">
        <v>24</v>
      </c>
      <c r="N924" t="s">
        <v>25</v>
      </c>
      <c r="O924" t="s">
        <v>48</v>
      </c>
      <c r="P924" t="s">
        <v>49</v>
      </c>
      <c r="Q924" t="s">
        <v>66</v>
      </c>
      <c r="R924" t="s">
        <v>501</v>
      </c>
      <c r="S924" t="s">
        <v>51</v>
      </c>
      <c r="T924" t="s">
        <v>151</v>
      </c>
      <c r="U924" t="s">
        <v>502</v>
      </c>
      <c r="V924" s="3">
        <v>4411.99</v>
      </c>
      <c r="W924" s="4">
        <v>7</v>
      </c>
      <c r="X924" s="2">
        <v>0.3</v>
      </c>
      <c r="Y924" s="3">
        <v>-331.13</v>
      </c>
      <c r="Z924" t="str">
        <f t="shared" si="170"/>
        <v>Normal</v>
      </c>
      <c r="AA924" t="str">
        <f t="shared" si="171"/>
        <v>High</v>
      </c>
      <c r="AB924" t="str">
        <f t="shared" si="175"/>
        <v>Loss</v>
      </c>
      <c r="AC924" s="3">
        <f t="shared" si="176"/>
        <v>-7.5052300662512839E-2</v>
      </c>
      <c r="AD924" s="3">
        <f t="shared" si="177"/>
        <v>630.28428571428572</v>
      </c>
      <c r="AE924" s="3">
        <f t="shared" si="178"/>
        <v>-47.304285714285712</v>
      </c>
      <c r="AF924" t="str">
        <f t="shared" si="179"/>
        <v>Regular</v>
      </c>
    </row>
    <row r="925" spans="1:32" x14ac:dyDescent="0.25">
      <c r="A925" t="s">
        <v>3761</v>
      </c>
      <c r="B925" s="1">
        <v>45377</v>
      </c>
      <c r="C925" s="1">
        <v>45381</v>
      </c>
      <c r="D925" s="4">
        <f t="shared" si="168"/>
        <v>4</v>
      </c>
      <c r="E925" s="4" t="str">
        <f>TEXT(Table1[[#This Row],[Order_Date]],"dddd")</f>
        <v>Tuesday</v>
      </c>
      <c r="F925" s="4">
        <f t="shared" si="169"/>
        <v>3</v>
      </c>
      <c r="G925" t="str">
        <f t="shared" si="172"/>
        <v>March</v>
      </c>
      <c r="H925">
        <f t="shared" si="173"/>
        <v>2024</v>
      </c>
      <c r="I925" t="str">
        <f t="shared" si="174"/>
        <v>2024-Q1</v>
      </c>
      <c r="J925" t="s">
        <v>55</v>
      </c>
      <c r="K925" t="s">
        <v>3762</v>
      </c>
      <c r="L925" t="s">
        <v>3763</v>
      </c>
      <c r="M925" t="s">
        <v>47</v>
      </c>
      <c r="N925" t="s">
        <v>25</v>
      </c>
      <c r="O925" t="s">
        <v>48</v>
      </c>
      <c r="P925" t="s">
        <v>49</v>
      </c>
      <c r="Q925" t="s">
        <v>87</v>
      </c>
      <c r="R925" t="s">
        <v>3764</v>
      </c>
      <c r="S925" t="s">
        <v>30</v>
      </c>
      <c r="T925" t="s">
        <v>41</v>
      </c>
      <c r="U925" t="s">
        <v>3765</v>
      </c>
      <c r="V925" s="3">
        <v>396.97</v>
      </c>
      <c r="W925" s="4">
        <v>6</v>
      </c>
      <c r="X925" s="2">
        <v>0.4</v>
      </c>
      <c r="Y925" s="3">
        <v>19.75</v>
      </c>
      <c r="Z925" t="str">
        <f t="shared" si="170"/>
        <v>Normal</v>
      </c>
      <c r="AA925" t="str">
        <f t="shared" si="171"/>
        <v>High</v>
      </c>
      <c r="AB925" t="str">
        <f t="shared" si="175"/>
        <v>Low Profit</v>
      </c>
      <c r="AC925" s="3">
        <f t="shared" si="176"/>
        <v>4.9751870418419525E-2</v>
      </c>
      <c r="AD925" s="3">
        <f t="shared" si="177"/>
        <v>66.161666666666676</v>
      </c>
      <c r="AE925" s="3">
        <f t="shared" si="178"/>
        <v>3.2916666666666665</v>
      </c>
      <c r="AF925" t="str">
        <f t="shared" si="179"/>
        <v>Regular</v>
      </c>
    </row>
    <row r="926" spans="1:32" x14ac:dyDescent="0.25">
      <c r="A926" t="s">
        <v>4451</v>
      </c>
      <c r="B926" s="1">
        <v>45377</v>
      </c>
      <c r="C926" s="1">
        <v>45379</v>
      </c>
      <c r="D926" s="4">
        <f t="shared" si="168"/>
        <v>2</v>
      </c>
      <c r="E926" s="4" t="str">
        <f>TEXT(Table1[[#This Row],[Order_Date]],"dddd")</f>
        <v>Tuesday</v>
      </c>
      <c r="F926" s="4">
        <f t="shared" si="169"/>
        <v>3</v>
      </c>
      <c r="G926" t="str">
        <f t="shared" si="172"/>
        <v>March</v>
      </c>
      <c r="H926">
        <f t="shared" si="173"/>
        <v>2024</v>
      </c>
      <c r="I926" t="str">
        <f t="shared" si="174"/>
        <v>2024-Q1</v>
      </c>
      <c r="J926" t="s">
        <v>104</v>
      </c>
      <c r="K926" t="s">
        <v>4452</v>
      </c>
      <c r="L926" t="s">
        <v>4453</v>
      </c>
      <c r="M926" t="s">
        <v>36</v>
      </c>
      <c r="N926" t="s">
        <v>25</v>
      </c>
      <c r="O926" t="s">
        <v>48</v>
      </c>
      <c r="P926" t="s">
        <v>49</v>
      </c>
      <c r="Q926" t="s">
        <v>66</v>
      </c>
      <c r="R926" t="s">
        <v>4454</v>
      </c>
      <c r="S926" t="s">
        <v>30</v>
      </c>
      <c r="T926" t="s">
        <v>68</v>
      </c>
      <c r="U926" t="s">
        <v>4455</v>
      </c>
      <c r="V926" s="3">
        <v>4786.0200000000004</v>
      </c>
      <c r="W926" s="4">
        <v>4</v>
      </c>
      <c r="X926" s="2">
        <v>0.1</v>
      </c>
      <c r="Y926" s="3">
        <v>-542.46</v>
      </c>
      <c r="Z926" t="str">
        <f t="shared" si="170"/>
        <v>Normal</v>
      </c>
      <c r="AA926" t="str">
        <f t="shared" si="171"/>
        <v>Medium</v>
      </c>
      <c r="AB926" t="str">
        <f t="shared" si="175"/>
        <v>Loss</v>
      </c>
      <c r="AC926" s="3">
        <f t="shared" si="176"/>
        <v>-0.1133426103526521</v>
      </c>
      <c r="AD926" s="3">
        <f t="shared" si="177"/>
        <v>1196.5050000000001</v>
      </c>
      <c r="AE926" s="3">
        <f t="shared" si="178"/>
        <v>-135.61500000000001</v>
      </c>
      <c r="AF926" t="str">
        <f t="shared" si="179"/>
        <v>Regular</v>
      </c>
    </row>
    <row r="927" spans="1:32" x14ac:dyDescent="0.25">
      <c r="A927" t="s">
        <v>2889</v>
      </c>
      <c r="B927" s="1">
        <v>45378</v>
      </c>
      <c r="C927" s="1">
        <v>45387</v>
      </c>
      <c r="D927" s="4">
        <f t="shared" si="168"/>
        <v>9</v>
      </c>
      <c r="E927" s="4" t="str">
        <f>TEXT(Table1[[#This Row],[Order_Date]],"dddd")</f>
        <v>Wednesday</v>
      </c>
      <c r="F927" s="4">
        <f t="shared" si="169"/>
        <v>3</v>
      </c>
      <c r="G927" t="str">
        <f t="shared" si="172"/>
        <v>March</v>
      </c>
      <c r="H927">
        <f t="shared" si="173"/>
        <v>2024</v>
      </c>
      <c r="I927" t="str">
        <f t="shared" si="174"/>
        <v>2024-Q1</v>
      </c>
      <c r="J927" t="s">
        <v>55</v>
      </c>
      <c r="K927" t="s">
        <v>2890</v>
      </c>
      <c r="L927" t="s">
        <v>2891</v>
      </c>
      <c r="M927" t="s">
        <v>36</v>
      </c>
      <c r="N927" t="s">
        <v>25</v>
      </c>
      <c r="O927" t="s">
        <v>201</v>
      </c>
      <c r="P927" t="s">
        <v>113</v>
      </c>
      <c r="Q927" t="s">
        <v>66</v>
      </c>
      <c r="R927" t="s">
        <v>2892</v>
      </c>
      <c r="S927" t="s">
        <v>30</v>
      </c>
      <c r="T927" t="s">
        <v>41</v>
      </c>
      <c r="U927" t="s">
        <v>2893</v>
      </c>
      <c r="V927" s="3">
        <v>3638.92</v>
      </c>
      <c r="W927" s="4">
        <v>2</v>
      </c>
      <c r="X927" s="2">
        <v>0.1</v>
      </c>
      <c r="Y927" s="3">
        <v>124.28</v>
      </c>
      <c r="Z927" t="str">
        <f t="shared" si="170"/>
        <v>Normal</v>
      </c>
      <c r="AA927" t="str">
        <f t="shared" si="171"/>
        <v>Medium</v>
      </c>
      <c r="AB927" t="str">
        <f t="shared" si="175"/>
        <v>Low Profit</v>
      </c>
      <c r="AC927" s="3">
        <f t="shared" si="176"/>
        <v>3.4152990447715255E-2</v>
      </c>
      <c r="AD927" s="3">
        <f t="shared" si="177"/>
        <v>1819.46</v>
      </c>
      <c r="AE927" s="3">
        <f t="shared" si="178"/>
        <v>62.14</v>
      </c>
      <c r="AF927" t="str">
        <f t="shared" si="179"/>
        <v>Regular</v>
      </c>
    </row>
    <row r="928" spans="1:32" x14ac:dyDescent="0.25">
      <c r="A928" t="s">
        <v>996</v>
      </c>
      <c r="B928" s="1">
        <v>45378</v>
      </c>
      <c r="C928" s="1">
        <v>45384</v>
      </c>
      <c r="D928" s="4">
        <f t="shared" si="168"/>
        <v>6</v>
      </c>
      <c r="E928" s="4" t="str">
        <f>TEXT(Table1[[#This Row],[Order_Date]],"dddd")</f>
        <v>Wednesday</v>
      </c>
      <c r="F928" s="4">
        <f t="shared" si="169"/>
        <v>3</v>
      </c>
      <c r="G928" t="str">
        <f t="shared" si="172"/>
        <v>March</v>
      </c>
      <c r="H928">
        <f t="shared" si="173"/>
        <v>2024</v>
      </c>
      <c r="I928" t="str">
        <f t="shared" si="174"/>
        <v>2024-Q1</v>
      </c>
      <c r="J928" t="s">
        <v>44</v>
      </c>
      <c r="K928" t="s">
        <v>997</v>
      </c>
      <c r="L928" t="s">
        <v>998</v>
      </c>
      <c r="M928" t="s">
        <v>24</v>
      </c>
      <c r="N928" t="s">
        <v>25</v>
      </c>
      <c r="O928" t="s">
        <v>26</v>
      </c>
      <c r="P928" t="s">
        <v>27</v>
      </c>
      <c r="Q928" t="s">
        <v>66</v>
      </c>
      <c r="R928" t="s">
        <v>999</v>
      </c>
      <c r="S928" t="s">
        <v>30</v>
      </c>
      <c r="T928" t="s">
        <v>41</v>
      </c>
      <c r="U928" t="s">
        <v>1000</v>
      </c>
      <c r="V928" s="3">
        <v>3519.62</v>
      </c>
      <c r="W928" s="4">
        <v>3</v>
      </c>
      <c r="X928" s="2">
        <v>0.4</v>
      </c>
      <c r="Y928" s="3">
        <v>174.58</v>
      </c>
      <c r="Z928" t="str">
        <f t="shared" si="170"/>
        <v>Normal</v>
      </c>
      <c r="AA928" t="str">
        <f t="shared" si="171"/>
        <v>High</v>
      </c>
      <c r="AB928" t="str">
        <f t="shared" si="175"/>
        <v>Low Profit</v>
      </c>
      <c r="AC928" s="3">
        <f t="shared" si="176"/>
        <v>4.9601945664588795E-2</v>
      </c>
      <c r="AD928" s="3">
        <f t="shared" si="177"/>
        <v>1173.2066666666667</v>
      </c>
      <c r="AE928" s="3">
        <f t="shared" si="178"/>
        <v>58.193333333333335</v>
      </c>
      <c r="AF928" t="str">
        <f t="shared" si="179"/>
        <v>Regular</v>
      </c>
    </row>
    <row r="929" spans="1:32" x14ac:dyDescent="0.25">
      <c r="A929" t="s">
        <v>6547</v>
      </c>
      <c r="B929" s="1">
        <v>45378</v>
      </c>
      <c r="C929" s="1">
        <v>45385</v>
      </c>
      <c r="D929" s="4">
        <f t="shared" si="168"/>
        <v>7</v>
      </c>
      <c r="E929" s="4" t="str">
        <f>TEXT(Table1[[#This Row],[Order_Date]],"dddd")</f>
        <v>Wednesday</v>
      </c>
      <c r="F929" s="4">
        <f t="shared" si="169"/>
        <v>3</v>
      </c>
      <c r="G929" t="str">
        <f t="shared" si="172"/>
        <v>March</v>
      </c>
      <c r="H929">
        <f t="shared" si="173"/>
        <v>2024</v>
      </c>
      <c r="I929" t="str">
        <f t="shared" si="174"/>
        <v>2024-Q1</v>
      </c>
      <c r="J929" t="s">
        <v>55</v>
      </c>
      <c r="K929" t="s">
        <v>6548</v>
      </c>
      <c r="L929" t="s">
        <v>6549</v>
      </c>
      <c r="M929" t="s">
        <v>24</v>
      </c>
      <c r="N929" t="s">
        <v>25</v>
      </c>
      <c r="O929" t="s">
        <v>142</v>
      </c>
      <c r="P929" t="s">
        <v>143</v>
      </c>
      <c r="Q929" t="s">
        <v>28</v>
      </c>
      <c r="R929" t="s">
        <v>6550</v>
      </c>
      <c r="S929" t="s">
        <v>59</v>
      </c>
      <c r="T929" t="s">
        <v>60</v>
      </c>
      <c r="U929" t="s">
        <v>6551</v>
      </c>
      <c r="V929" s="3">
        <v>1214.21</v>
      </c>
      <c r="W929" s="4">
        <v>9</v>
      </c>
      <c r="X929" s="2">
        <v>0.3</v>
      </c>
      <c r="Y929" s="3">
        <v>-187.52</v>
      </c>
      <c r="Z929" t="str">
        <f t="shared" si="170"/>
        <v>Normal</v>
      </c>
      <c r="AA929" t="str">
        <f t="shared" si="171"/>
        <v>High</v>
      </c>
      <c r="AB929" t="str">
        <f t="shared" si="175"/>
        <v>Loss</v>
      </c>
      <c r="AC929" s="3">
        <f t="shared" si="176"/>
        <v>-0.15443786494922626</v>
      </c>
      <c r="AD929" s="3">
        <f t="shared" si="177"/>
        <v>134.91222222222223</v>
      </c>
      <c r="AE929" s="3">
        <f t="shared" si="178"/>
        <v>-20.835555555555558</v>
      </c>
      <c r="AF929" t="str">
        <f t="shared" si="179"/>
        <v>Regular</v>
      </c>
    </row>
    <row r="930" spans="1:32" x14ac:dyDescent="0.25">
      <c r="A930" t="s">
        <v>1371</v>
      </c>
      <c r="B930" s="1">
        <v>45378</v>
      </c>
      <c r="C930" s="1">
        <v>45384</v>
      </c>
      <c r="D930" s="4">
        <f t="shared" si="168"/>
        <v>6</v>
      </c>
      <c r="E930" s="4" t="str">
        <f>TEXT(Table1[[#This Row],[Order_Date]],"dddd")</f>
        <v>Wednesday</v>
      </c>
      <c r="F930" s="4">
        <f t="shared" si="169"/>
        <v>3</v>
      </c>
      <c r="G930" t="str">
        <f t="shared" si="172"/>
        <v>March</v>
      </c>
      <c r="H930">
        <f t="shared" si="173"/>
        <v>2024</v>
      </c>
      <c r="I930" t="str">
        <f t="shared" si="174"/>
        <v>2024-Q1</v>
      </c>
      <c r="J930" t="s">
        <v>21</v>
      </c>
      <c r="K930" t="s">
        <v>1372</v>
      </c>
      <c r="L930" t="s">
        <v>1373</v>
      </c>
      <c r="M930" t="s">
        <v>36</v>
      </c>
      <c r="N930" t="s">
        <v>25</v>
      </c>
      <c r="O930" t="s">
        <v>37</v>
      </c>
      <c r="P930" t="s">
        <v>38</v>
      </c>
      <c r="Q930" t="s">
        <v>66</v>
      </c>
      <c r="R930" t="s">
        <v>1374</v>
      </c>
      <c r="S930" t="s">
        <v>30</v>
      </c>
      <c r="T930" t="s">
        <v>31</v>
      </c>
      <c r="U930" t="s">
        <v>1375</v>
      </c>
      <c r="V930" s="3">
        <v>3840.05</v>
      </c>
      <c r="W930" s="4">
        <v>8</v>
      </c>
      <c r="X930" s="2">
        <v>0</v>
      </c>
      <c r="Y930" s="3">
        <v>600.07000000000005</v>
      </c>
      <c r="Z930" t="str">
        <f t="shared" si="170"/>
        <v>Normal</v>
      </c>
      <c r="AA930" t="str">
        <f t="shared" si="171"/>
        <v>Low</v>
      </c>
      <c r="AB930" t="str">
        <f t="shared" si="175"/>
        <v>High Profit</v>
      </c>
      <c r="AC930" s="3">
        <f t="shared" si="176"/>
        <v>0.15626619445059309</v>
      </c>
      <c r="AD930" s="3">
        <f t="shared" si="177"/>
        <v>480.00625000000002</v>
      </c>
      <c r="AE930" s="3">
        <f t="shared" si="178"/>
        <v>75.008750000000006</v>
      </c>
      <c r="AF930" t="str">
        <f t="shared" si="179"/>
        <v>Regular</v>
      </c>
    </row>
    <row r="931" spans="1:32" x14ac:dyDescent="0.25">
      <c r="A931" t="s">
        <v>6233</v>
      </c>
      <c r="B931" s="1">
        <v>45378</v>
      </c>
      <c r="C931" s="1">
        <v>45380</v>
      </c>
      <c r="D931" s="4">
        <f t="shared" si="168"/>
        <v>2</v>
      </c>
      <c r="E931" s="4" t="str">
        <f>TEXT(Table1[[#This Row],[Order_Date]],"dddd")</f>
        <v>Wednesday</v>
      </c>
      <c r="F931" s="4">
        <f t="shared" si="169"/>
        <v>3</v>
      </c>
      <c r="G931" t="str">
        <f t="shared" si="172"/>
        <v>March</v>
      </c>
      <c r="H931">
        <f t="shared" si="173"/>
        <v>2024</v>
      </c>
      <c r="I931" t="str">
        <f t="shared" si="174"/>
        <v>2024-Q1</v>
      </c>
      <c r="J931" t="s">
        <v>104</v>
      </c>
      <c r="K931" t="s">
        <v>6234</v>
      </c>
      <c r="L931" t="s">
        <v>6235</v>
      </c>
      <c r="M931" t="s">
        <v>36</v>
      </c>
      <c r="N931" t="s">
        <v>25</v>
      </c>
      <c r="O931" t="s">
        <v>244</v>
      </c>
      <c r="P931" t="s">
        <v>163</v>
      </c>
      <c r="Q931" t="s">
        <v>39</v>
      </c>
      <c r="R931" t="s">
        <v>6236</v>
      </c>
      <c r="S931" t="s">
        <v>30</v>
      </c>
      <c r="T931" t="s">
        <v>41</v>
      </c>
      <c r="U931" t="s">
        <v>6237</v>
      </c>
      <c r="V931" s="3">
        <v>2739.28</v>
      </c>
      <c r="W931" s="4">
        <v>3</v>
      </c>
      <c r="X931" s="2">
        <v>0</v>
      </c>
      <c r="Y931" s="3">
        <v>14.6</v>
      </c>
      <c r="Z931" t="str">
        <f t="shared" si="170"/>
        <v>Normal</v>
      </c>
      <c r="AA931" t="str">
        <f t="shared" si="171"/>
        <v>Low</v>
      </c>
      <c r="AB931" t="str">
        <f t="shared" si="175"/>
        <v>Low Profit</v>
      </c>
      <c r="AC931" s="3">
        <f t="shared" si="176"/>
        <v>5.3298677024619604E-3</v>
      </c>
      <c r="AD931" s="3">
        <f t="shared" si="177"/>
        <v>913.09333333333336</v>
      </c>
      <c r="AE931" s="3">
        <f t="shared" si="178"/>
        <v>4.8666666666666663</v>
      </c>
      <c r="AF931" t="str">
        <f t="shared" si="179"/>
        <v>Regular</v>
      </c>
    </row>
    <row r="932" spans="1:32" x14ac:dyDescent="0.25">
      <c r="A932" t="s">
        <v>5888</v>
      </c>
      <c r="B932" s="1">
        <v>45379</v>
      </c>
      <c r="C932" s="1">
        <v>45386</v>
      </c>
      <c r="D932" s="4">
        <f t="shared" si="168"/>
        <v>7</v>
      </c>
      <c r="E932" s="4" t="str">
        <f>TEXT(Table1[[#This Row],[Order_Date]],"dddd")</f>
        <v>Thursday</v>
      </c>
      <c r="F932" s="4">
        <f t="shared" si="169"/>
        <v>3</v>
      </c>
      <c r="G932" t="str">
        <f t="shared" si="172"/>
        <v>March</v>
      </c>
      <c r="H932">
        <f t="shared" si="173"/>
        <v>2024</v>
      </c>
      <c r="I932" t="str">
        <f t="shared" si="174"/>
        <v>2024-Q1</v>
      </c>
      <c r="J932" t="s">
        <v>44</v>
      </c>
      <c r="K932" t="s">
        <v>5889</v>
      </c>
      <c r="L932" t="s">
        <v>5890</v>
      </c>
      <c r="M932" t="s">
        <v>36</v>
      </c>
      <c r="N932" t="s">
        <v>25</v>
      </c>
      <c r="O932" t="s">
        <v>119</v>
      </c>
      <c r="P932" t="s">
        <v>120</v>
      </c>
      <c r="Q932" t="s">
        <v>87</v>
      </c>
      <c r="R932" t="s">
        <v>5891</v>
      </c>
      <c r="S932" t="s">
        <v>30</v>
      </c>
      <c r="T932" t="s">
        <v>31</v>
      </c>
      <c r="U932" t="s">
        <v>5892</v>
      </c>
      <c r="V932" s="3">
        <v>4601.47</v>
      </c>
      <c r="W932" s="4">
        <v>8</v>
      </c>
      <c r="X932" s="2">
        <v>0.3</v>
      </c>
      <c r="Y932" s="3">
        <v>-813.98</v>
      </c>
      <c r="Z932" t="str">
        <f t="shared" si="170"/>
        <v>Outlier</v>
      </c>
      <c r="AA932" t="str">
        <f t="shared" si="171"/>
        <v>High</v>
      </c>
      <c r="AB932" t="str">
        <f t="shared" si="175"/>
        <v>Loss</v>
      </c>
      <c r="AC932" s="3">
        <f t="shared" si="176"/>
        <v>-0.17689564421804335</v>
      </c>
      <c r="AD932" s="3">
        <f t="shared" si="177"/>
        <v>575.18375000000003</v>
      </c>
      <c r="AE932" s="3">
        <f t="shared" si="178"/>
        <v>-101.7475</v>
      </c>
      <c r="AF932" t="str">
        <f t="shared" si="179"/>
        <v>Regular</v>
      </c>
    </row>
    <row r="933" spans="1:32" x14ac:dyDescent="0.25">
      <c r="A933" t="s">
        <v>2393</v>
      </c>
      <c r="B933" s="1">
        <v>45380</v>
      </c>
      <c r="C933" s="1">
        <v>45383</v>
      </c>
      <c r="D933" s="4">
        <f t="shared" si="168"/>
        <v>3</v>
      </c>
      <c r="E933" s="4" t="str">
        <f>TEXT(Table1[[#This Row],[Order_Date]],"dddd")</f>
        <v>Friday</v>
      </c>
      <c r="F933" s="4">
        <f t="shared" si="169"/>
        <v>3</v>
      </c>
      <c r="G933" t="str">
        <f t="shared" si="172"/>
        <v>March</v>
      </c>
      <c r="H933">
        <f t="shared" si="173"/>
        <v>2024</v>
      </c>
      <c r="I933" t="str">
        <f t="shared" si="174"/>
        <v>2024-Q1</v>
      </c>
      <c r="J933" t="s">
        <v>21</v>
      </c>
      <c r="K933" t="s">
        <v>2394</v>
      </c>
      <c r="L933" t="s">
        <v>2395</v>
      </c>
      <c r="M933" t="s">
        <v>36</v>
      </c>
      <c r="N933" t="s">
        <v>25</v>
      </c>
      <c r="O933" t="s">
        <v>119</v>
      </c>
      <c r="P933" t="s">
        <v>120</v>
      </c>
      <c r="Q933" t="s">
        <v>66</v>
      </c>
      <c r="R933" t="s">
        <v>2396</v>
      </c>
      <c r="S933" t="s">
        <v>51</v>
      </c>
      <c r="T933" t="s">
        <v>127</v>
      </c>
      <c r="U933" t="s">
        <v>2397</v>
      </c>
      <c r="V933" s="3">
        <v>3862.32</v>
      </c>
      <c r="W933" s="4">
        <v>8</v>
      </c>
      <c r="X933" s="2">
        <v>0</v>
      </c>
      <c r="Y933" s="3">
        <v>517.58000000000004</v>
      </c>
      <c r="Z933" t="str">
        <f t="shared" si="170"/>
        <v>Normal</v>
      </c>
      <c r="AA933" t="str">
        <f t="shared" si="171"/>
        <v>Low</v>
      </c>
      <c r="AB933" t="str">
        <f t="shared" si="175"/>
        <v>High Profit</v>
      </c>
      <c r="AC933" s="3">
        <f t="shared" si="176"/>
        <v>0.13400753950993186</v>
      </c>
      <c r="AD933" s="3">
        <f t="shared" si="177"/>
        <v>482.79</v>
      </c>
      <c r="AE933" s="3">
        <f t="shared" si="178"/>
        <v>64.697500000000005</v>
      </c>
      <c r="AF933" t="str">
        <f t="shared" si="179"/>
        <v>Regular</v>
      </c>
    </row>
    <row r="934" spans="1:32" x14ac:dyDescent="0.25">
      <c r="A934" t="s">
        <v>4505</v>
      </c>
      <c r="B934" s="1">
        <v>45380</v>
      </c>
      <c r="C934" s="1">
        <v>45389</v>
      </c>
      <c r="D934" s="4">
        <f t="shared" si="168"/>
        <v>9</v>
      </c>
      <c r="E934" s="4" t="str">
        <f>TEXT(Table1[[#This Row],[Order_Date]],"dddd")</f>
        <v>Friday</v>
      </c>
      <c r="F934" s="4">
        <f t="shared" si="169"/>
        <v>3</v>
      </c>
      <c r="G934" t="str">
        <f t="shared" si="172"/>
        <v>March</v>
      </c>
      <c r="H934">
        <f t="shared" si="173"/>
        <v>2024</v>
      </c>
      <c r="I934" t="str">
        <f t="shared" si="174"/>
        <v>2024-Q1</v>
      </c>
      <c r="J934" t="s">
        <v>21</v>
      </c>
      <c r="K934" t="s">
        <v>4506</v>
      </c>
      <c r="L934" t="s">
        <v>4507</v>
      </c>
      <c r="M934" t="s">
        <v>47</v>
      </c>
      <c r="N934" t="s">
        <v>25</v>
      </c>
      <c r="O934" t="s">
        <v>113</v>
      </c>
      <c r="P934" t="s">
        <v>113</v>
      </c>
      <c r="Q934" t="s">
        <v>87</v>
      </c>
      <c r="R934" t="s">
        <v>4508</v>
      </c>
      <c r="S934" t="s">
        <v>59</v>
      </c>
      <c r="T934" t="s">
        <v>101</v>
      </c>
      <c r="U934" t="s">
        <v>4509</v>
      </c>
      <c r="V934" s="3">
        <v>67.11</v>
      </c>
      <c r="W934" s="4">
        <v>1</v>
      </c>
      <c r="X934" s="2">
        <v>0.4</v>
      </c>
      <c r="Y934" s="3">
        <v>3.1051796999999999</v>
      </c>
      <c r="Z934" t="str">
        <f t="shared" si="170"/>
        <v>Normal</v>
      </c>
      <c r="AA934" t="str">
        <f t="shared" si="171"/>
        <v>High</v>
      </c>
      <c r="AB934" t="str">
        <f t="shared" si="175"/>
        <v>Low Profit</v>
      </c>
      <c r="AC934" s="3">
        <f t="shared" si="176"/>
        <v>4.6269999999999999E-2</v>
      </c>
      <c r="AD934" s="3">
        <f t="shared" si="177"/>
        <v>67.11</v>
      </c>
      <c r="AE934" s="3">
        <f t="shared" si="178"/>
        <v>3.1051796999999999</v>
      </c>
      <c r="AF934" t="str">
        <f t="shared" si="179"/>
        <v>Regular</v>
      </c>
    </row>
    <row r="935" spans="1:32" x14ac:dyDescent="0.25">
      <c r="A935" t="s">
        <v>3907</v>
      </c>
      <c r="B935" s="1">
        <v>45381</v>
      </c>
      <c r="C935" s="1">
        <v>45382</v>
      </c>
      <c r="D935" s="4">
        <f t="shared" si="168"/>
        <v>1</v>
      </c>
      <c r="E935" s="4" t="str">
        <f>TEXT(Table1[[#This Row],[Order_Date]],"dddd")</f>
        <v>Saturday</v>
      </c>
      <c r="F935" s="4">
        <f t="shared" si="169"/>
        <v>3</v>
      </c>
      <c r="G935" t="str">
        <f t="shared" si="172"/>
        <v>March</v>
      </c>
      <c r="H935">
        <f t="shared" si="173"/>
        <v>2024</v>
      </c>
      <c r="I935" t="str">
        <f t="shared" si="174"/>
        <v>2024-Q1</v>
      </c>
      <c r="J935" t="s">
        <v>44</v>
      </c>
      <c r="K935" t="s">
        <v>3908</v>
      </c>
      <c r="L935" t="s">
        <v>3909</v>
      </c>
      <c r="M935" t="s">
        <v>36</v>
      </c>
      <c r="N935" t="s">
        <v>25</v>
      </c>
      <c r="O935" t="s">
        <v>37</v>
      </c>
      <c r="P935" t="s">
        <v>38</v>
      </c>
      <c r="Q935" t="s">
        <v>66</v>
      </c>
      <c r="R935" t="s">
        <v>3910</v>
      </c>
      <c r="S935" t="s">
        <v>51</v>
      </c>
      <c r="T935" t="s">
        <v>94</v>
      </c>
      <c r="U935" t="s">
        <v>3911</v>
      </c>
      <c r="V935" s="3">
        <v>3283.56</v>
      </c>
      <c r="W935" s="4">
        <v>1</v>
      </c>
      <c r="X935" s="2">
        <v>0.2</v>
      </c>
      <c r="Y935" s="3">
        <v>-275.83</v>
      </c>
      <c r="Z935" t="str">
        <f t="shared" si="170"/>
        <v>Normal</v>
      </c>
      <c r="AA935" t="str">
        <f t="shared" si="171"/>
        <v>High</v>
      </c>
      <c r="AB935" t="str">
        <f t="shared" si="175"/>
        <v>Loss</v>
      </c>
      <c r="AC935" s="3">
        <f t="shared" si="176"/>
        <v>-8.4003337840636377E-2</v>
      </c>
      <c r="AD935" s="3">
        <f t="shared" si="177"/>
        <v>3283.56</v>
      </c>
      <c r="AE935" s="3">
        <f t="shared" si="178"/>
        <v>-275.83</v>
      </c>
      <c r="AF935" t="str">
        <f t="shared" si="179"/>
        <v>Regular</v>
      </c>
    </row>
    <row r="936" spans="1:32" x14ac:dyDescent="0.25">
      <c r="A936" t="s">
        <v>3220</v>
      </c>
      <c r="B936" s="1">
        <v>45381</v>
      </c>
      <c r="C936" s="1">
        <v>45382</v>
      </c>
      <c r="D936" s="4">
        <f t="shared" si="168"/>
        <v>1</v>
      </c>
      <c r="E936" s="4" t="str">
        <f>TEXT(Table1[[#This Row],[Order_Date]],"dddd")</f>
        <v>Saturday</v>
      </c>
      <c r="F936" s="4">
        <f t="shared" si="169"/>
        <v>3</v>
      </c>
      <c r="G936" t="str">
        <f t="shared" si="172"/>
        <v>March</v>
      </c>
      <c r="H936">
        <f t="shared" si="173"/>
        <v>2024</v>
      </c>
      <c r="I936" t="str">
        <f t="shared" si="174"/>
        <v>2024-Q1</v>
      </c>
      <c r="J936" t="s">
        <v>104</v>
      </c>
      <c r="K936" t="s">
        <v>3221</v>
      </c>
      <c r="L936" t="s">
        <v>3222</v>
      </c>
      <c r="M936" t="s">
        <v>47</v>
      </c>
      <c r="N936" t="s">
        <v>25</v>
      </c>
      <c r="O936" t="s">
        <v>382</v>
      </c>
      <c r="P936" t="s">
        <v>38</v>
      </c>
      <c r="Q936" t="s">
        <v>66</v>
      </c>
      <c r="R936" t="s">
        <v>7403</v>
      </c>
      <c r="S936" t="s">
        <v>59</v>
      </c>
      <c r="T936" t="s">
        <v>60</v>
      </c>
      <c r="U936" t="s">
        <v>3223</v>
      </c>
      <c r="V936" s="3">
        <v>4526.16</v>
      </c>
      <c r="W936" s="4">
        <v>8</v>
      </c>
      <c r="X936" s="2">
        <v>0.4</v>
      </c>
      <c r="Y936" s="3">
        <v>-519.79</v>
      </c>
      <c r="Z936" t="str">
        <f t="shared" si="170"/>
        <v>Normal</v>
      </c>
      <c r="AA936" t="str">
        <f t="shared" si="171"/>
        <v>High</v>
      </c>
      <c r="AB936" t="str">
        <f t="shared" si="175"/>
        <v>Loss</v>
      </c>
      <c r="AC936" s="3">
        <f t="shared" si="176"/>
        <v>-0.11484127825794933</v>
      </c>
      <c r="AD936" s="3">
        <f t="shared" si="177"/>
        <v>565.77</v>
      </c>
      <c r="AE936" s="3">
        <f t="shared" si="178"/>
        <v>-64.973749999999995</v>
      </c>
      <c r="AF936" t="str">
        <f t="shared" si="179"/>
        <v>Regular</v>
      </c>
    </row>
    <row r="937" spans="1:32" x14ac:dyDescent="0.25">
      <c r="A937" t="s">
        <v>5806</v>
      </c>
      <c r="B937" s="1">
        <v>45382</v>
      </c>
      <c r="C937" s="1">
        <v>45391</v>
      </c>
      <c r="D937" s="4">
        <f t="shared" si="168"/>
        <v>9</v>
      </c>
      <c r="E937" s="4" t="str">
        <f>TEXT(Table1[[#This Row],[Order_Date]],"dddd")</f>
        <v>Sunday</v>
      </c>
      <c r="F937" s="4">
        <f t="shared" si="169"/>
        <v>3</v>
      </c>
      <c r="G937" t="str">
        <f t="shared" si="172"/>
        <v>March</v>
      </c>
      <c r="H937">
        <f t="shared" si="173"/>
        <v>2024</v>
      </c>
      <c r="I937" t="str">
        <f t="shared" si="174"/>
        <v>2024-Q1</v>
      </c>
      <c r="J937" t="s">
        <v>44</v>
      </c>
      <c r="K937" t="s">
        <v>5807</v>
      </c>
      <c r="L937" t="s">
        <v>5808</v>
      </c>
      <c r="M937" t="s">
        <v>24</v>
      </c>
      <c r="N937" t="s">
        <v>25</v>
      </c>
      <c r="O937" t="s">
        <v>73</v>
      </c>
      <c r="P937" t="s">
        <v>74</v>
      </c>
      <c r="Q937" t="s">
        <v>66</v>
      </c>
      <c r="R937" t="s">
        <v>5809</v>
      </c>
      <c r="S937" t="s">
        <v>59</v>
      </c>
      <c r="T937" t="s">
        <v>277</v>
      </c>
      <c r="U937" t="s">
        <v>5810</v>
      </c>
      <c r="V937" s="3">
        <v>3744.46</v>
      </c>
      <c r="W937" s="4">
        <v>1</v>
      </c>
      <c r="X937" s="2">
        <v>0.3</v>
      </c>
      <c r="Y937" s="3">
        <v>301.76</v>
      </c>
      <c r="Z937" t="str">
        <f t="shared" si="170"/>
        <v>Normal</v>
      </c>
      <c r="AA937" t="str">
        <f t="shared" si="171"/>
        <v>High</v>
      </c>
      <c r="AB937" t="str">
        <f t="shared" si="175"/>
        <v>Low Profit</v>
      </c>
      <c r="AC937" s="3">
        <f t="shared" si="176"/>
        <v>8.0588389247047629E-2</v>
      </c>
      <c r="AD937" s="3">
        <f t="shared" si="177"/>
        <v>3744.46</v>
      </c>
      <c r="AE937" s="3">
        <f t="shared" si="178"/>
        <v>301.76</v>
      </c>
      <c r="AF937" t="str">
        <f t="shared" si="179"/>
        <v>Regular</v>
      </c>
    </row>
    <row r="938" spans="1:32" x14ac:dyDescent="0.25">
      <c r="A938" t="s">
        <v>5207</v>
      </c>
      <c r="B938" s="1">
        <v>45382</v>
      </c>
      <c r="C938" s="1">
        <f>B938+5</f>
        <v>45387</v>
      </c>
      <c r="D938" s="4">
        <f t="shared" si="168"/>
        <v>5</v>
      </c>
      <c r="E938" s="4" t="str">
        <f>TEXT(Table1[[#This Row],[Order_Date]],"dddd")</f>
        <v>Sunday</v>
      </c>
      <c r="F938" s="4">
        <f t="shared" si="169"/>
        <v>3</v>
      </c>
      <c r="G938" t="str">
        <f t="shared" si="172"/>
        <v>March</v>
      </c>
      <c r="H938">
        <f t="shared" si="173"/>
        <v>2024</v>
      </c>
      <c r="I938" t="str">
        <f t="shared" si="174"/>
        <v>2024-Q1</v>
      </c>
      <c r="J938" t="s">
        <v>44</v>
      </c>
      <c r="K938" t="s">
        <v>5208</v>
      </c>
      <c r="L938" t="s">
        <v>5209</v>
      </c>
      <c r="M938" t="s">
        <v>24</v>
      </c>
      <c r="N938" t="s">
        <v>25</v>
      </c>
      <c r="O938" t="s">
        <v>99</v>
      </c>
      <c r="P938" t="s">
        <v>74</v>
      </c>
      <c r="Q938" t="s">
        <v>66</v>
      </c>
      <c r="R938" t="s">
        <v>5210</v>
      </c>
      <c r="S938" t="s">
        <v>30</v>
      </c>
      <c r="T938" t="s">
        <v>68</v>
      </c>
      <c r="U938" t="s">
        <v>5211</v>
      </c>
      <c r="V938" s="3">
        <v>3777.28</v>
      </c>
      <c r="W938" s="4">
        <v>9</v>
      </c>
      <c r="X938" s="2">
        <v>0.2</v>
      </c>
      <c r="Y938" s="3">
        <v>-560.39</v>
      </c>
      <c r="Z938" t="str">
        <f t="shared" si="170"/>
        <v>Normal</v>
      </c>
      <c r="AA938" t="str">
        <f t="shared" si="171"/>
        <v>High</v>
      </c>
      <c r="AB938" t="str">
        <f t="shared" si="175"/>
        <v>Loss</v>
      </c>
      <c r="AC938" s="3">
        <f t="shared" si="176"/>
        <v>-0.14835807777024737</v>
      </c>
      <c r="AD938" s="3">
        <f t="shared" si="177"/>
        <v>419.69777777777779</v>
      </c>
      <c r="AE938" s="3">
        <f t="shared" si="178"/>
        <v>-62.265555555555551</v>
      </c>
      <c r="AF938" t="str">
        <f t="shared" si="179"/>
        <v>Regular</v>
      </c>
    </row>
    <row r="939" spans="1:32" x14ac:dyDescent="0.25">
      <c r="A939" t="s">
        <v>2987</v>
      </c>
      <c r="B939" s="1">
        <v>45382</v>
      </c>
      <c r="C939" s="1">
        <v>45391</v>
      </c>
      <c r="D939" s="4">
        <f t="shared" si="168"/>
        <v>9</v>
      </c>
      <c r="E939" s="4" t="str">
        <f>TEXT(Table1[[#This Row],[Order_Date]],"dddd")</f>
        <v>Sunday</v>
      </c>
      <c r="F939" s="4">
        <f t="shared" si="169"/>
        <v>3</v>
      </c>
      <c r="G939" t="str">
        <f t="shared" si="172"/>
        <v>March</v>
      </c>
      <c r="H939">
        <f t="shared" si="173"/>
        <v>2024</v>
      </c>
      <c r="I939" t="str">
        <f t="shared" si="174"/>
        <v>2024-Q1</v>
      </c>
      <c r="J939" t="s">
        <v>55</v>
      </c>
      <c r="K939" t="s">
        <v>2988</v>
      </c>
      <c r="L939" t="s">
        <v>2989</v>
      </c>
      <c r="M939" t="s">
        <v>24</v>
      </c>
      <c r="N939" t="s">
        <v>25</v>
      </c>
      <c r="O939" t="s">
        <v>149</v>
      </c>
      <c r="P939" t="s">
        <v>113</v>
      </c>
      <c r="Q939" t="s">
        <v>28</v>
      </c>
      <c r="R939" t="s">
        <v>2990</v>
      </c>
      <c r="S939" t="s">
        <v>59</v>
      </c>
      <c r="T939" t="s">
        <v>60</v>
      </c>
      <c r="U939" t="s">
        <v>2991</v>
      </c>
      <c r="V939" s="3">
        <v>575.74</v>
      </c>
      <c r="W939" s="4">
        <v>5</v>
      </c>
      <c r="X939" s="2">
        <v>0.2</v>
      </c>
      <c r="Y939" s="3">
        <v>-23.52</v>
      </c>
      <c r="Z939" t="str">
        <f t="shared" si="170"/>
        <v>Normal</v>
      </c>
      <c r="AA939" t="str">
        <f t="shared" si="171"/>
        <v>High</v>
      </c>
      <c r="AB939" t="str">
        <f t="shared" si="175"/>
        <v>Loss</v>
      </c>
      <c r="AC939" s="3">
        <f t="shared" si="176"/>
        <v>-4.0851773369923926E-2</v>
      </c>
      <c r="AD939" s="3">
        <f t="shared" si="177"/>
        <v>115.148</v>
      </c>
      <c r="AE939" s="3">
        <f t="shared" si="178"/>
        <v>-4.7039999999999997</v>
      </c>
      <c r="AF939" t="str">
        <f t="shared" si="179"/>
        <v>Regular</v>
      </c>
    </row>
    <row r="940" spans="1:32" x14ac:dyDescent="0.25">
      <c r="A940" t="s">
        <v>6119</v>
      </c>
      <c r="B940" s="1">
        <v>45383</v>
      </c>
      <c r="C940" s="1">
        <v>45385</v>
      </c>
      <c r="D940" s="4">
        <f t="shared" si="168"/>
        <v>2</v>
      </c>
      <c r="E940" s="4" t="str">
        <f>TEXT(Table1[[#This Row],[Order_Date]],"dddd")</f>
        <v>Monday</v>
      </c>
      <c r="F940" s="4">
        <f t="shared" si="169"/>
        <v>4</v>
      </c>
      <c r="G940" t="str">
        <f t="shared" si="172"/>
        <v>April</v>
      </c>
      <c r="H940">
        <f t="shared" si="173"/>
        <v>2024</v>
      </c>
      <c r="I940" t="str">
        <f t="shared" si="174"/>
        <v>2024-Q2</v>
      </c>
      <c r="J940" t="s">
        <v>55</v>
      </c>
      <c r="K940" t="s">
        <v>6120</v>
      </c>
      <c r="L940" t="s">
        <v>6121</v>
      </c>
      <c r="M940" t="s">
        <v>24</v>
      </c>
      <c r="N940" t="s">
        <v>25</v>
      </c>
      <c r="O940" t="s">
        <v>113</v>
      </c>
      <c r="P940" t="s">
        <v>113</v>
      </c>
      <c r="Q940" t="s">
        <v>28</v>
      </c>
      <c r="R940" t="s">
        <v>6122</v>
      </c>
      <c r="S940" t="s">
        <v>30</v>
      </c>
      <c r="T940" t="s">
        <v>68</v>
      </c>
      <c r="U940" t="s">
        <v>6123</v>
      </c>
      <c r="V940" s="3">
        <v>4776.97</v>
      </c>
      <c r="W940" s="4">
        <v>5</v>
      </c>
      <c r="X940" s="2">
        <v>0.2</v>
      </c>
      <c r="Y940" s="3">
        <v>-188.09</v>
      </c>
      <c r="Z940" t="str">
        <f t="shared" si="170"/>
        <v>Normal</v>
      </c>
      <c r="AA940" t="str">
        <f t="shared" si="171"/>
        <v>High</v>
      </c>
      <c r="AB940" t="str">
        <f t="shared" si="175"/>
        <v>Loss</v>
      </c>
      <c r="AC940" s="3">
        <f t="shared" si="176"/>
        <v>-3.93743314276623E-2</v>
      </c>
      <c r="AD940" s="3">
        <f t="shared" si="177"/>
        <v>955.39400000000001</v>
      </c>
      <c r="AE940" s="3">
        <f t="shared" si="178"/>
        <v>-37.618000000000002</v>
      </c>
      <c r="AF940" t="str">
        <f t="shared" si="179"/>
        <v>Regular</v>
      </c>
    </row>
    <row r="941" spans="1:32" x14ac:dyDescent="0.25">
      <c r="A941" t="s">
        <v>6669</v>
      </c>
      <c r="B941" s="1">
        <v>45383</v>
      </c>
      <c r="C941" s="1">
        <v>45386</v>
      </c>
      <c r="D941" s="4">
        <f t="shared" si="168"/>
        <v>3</v>
      </c>
      <c r="E941" s="4" t="str">
        <f>TEXT(Table1[[#This Row],[Order_Date]],"dddd")</f>
        <v>Monday</v>
      </c>
      <c r="F941" s="4">
        <f t="shared" si="169"/>
        <v>4</v>
      </c>
      <c r="G941" t="str">
        <f t="shared" si="172"/>
        <v>April</v>
      </c>
      <c r="H941">
        <f t="shared" si="173"/>
        <v>2024</v>
      </c>
      <c r="I941" t="str">
        <f t="shared" si="174"/>
        <v>2024-Q2</v>
      </c>
      <c r="J941" t="s">
        <v>21</v>
      </c>
      <c r="K941" t="s">
        <v>6670</v>
      </c>
      <c r="L941" t="s">
        <v>6671</v>
      </c>
      <c r="M941" t="s">
        <v>36</v>
      </c>
      <c r="N941" t="s">
        <v>25</v>
      </c>
      <c r="O941" t="s">
        <v>113</v>
      </c>
      <c r="P941" t="s">
        <v>113</v>
      </c>
      <c r="Q941" t="s">
        <v>39</v>
      </c>
      <c r="R941" t="s">
        <v>6672</v>
      </c>
      <c r="S941" t="s">
        <v>51</v>
      </c>
      <c r="T941" t="s">
        <v>127</v>
      </c>
      <c r="U941" t="s">
        <v>2457</v>
      </c>
      <c r="V941" s="3">
        <v>2507.44</v>
      </c>
      <c r="W941" s="4">
        <v>1</v>
      </c>
      <c r="X941" s="2">
        <v>0</v>
      </c>
      <c r="Y941" s="3">
        <v>18.690000000000001</v>
      </c>
      <c r="Z941" t="str">
        <f t="shared" si="170"/>
        <v>Normal</v>
      </c>
      <c r="AA941" t="str">
        <f t="shared" si="171"/>
        <v>Low</v>
      </c>
      <c r="AB941" t="str">
        <f t="shared" si="175"/>
        <v>Low Profit</v>
      </c>
      <c r="AC941" s="3">
        <f t="shared" si="176"/>
        <v>7.4538174393006416E-3</v>
      </c>
      <c r="AD941" s="3">
        <f t="shared" si="177"/>
        <v>2507.44</v>
      </c>
      <c r="AE941" s="3">
        <f t="shared" si="178"/>
        <v>18.690000000000001</v>
      </c>
      <c r="AF941" t="str">
        <f t="shared" si="179"/>
        <v>Regular</v>
      </c>
    </row>
    <row r="942" spans="1:32" x14ac:dyDescent="0.25">
      <c r="A942" t="s">
        <v>5903</v>
      </c>
      <c r="B942" s="1">
        <v>45384</v>
      </c>
      <c r="C942" s="1">
        <v>45388</v>
      </c>
      <c r="D942" s="4">
        <f t="shared" si="168"/>
        <v>4</v>
      </c>
      <c r="E942" s="4" t="str">
        <f>TEXT(Table1[[#This Row],[Order_Date]],"dddd")</f>
        <v>Tuesday</v>
      </c>
      <c r="F942" s="4">
        <f t="shared" si="169"/>
        <v>4</v>
      </c>
      <c r="G942" t="str">
        <f t="shared" si="172"/>
        <v>April</v>
      </c>
      <c r="H942">
        <f t="shared" si="173"/>
        <v>2024</v>
      </c>
      <c r="I942" t="str">
        <f t="shared" si="174"/>
        <v>2024-Q2</v>
      </c>
      <c r="J942" t="s">
        <v>44</v>
      </c>
      <c r="K942" t="s">
        <v>5904</v>
      </c>
      <c r="L942" t="s">
        <v>5905</v>
      </c>
      <c r="M942" t="s">
        <v>36</v>
      </c>
      <c r="N942" t="s">
        <v>25</v>
      </c>
      <c r="O942" t="s">
        <v>611</v>
      </c>
      <c r="P942" t="s">
        <v>74</v>
      </c>
      <c r="Q942" t="s">
        <v>28</v>
      </c>
      <c r="R942" t="s">
        <v>5906</v>
      </c>
      <c r="S942" t="s">
        <v>30</v>
      </c>
      <c r="T942" t="s">
        <v>82</v>
      </c>
      <c r="U942" t="s">
        <v>5907</v>
      </c>
      <c r="V942" s="3">
        <v>1688.1</v>
      </c>
      <c r="W942" s="4">
        <v>2</v>
      </c>
      <c r="X942" s="2">
        <v>0.4</v>
      </c>
      <c r="Y942" s="3">
        <v>42.73</v>
      </c>
      <c r="Z942" t="str">
        <f t="shared" si="170"/>
        <v>Normal</v>
      </c>
      <c r="AA942" t="str">
        <f t="shared" si="171"/>
        <v>High</v>
      </c>
      <c r="AB942" t="str">
        <f t="shared" si="175"/>
        <v>Low Profit</v>
      </c>
      <c r="AC942" s="3">
        <f t="shared" si="176"/>
        <v>2.5312481488063504E-2</v>
      </c>
      <c r="AD942" s="3">
        <f t="shared" si="177"/>
        <v>844.05</v>
      </c>
      <c r="AE942" s="3">
        <f t="shared" si="178"/>
        <v>21.364999999999998</v>
      </c>
      <c r="AF942" t="str">
        <f t="shared" si="179"/>
        <v>Regular</v>
      </c>
    </row>
    <row r="943" spans="1:32" x14ac:dyDescent="0.25">
      <c r="A943" t="s">
        <v>5750</v>
      </c>
      <c r="B943" s="1">
        <v>45385</v>
      </c>
      <c r="C943" s="1">
        <v>45389</v>
      </c>
      <c r="D943" s="4">
        <f t="shared" si="168"/>
        <v>4</v>
      </c>
      <c r="E943" s="4" t="str">
        <f>TEXT(Table1[[#This Row],[Order_Date]],"dddd")</f>
        <v>Wednesday</v>
      </c>
      <c r="F943" s="4">
        <f t="shared" si="169"/>
        <v>4</v>
      </c>
      <c r="G943" t="str">
        <f t="shared" si="172"/>
        <v>April</v>
      </c>
      <c r="H943">
        <f t="shared" si="173"/>
        <v>2024</v>
      </c>
      <c r="I943" t="str">
        <f t="shared" si="174"/>
        <v>2024-Q2</v>
      </c>
      <c r="J943" t="s">
        <v>44</v>
      </c>
      <c r="K943" t="s">
        <v>5751</v>
      </c>
      <c r="L943" t="s">
        <v>5752</v>
      </c>
      <c r="M943" t="s">
        <v>36</v>
      </c>
      <c r="N943" t="s">
        <v>25</v>
      </c>
      <c r="O943" t="s">
        <v>65</v>
      </c>
      <c r="P943" t="s">
        <v>27</v>
      </c>
      <c r="Q943" t="s">
        <v>28</v>
      </c>
      <c r="R943" t="s">
        <v>5753</v>
      </c>
      <c r="S943" t="s">
        <v>30</v>
      </c>
      <c r="T943" t="s">
        <v>41</v>
      </c>
      <c r="U943" t="s">
        <v>5754</v>
      </c>
      <c r="V943" s="3">
        <v>4961.53</v>
      </c>
      <c r="W943" s="4">
        <v>4</v>
      </c>
      <c r="X943" s="2">
        <v>0.4</v>
      </c>
      <c r="Y943" s="3">
        <v>-44.18</v>
      </c>
      <c r="Z943" t="str">
        <f t="shared" si="170"/>
        <v>Normal</v>
      </c>
      <c r="AA943" t="str">
        <f t="shared" si="171"/>
        <v>High</v>
      </c>
      <c r="AB943" t="str">
        <f t="shared" si="175"/>
        <v>Loss</v>
      </c>
      <c r="AC943" s="3">
        <f t="shared" si="176"/>
        <v>-8.9045113100192884E-3</v>
      </c>
      <c r="AD943" s="3">
        <f t="shared" si="177"/>
        <v>1240.3824999999999</v>
      </c>
      <c r="AE943" s="3">
        <f t="shared" si="178"/>
        <v>-11.045</v>
      </c>
      <c r="AF943" t="str">
        <f t="shared" si="179"/>
        <v>Regular</v>
      </c>
    </row>
    <row r="944" spans="1:32" x14ac:dyDescent="0.25">
      <c r="A944" t="s">
        <v>6158</v>
      </c>
      <c r="B944" s="1">
        <v>45385</v>
      </c>
      <c r="C944" s="1">
        <v>45388</v>
      </c>
      <c r="D944" s="4">
        <f t="shared" si="168"/>
        <v>3</v>
      </c>
      <c r="E944" s="4" t="str">
        <f>TEXT(Table1[[#This Row],[Order_Date]],"dddd")</f>
        <v>Wednesday</v>
      </c>
      <c r="F944" s="4">
        <f t="shared" si="169"/>
        <v>4</v>
      </c>
      <c r="G944" t="str">
        <f t="shared" si="172"/>
        <v>April</v>
      </c>
      <c r="H944">
        <f t="shared" si="173"/>
        <v>2024</v>
      </c>
      <c r="I944" t="str">
        <f t="shared" si="174"/>
        <v>2024-Q2</v>
      </c>
      <c r="J944" t="s">
        <v>21</v>
      </c>
      <c r="K944" t="s">
        <v>6159</v>
      </c>
      <c r="L944" t="s">
        <v>6160</v>
      </c>
      <c r="M944" t="s">
        <v>36</v>
      </c>
      <c r="N944" t="s">
        <v>25</v>
      </c>
      <c r="O944" t="s">
        <v>190</v>
      </c>
      <c r="P944" t="s">
        <v>120</v>
      </c>
      <c r="Q944" t="s">
        <v>87</v>
      </c>
      <c r="R944" t="s">
        <v>6161</v>
      </c>
      <c r="S944" t="s">
        <v>30</v>
      </c>
      <c r="T944" t="s">
        <v>82</v>
      </c>
      <c r="U944" t="s">
        <v>6162</v>
      </c>
      <c r="V944" s="3">
        <v>1411.71</v>
      </c>
      <c r="W944" s="4">
        <v>4</v>
      </c>
      <c r="X944" s="2">
        <v>0</v>
      </c>
      <c r="Y944" s="3">
        <v>81.650000000000006</v>
      </c>
      <c r="Z944" t="str">
        <f t="shared" si="170"/>
        <v>Normal</v>
      </c>
      <c r="AA944" t="str">
        <f t="shared" si="171"/>
        <v>Low</v>
      </c>
      <c r="AB944" t="str">
        <f t="shared" si="175"/>
        <v>Low Profit</v>
      </c>
      <c r="AC944" s="3">
        <f t="shared" si="176"/>
        <v>5.783765787590936E-2</v>
      </c>
      <c r="AD944" s="3">
        <f t="shared" si="177"/>
        <v>352.92750000000001</v>
      </c>
      <c r="AE944" s="3">
        <f t="shared" si="178"/>
        <v>20.412500000000001</v>
      </c>
      <c r="AF944" t="str">
        <f t="shared" si="179"/>
        <v>Regular</v>
      </c>
    </row>
    <row r="945" spans="1:32" x14ac:dyDescent="0.25">
      <c r="A945" t="s">
        <v>5004</v>
      </c>
      <c r="B945" s="1">
        <v>45388</v>
      </c>
      <c r="C945" s="1">
        <v>45397</v>
      </c>
      <c r="D945" s="4">
        <f t="shared" si="168"/>
        <v>9</v>
      </c>
      <c r="E945" s="4" t="str">
        <f>TEXT(Table1[[#This Row],[Order_Date]],"dddd")</f>
        <v>Saturday</v>
      </c>
      <c r="F945" s="4">
        <f t="shared" si="169"/>
        <v>4</v>
      </c>
      <c r="G945" t="str">
        <f t="shared" si="172"/>
        <v>April</v>
      </c>
      <c r="H945">
        <f t="shared" si="173"/>
        <v>2024</v>
      </c>
      <c r="I945" t="str">
        <f t="shared" si="174"/>
        <v>2024-Q2</v>
      </c>
      <c r="J945" t="s">
        <v>104</v>
      </c>
      <c r="K945" t="s">
        <v>5005</v>
      </c>
      <c r="L945" t="s">
        <v>4708</v>
      </c>
      <c r="M945" t="s">
        <v>36</v>
      </c>
      <c r="N945" t="s">
        <v>25</v>
      </c>
      <c r="O945" t="s">
        <v>201</v>
      </c>
      <c r="P945" t="s">
        <v>113</v>
      </c>
      <c r="Q945" t="s">
        <v>28</v>
      </c>
      <c r="R945" t="s">
        <v>5006</v>
      </c>
      <c r="S945" t="s">
        <v>59</v>
      </c>
      <c r="T945" t="s">
        <v>101</v>
      </c>
      <c r="U945" t="s">
        <v>5007</v>
      </c>
      <c r="V945" s="3">
        <v>3327.55</v>
      </c>
      <c r="W945" s="4">
        <v>1</v>
      </c>
      <c r="X945" s="2">
        <v>0.2</v>
      </c>
      <c r="Y945" s="3">
        <v>-36.97</v>
      </c>
      <c r="Z945" t="str">
        <f t="shared" si="170"/>
        <v>Normal</v>
      </c>
      <c r="AA945" t="str">
        <f t="shared" si="171"/>
        <v>High</v>
      </c>
      <c r="AB945" t="str">
        <f t="shared" si="175"/>
        <v>Loss</v>
      </c>
      <c r="AC945" s="3">
        <f t="shared" si="176"/>
        <v>-1.1110276329431562E-2</v>
      </c>
      <c r="AD945" s="3">
        <f t="shared" si="177"/>
        <v>3327.55</v>
      </c>
      <c r="AE945" s="3">
        <f t="shared" si="178"/>
        <v>-36.97</v>
      </c>
      <c r="AF945" t="str">
        <f t="shared" si="179"/>
        <v>Regular</v>
      </c>
    </row>
    <row r="946" spans="1:32" x14ac:dyDescent="0.25">
      <c r="A946" t="s">
        <v>6081</v>
      </c>
      <c r="B946" s="1">
        <v>45388</v>
      </c>
      <c r="C946" s="1">
        <v>45394</v>
      </c>
      <c r="D946" s="4">
        <f t="shared" si="168"/>
        <v>6</v>
      </c>
      <c r="E946" s="4" t="str">
        <f>TEXT(Table1[[#This Row],[Order_Date]],"dddd")</f>
        <v>Saturday</v>
      </c>
      <c r="F946" s="4">
        <f t="shared" si="169"/>
        <v>4</v>
      </c>
      <c r="G946" t="str">
        <f t="shared" si="172"/>
        <v>April</v>
      </c>
      <c r="H946">
        <f t="shared" si="173"/>
        <v>2024</v>
      </c>
      <c r="I946" t="str">
        <f t="shared" si="174"/>
        <v>2024-Q2</v>
      </c>
      <c r="J946" t="s">
        <v>104</v>
      </c>
      <c r="K946" t="s">
        <v>7402</v>
      </c>
      <c r="L946" t="s">
        <v>6082</v>
      </c>
      <c r="M946" t="s">
        <v>36</v>
      </c>
      <c r="N946" t="s">
        <v>25</v>
      </c>
      <c r="O946" t="s">
        <v>37</v>
      </c>
      <c r="P946" t="s">
        <v>38</v>
      </c>
      <c r="Q946" t="s">
        <v>39</v>
      </c>
      <c r="R946" t="s">
        <v>6083</v>
      </c>
      <c r="S946" t="s">
        <v>30</v>
      </c>
      <c r="T946" t="s">
        <v>82</v>
      </c>
      <c r="U946" t="s">
        <v>6084</v>
      </c>
      <c r="V946" s="3">
        <v>1194.8599999999999</v>
      </c>
      <c r="W946" s="4">
        <v>3</v>
      </c>
      <c r="X946" s="2">
        <v>0</v>
      </c>
      <c r="Y946" s="3">
        <v>283.18</v>
      </c>
      <c r="Z946" t="str">
        <f t="shared" si="170"/>
        <v>Normal</v>
      </c>
      <c r="AA946" t="str">
        <f t="shared" si="171"/>
        <v>Low</v>
      </c>
      <c r="AB946" t="str">
        <f t="shared" si="175"/>
        <v>Low Profit</v>
      </c>
      <c r="AC946" s="3">
        <f t="shared" si="176"/>
        <v>0.23699847680899858</v>
      </c>
      <c r="AD946" s="3">
        <f t="shared" si="177"/>
        <v>398.28666666666663</v>
      </c>
      <c r="AE946" s="3">
        <f t="shared" si="178"/>
        <v>94.393333333333331</v>
      </c>
      <c r="AF946" t="str">
        <f t="shared" si="179"/>
        <v>Regular</v>
      </c>
    </row>
    <row r="947" spans="1:32" x14ac:dyDescent="0.25">
      <c r="A947" t="s">
        <v>743</v>
      </c>
      <c r="B947" s="1">
        <v>45388</v>
      </c>
      <c r="C947" s="1">
        <v>45398</v>
      </c>
      <c r="D947" s="4">
        <f t="shared" si="168"/>
        <v>10</v>
      </c>
      <c r="E947" s="4" t="str">
        <f>TEXT(Table1[[#This Row],[Order_Date]],"dddd")</f>
        <v>Saturday</v>
      </c>
      <c r="F947" s="4">
        <f t="shared" si="169"/>
        <v>4</v>
      </c>
      <c r="G947" t="str">
        <f t="shared" si="172"/>
        <v>April</v>
      </c>
      <c r="H947">
        <f t="shared" si="173"/>
        <v>2024</v>
      </c>
      <c r="I947" t="str">
        <f t="shared" si="174"/>
        <v>2024-Q2</v>
      </c>
      <c r="J947" t="s">
        <v>44</v>
      </c>
      <c r="K947" t="s">
        <v>744</v>
      </c>
      <c r="L947" t="s">
        <v>745</v>
      </c>
      <c r="M947" t="s">
        <v>24</v>
      </c>
      <c r="N947" t="s">
        <v>25</v>
      </c>
      <c r="O947" t="s">
        <v>48</v>
      </c>
      <c r="P947" t="s">
        <v>49</v>
      </c>
      <c r="Q947" t="s">
        <v>28</v>
      </c>
      <c r="R947" t="s">
        <v>746</v>
      </c>
      <c r="S947" t="s">
        <v>51</v>
      </c>
      <c r="T947" t="s">
        <v>108</v>
      </c>
      <c r="U947" t="s">
        <v>747</v>
      </c>
      <c r="V947" s="3">
        <v>2110.87</v>
      </c>
      <c r="W947" s="4">
        <v>5</v>
      </c>
      <c r="X947" s="2">
        <v>0.2</v>
      </c>
      <c r="Y947" s="3">
        <v>-245.38</v>
      </c>
      <c r="Z947" t="str">
        <f t="shared" si="170"/>
        <v>Normal</v>
      </c>
      <c r="AA947" t="str">
        <f t="shared" si="171"/>
        <v>High</v>
      </c>
      <c r="AB947" t="str">
        <f t="shared" si="175"/>
        <v>Loss</v>
      </c>
      <c r="AC947" s="3">
        <f t="shared" si="176"/>
        <v>-0.11624590808529185</v>
      </c>
      <c r="AD947" s="3">
        <f t="shared" si="177"/>
        <v>422.17399999999998</v>
      </c>
      <c r="AE947" s="3">
        <f t="shared" si="178"/>
        <v>-49.076000000000001</v>
      </c>
      <c r="AF947" t="str">
        <f t="shared" si="179"/>
        <v>Regular</v>
      </c>
    </row>
    <row r="948" spans="1:32" x14ac:dyDescent="0.25">
      <c r="A948" t="s">
        <v>6876</v>
      </c>
      <c r="B948" s="1">
        <v>45389</v>
      </c>
      <c r="C948" s="1">
        <v>45396</v>
      </c>
      <c r="D948" s="4">
        <f t="shared" si="168"/>
        <v>7</v>
      </c>
      <c r="E948" s="4" t="str">
        <f>TEXT(Table1[[#This Row],[Order_Date]],"dddd")</f>
        <v>Sunday</v>
      </c>
      <c r="F948" s="4">
        <f t="shared" si="169"/>
        <v>4</v>
      </c>
      <c r="G948" t="str">
        <f t="shared" si="172"/>
        <v>April</v>
      </c>
      <c r="H948">
        <f t="shared" si="173"/>
        <v>2024</v>
      </c>
      <c r="I948" t="str">
        <f t="shared" si="174"/>
        <v>2024-Q2</v>
      </c>
      <c r="J948" t="s">
        <v>21</v>
      </c>
      <c r="K948" t="s">
        <v>6877</v>
      </c>
      <c r="L948" t="s">
        <v>6878</v>
      </c>
      <c r="M948" t="s">
        <v>36</v>
      </c>
      <c r="N948" t="s">
        <v>25</v>
      </c>
      <c r="O948" t="s">
        <v>190</v>
      </c>
      <c r="P948" t="s">
        <v>120</v>
      </c>
      <c r="Q948" t="s">
        <v>39</v>
      </c>
      <c r="R948" t="s">
        <v>6879</v>
      </c>
      <c r="S948" t="s">
        <v>30</v>
      </c>
      <c r="T948" t="s">
        <v>31</v>
      </c>
      <c r="U948" t="s">
        <v>6880</v>
      </c>
      <c r="V948" s="3">
        <v>3047.66</v>
      </c>
      <c r="W948" s="4">
        <v>8</v>
      </c>
      <c r="X948" s="2">
        <v>0.3</v>
      </c>
      <c r="Y948" s="3">
        <v>-480.31</v>
      </c>
      <c r="Z948" t="str">
        <f t="shared" si="170"/>
        <v>Normal</v>
      </c>
      <c r="AA948" t="str">
        <f t="shared" si="171"/>
        <v>High</v>
      </c>
      <c r="AB948" t="str">
        <f t="shared" si="175"/>
        <v>Loss</v>
      </c>
      <c r="AC948" s="3">
        <f t="shared" si="176"/>
        <v>-0.15759960100536149</v>
      </c>
      <c r="AD948" s="3">
        <f t="shared" si="177"/>
        <v>380.95749999999998</v>
      </c>
      <c r="AE948" s="3">
        <f t="shared" si="178"/>
        <v>-60.03875</v>
      </c>
      <c r="AF948" t="str">
        <f t="shared" si="179"/>
        <v>Regular</v>
      </c>
    </row>
    <row r="949" spans="1:32" x14ac:dyDescent="0.25">
      <c r="A949" t="s">
        <v>6129</v>
      </c>
      <c r="B949" s="1">
        <v>45389</v>
      </c>
      <c r="C949" s="1">
        <v>45392</v>
      </c>
      <c r="D949" s="4">
        <f t="shared" si="168"/>
        <v>3</v>
      </c>
      <c r="E949" s="4" t="str">
        <f>TEXT(Table1[[#This Row],[Order_Date]],"dddd")</f>
        <v>Sunday</v>
      </c>
      <c r="F949" s="4">
        <f t="shared" si="169"/>
        <v>4</v>
      </c>
      <c r="G949" t="str">
        <f t="shared" si="172"/>
        <v>April</v>
      </c>
      <c r="H949">
        <f t="shared" si="173"/>
        <v>2024</v>
      </c>
      <c r="I949" t="str">
        <f t="shared" si="174"/>
        <v>2024-Q2</v>
      </c>
      <c r="J949" t="s">
        <v>55</v>
      </c>
      <c r="K949" t="s">
        <v>6130</v>
      </c>
      <c r="L949" t="s">
        <v>6131</v>
      </c>
      <c r="M949" t="s">
        <v>47</v>
      </c>
      <c r="N949" t="s">
        <v>25</v>
      </c>
      <c r="O949" t="s">
        <v>162</v>
      </c>
      <c r="P949" t="s">
        <v>163</v>
      </c>
      <c r="Q949" t="s">
        <v>66</v>
      </c>
      <c r="R949" t="s">
        <v>6132</v>
      </c>
      <c r="S949" t="s">
        <v>59</v>
      </c>
      <c r="T949" t="s">
        <v>277</v>
      </c>
      <c r="U949" t="s">
        <v>6133</v>
      </c>
      <c r="V949" s="3">
        <v>2194.04</v>
      </c>
      <c r="W949" s="4">
        <v>10</v>
      </c>
      <c r="X949" s="2">
        <v>0.4</v>
      </c>
      <c r="Y949" s="3">
        <v>616.28</v>
      </c>
      <c r="Z949" t="str">
        <f t="shared" si="170"/>
        <v>Normal</v>
      </c>
      <c r="AA949" t="str">
        <f t="shared" si="171"/>
        <v>High</v>
      </c>
      <c r="AB949" t="str">
        <f t="shared" si="175"/>
        <v>High Profit</v>
      </c>
      <c r="AC949" s="3">
        <f t="shared" si="176"/>
        <v>0.28088822446263512</v>
      </c>
      <c r="AD949" s="3">
        <f t="shared" si="177"/>
        <v>219.404</v>
      </c>
      <c r="AE949" s="3">
        <f t="shared" si="178"/>
        <v>61.628</v>
      </c>
      <c r="AF949" t="str">
        <f t="shared" si="179"/>
        <v>Regular</v>
      </c>
    </row>
    <row r="950" spans="1:32" x14ac:dyDescent="0.25">
      <c r="A950" t="s">
        <v>528</v>
      </c>
      <c r="B950" s="1">
        <v>45390</v>
      </c>
      <c r="C950" s="1">
        <v>45399</v>
      </c>
      <c r="D950" s="4">
        <f t="shared" si="168"/>
        <v>9</v>
      </c>
      <c r="E950" s="4" t="str">
        <f>TEXT(Table1[[#This Row],[Order_Date]],"dddd")</f>
        <v>Monday</v>
      </c>
      <c r="F950" s="4">
        <f t="shared" si="169"/>
        <v>4</v>
      </c>
      <c r="G950" t="str">
        <f t="shared" si="172"/>
        <v>April</v>
      </c>
      <c r="H950">
        <f t="shared" si="173"/>
        <v>2024</v>
      </c>
      <c r="I950" t="str">
        <f t="shared" si="174"/>
        <v>2024-Q2</v>
      </c>
      <c r="J950" t="s">
        <v>21</v>
      </c>
      <c r="K950" t="s">
        <v>529</v>
      </c>
      <c r="L950" t="s">
        <v>530</v>
      </c>
      <c r="M950" t="s">
        <v>47</v>
      </c>
      <c r="N950" t="s">
        <v>25</v>
      </c>
      <c r="O950" t="s">
        <v>26</v>
      </c>
      <c r="P950" t="s">
        <v>27</v>
      </c>
      <c r="Q950" t="s">
        <v>87</v>
      </c>
      <c r="R950" t="s">
        <v>531</v>
      </c>
      <c r="S950" t="s">
        <v>59</v>
      </c>
      <c r="T950" t="s">
        <v>303</v>
      </c>
      <c r="U950" t="s">
        <v>532</v>
      </c>
      <c r="V950" s="3">
        <v>1480.63</v>
      </c>
      <c r="W950" s="4">
        <v>8</v>
      </c>
      <c r="X950" s="2">
        <v>0.1</v>
      </c>
      <c r="Y950" s="3">
        <v>123.41</v>
      </c>
      <c r="Z950" t="str">
        <f t="shared" si="170"/>
        <v>Normal</v>
      </c>
      <c r="AA950" t="str">
        <f t="shared" si="171"/>
        <v>Medium</v>
      </c>
      <c r="AB950" t="str">
        <f t="shared" si="175"/>
        <v>Low Profit</v>
      </c>
      <c r="AC950" s="3">
        <f t="shared" si="176"/>
        <v>8.3349655214334434E-2</v>
      </c>
      <c r="AD950" s="3">
        <f t="shared" si="177"/>
        <v>185.07875000000001</v>
      </c>
      <c r="AE950" s="3">
        <f t="shared" si="178"/>
        <v>15.42625</v>
      </c>
      <c r="AF950" t="str">
        <f t="shared" si="179"/>
        <v>Regular</v>
      </c>
    </row>
    <row r="951" spans="1:32" x14ac:dyDescent="0.25">
      <c r="A951" t="s">
        <v>2825</v>
      </c>
      <c r="B951" s="1">
        <v>45390</v>
      </c>
      <c r="C951" s="1">
        <v>45396</v>
      </c>
      <c r="D951" s="4">
        <f t="shared" si="168"/>
        <v>6</v>
      </c>
      <c r="E951" s="4" t="str">
        <f>TEXT(Table1[[#This Row],[Order_Date]],"dddd")</f>
        <v>Monday</v>
      </c>
      <c r="F951" s="4">
        <f t="shared" si="169"/>
        <v>4</v>
      </c>
      <c r="G951" t="str">
        <f t="shared" si="172"/>
        <v>April</v>
      </c>
      <c r="H951">
        <f t="shared" si="173"/>
        <v>2024</v>
      </c>
      <c r="I951" t="str">
        <f t="shared" si="174"/>
        <v>2024-Q2</v>
      </c>
      <c r="J951" t="s">
        <v>44</v>
      </c>
      <c r="K951" t="s">
        <v>2826</v>
      </c>
      <c r="L951" t="s">
        <v>2827</v>
      </c>
      <c r="M951" t="s">
        <v>24</v>
      </c>
      <c r="N951" t="s">
        <v>25</v>
      </c>
      <c r="O951" t="s">
        <v>80</v>
      </c>
      <c r="P951" t="s">
        <v>49</v>
      </c>
      <c r="Q951" t="s">
        <v>66</v>
      </c>
      <c r="R951" t="s">
        <v>2828</v>
      </c>
      <c r="S951" t="s">
        <v>51</v>
      </c>
      <c r="T951" t="s">
        <v>94</v>
      </c>
      <c r="U951" t="s">
        <v>2829</v>
      </c>
      <c r="V951" s="3">
        <v>1168.58</v>
      </c>
      <c r="W951" s="4">
        <v>2</v>
      </c>
      <c r="X951" s="2">
        <v>0.3</v>
      </c>
      <c r="Y951" s="3">
        <v>182.55</v>
      </c>
      <c r="Z951" t="str">
        <f t="shared" si="170"/>
        <v>Normal</v>
      </c>
      <c r="AA951" t="str">
        <f t="shared" si="171"/>
        <v>High</v>
      </c>
      <c r="AB951" t="str">
        <f t="shared" si="175"/>
        <v>Low Profit</v>
      </c>
      <c r="AC951" s="3">
        <f t="shared" si="176"/>
        <v>0.15621523558506908</v>
      </c>
      <c r="AD951" s="3">
        <f t="shared" si="177"/>
        <v>584.29</v>
      </c>
      <c r="AE951" s="3">
        <f t="shared" si="178"/>
        <v>91.275000000000006</v>
      </c>
      <c r="AF951" t="str">
        <f t="shared" si="179"/>
        <v>Regular</v>
      </c>
    </row>
    <row r="952" spans="1:32" x14ac:dyDescent="0.25">
      <c r="A952" t="s">
        <v>1598</v>
      </c>
      <c r="B952" s="1">
        <v>45390</v>
      </c>
      <c r="C952" s="1">
        <v>45400</v>
      </c>
      <c r="D952" s="4">
        <f t="shared" si="168"/>
        <v>10</v>
      </c>
      <c r="E952" s="4" t="str">
        <f>TEXT(Table1[[#This Row],[Order_Date]],"dddd")</f>
        <v>Monday</v>
      </c>
      <c r="F952" s="4">
        <f t="shared" si="169"/>
        <v>4</v>
      </c>
      <c r="G952" t="str">
        <f t="shared" si="172"/>
        <v>April</v>
      </c>
      <c r="H952">
        <f t="shared" si="173"/>
        <v>2024</v>
      </c>
      <c r="I952" t="str">
        <f t="shared" si="174"/>
        <v>2024-Q2</v>
      </c>
      <c r="J952" t="s">
        <v>55</v>
      </c>
      <c r="K952" t="s">
        <v>1599</v>
      </c>
      <c r="L952" t="s">
        <v>1600</v>
      </c>
      <c r="M952" t="s">
        <v>36</v>
      </c>
      <c r="N952" t="s">
        <v>25</v>
      </c>
      <c r="O952" t="s">
        <v>227</v>
      </c>
      <c r="P952" t="s">
        <v>49</v>
      </c>
      <c r="Q952" t="s">
        <v>87</v>
      </c>
      <c r="R952" t="s">
        <v>1601</v>
      </c>
      <c r="S952" t="s">
        <v>30</v>
      </c>
      <c r="T952" t="s">
        <v>82</v>
      </c>
      <c r="U952" t="s">
        <v>1602</v>
      </c>
      <c r="V952" s="3">
        <v>3029.75</v>
      </c>
      <c r="W952" s="4">
        <v>6</v>
      </c>
      <c r="X952" s="2">
        <v>0.2</v>
      </c>
      <c r="Y952" s="3">
        <v>-479.84</v>
      </c>
      <c r="Z952" t="str">
        <f t="shared" si="170"/>
        <v>Normal</v>
      </c>
      <c r="AA952" t="str">
        <f t="shared" si="171"/>
        <v>High</v>
      </c>
      <c r="AB952" t="str">
        <f t="shared" si="175"/>
        <v>Loss</v>
      </c>
      <c r="AC952" s="3">
        <f t="shared" si="176"/>
        <v>-0.15837610363891411</v>
      </c>
      <c r="AD952" s="3">
        <f t="shared" si="177"/>
        <v>504.95833333333331</v>
      </c>
      <c r="AE952" s="3">
        <f t="shared" si="178"/>
        <v>-79.973333333333329</v>
      </c>
      <c r="AF952" t="str">
        <f t="shared" si="179"/>
        <v>Regular</v>
      </c>
    </row>
    <row r="953" spans="1:32" x14ac:dyDescent="0.25">
      <c r="A953" t="s">
        <v>1815</v>
      </c>
      <c r="B953" s="1">
        <v>45391</v>
      </c>
      <c r="C953" s="1">
        <v>45400</v>
      </c>
      <c r="D953" s="4">
        <f t="shared" si="168"/>
        <v>9</v>
      </c>
      <c r="E953" s="4" t="str">
        <f>TEXT(Table1[[#This Row],[Order_Date]],"dddd")</f>
        <v>Tuesday</v>
      </c>
      <c r="F953" s="4">
        <f t="shared" si="169"/>
        <v>4</v>
      </c>
      <c r="G953" t="str">
        <f t="shared" si="172"/>
        <v>April</v>
      </c>
      <c r="H953">
        <f t="shared" si="173"/>
        <v>2024</v>
      </c>
      <c r="I953" t="str">
        <f t="shared" si="174"/>
        <v>2024-Q2</v>
      </c>
      <c r="J953" t="s">
        <v>21</v>
      </c>
      <c r="K953" t="s">
        <v>1816</v>
      </c>
      <c r="L953" t="s">
        <v>1817</v>
      </c>
      <c r="M953" t="s">
        <v>36</v>
      </c>
      <c r="N953" t="s">
        <v>25</v>
      </c>
      <c r="O953" t="s">
        <v>255</v>
      </c>
      <c r="P953" t="s">
        <v>143</v>
      </c>
      <c r="Q953" t="s">
        <v>28</v>
      </c>
      <c r="R953" t="s">
        <v>1818</v>
      </c>
      <c r="S953" t="s">
        <v>30</v>
      </c>
      <c r="T953" t="s">
        <v>31</v>
      </c>
      <c r="U953" t="s">
        <v>1819</v>
      </c>
      <c r="V953" s="3">
        <v>2159.9299999999998</v>
      </c>
      <c r="W953" s="4">
        <v>6</v>
      </c>
      <c r="X953" s="2">
        <v>0</v>
      </c>
      <c r="Y953" s="3">
        <v>44.65</v>
      </c>
      <c r="Z953" t="str">
        <f t="shared" si="170"/>
        <v>Normal</v>
      </c>
      <c r="AA953" t="str">
        <f t="shared" si="171"/>
        <v>Low</v>
      </c>
      <c r="AB953" t="str">
        <f t="shared" si="175"/>
        <v>Low Profit</v>
      </c>
      <c r="AC953" s="3">
        <f t="shared" si="176"/>
        <v>2.0671966221127536E-2</v>
      </c>
      <c r="AD953" s="3">
        <f t="shared" si="177"/>
        <v>359.98833333333329</v>
      </c>
      <c r="AE953" s="3">
        <f t="shared" si="178"/>
        <v>7.4416666666666664</v>
      </c>
      <c r="AF953" t="str">
        <f t="shared" si="179"/>
        <v>Regular</v>
      </c>
    </row>
    <row r="954" spans="1:32" x14ac:dyDescent="0.25">
      <c r="A954" t="s">
        <v>5362</v>
      </c>
      <c r="B954" s="1">
        <v>45392</v>
      </c>
      <c r="C954" s="1">
        <v>45393</v>
      </c>
      <c r="D954" s="4">
        <f t="shared" si="168"/>
        <v>1</v>
      </c>
      <c r="E954" s="4" t="str">
        <f>TEXT(Table1[[#This Row],[Order_Date]],"dddd")</f>
        <v>Wednesday</v>
      </c>
      <c r="F954" s="4">
        <f t="shared" si="169"/>
        <v>4</v>
      </c>
      <c r="G954" t="str">
        <f t="shared" si="172"/>
        <v>April</v>
      </c>
      <c r="H954">
        <f t="shared" si="173"/>
        <v>2024</v>
      </c>
      <c r="I954" t="str">
        <f t="shared" si="174"/>
        <v>2024-Q2</v>
      </c>
      <c r="J954" t="s">
        <v>21</v>
      </c>
      <c r="K954" t="s">
        <v>5363</v>
      </c>
      <c r="L954" t="s">
        <v>5364</v>
      </c>
      <c r="M954" t="s">
        <v>36</v>
      </c>
      <c r="N954" t="s">
        <v>25</v>
      </c>
      <c r="O954" t="s">
        <v>73</v>
      </c>
      <c r="P954" t="s">
        <v>74</v>
      </c>
      <c r="Q954" t="s">
        <v>87</v>
      </c>
      <c r="R954" t="s">
        <v>5365</v>
      </c>
      <c r="S954" t="s">
        <v>51</v>
      </c>
      <c r="T954" t="s">
        <v>52</v>
      </c>
      <c r="U954" t="s">
        <v>5366</v>
      </c>
      <c r="V954" s="3">
        <v>4593.1000000000004</v>
      </c>
      <c r="W954" s="4">
        <v>5</v>
      </c>
      <c r="X954" s="2">
        <v>0</v>
      </c>
      <c r="Y954" s="3">
        <v>857.09</v>
      </c>
      <c r="Z954" t="str">
        <f t="shared" si="170"/>
        <v>Normal</v>
      </c>
      <c r="AA954" t="str">
        <f t="shared" si="171"/>
        <v>Low</v>
      </c>
      <c r="AB954" t="str">
        <f t="shared" si="175"/>
        <v>High Profit</v>
      </c>
      <c r="AC954" s="3">
        <f t="shared" si="176"/>
        <v>0.1866038187716357</v>
      </c>
      <c r="AD954" s="3">
        <f t="shared" si="177"/>
        <v>918.62000000000012</v>
      </c>
      <c r="AE954" s="3">
        <f t="shared" si="178"/>
        <v>171.41800000000001</v>
      </c>
      <c r="AF954" t="str">
        <f t="shared" si="179"/>
        <v>Regular</v>
      </c>
    </row>
    <row r="955" spans="1:32" x14ac:dyDescent="0.25">
      <c r="A955" t="s">
        <v>768</v>
      </c>
      <c r="B955" s="1">
        <v>45392</v>
      </c>
      <c r="C955" s="1">
        <v>45396</v>
      </c>
      <c r="D955" s="4">
        <f t="shared" si="168"/>
        <v>4</v>
      </c>
      <c r="E955" s="4" t="str">
        <f>TEXT(Table1[[#This Row],[Order_Date]],"dddd")</f>
        <v>Wednesday</v>
      </c>
      <c r="F955" s="4">
        <f t="shared" si="169"/>
        <v>4</v>
      </c>
      <c r="G955" t="str">
        <f t="shared" si="172"/>
        <v>April</v>
      </c>
      <c r="H955">
        <f t="shared" si="173"/>
        <v>2024</v>
      </c>
      <c r="I955" t="str">
        <f t="shared" si="174"/>
        <v>2024-Q2</v>
      </c>
      <c r="J955" t="s">
        <v>44</v>
      </c>
      <c r="K955" t="s">
        <v>769</v>
      </c>
      <c r="L955" t="s">
        <v>770</v>
      </c>
      <c r="M955" t="s">
        <v>36</v>
      </c>
      <c r="N955" t="s">
        <v>25</v>
      </c>
      <c r="O955" t="s">
        <v>179</v>
      </c>
      <c r="P955" t="s">
        <v>27</v>
      </c>
      <c r="Q955" t="s">
        <v>28</v>
      </c>
      <c r="R955" t="s">
        <v>771</v>
      </c>
      <c r="S955" t="s">
        <v>59</v>
      </c>
      <c r="T955" t="s">
        <v>277</v>
      </c>
      <c r="U955" t="s">
        <v>772</v>
      </c>
      <c r="V955" s="3">
        <v>973.47</v>
      </c>
      <c r="W955" s="4">
        <v>1</v>
      </c>
      <c r="X955" s="2">
        <v>0.4</v>
      </c>
      <c r="Y955" s="3">
        <v>-149.94</v>
      </c>
      <c r="Z955" t="str">
        <f t="shared" si="170"/>
        <v>Normal</v>
      </c>
      <c r="AA955" t="str">
        <f t="shared" si="171"/>
        <v>High</v>
      </c>
      <c r="AB955" t="str">
        <f t="shared" si="175"/>
        <v>Loss</v>
      </c>
      <c r="AC955" s="3">
        <f t="shared" si="176"/>
        <v>-0.15402631822244137</v>
      </c>
      <c r="AD955" s="3">
        <f t="shared" si="177"/>
        <v>973.47</v>
      </c>
      <c r="AE955" s="3">
        <f t="shared" si="178"/>
        <v>-149.94</v>
      </c>
      <c r="AF955" t="str">
        <f t="shared" si="179"/>
        <v>Regular</v>
      </c>
    </row>
    <row r="956" spans="1:32" x14ac:dyDescent="0.25">
      <c r="A956" t="s">
        <v>3708</v>
      </c>
      <c r="B956" s="1">
        <v>45394</v>
      </c>
      <c r="C956" s="1">
        <v>45403</v>
      </c>
      <c r="D956" s="4">
        <f t="shared" si="168"/>
        <v>9</v>
      </c>
      <c r="E956" s="4" t="str">
        <f>TEXT(Table1[[#This Row],[Order_Date]],"dddd")</f>
        <v>Friday</v>
      </c>
      <c r="F956" s="4">
        <f t="shared" si="169"/>
        <v>4</v>
      </c>
      <c r="G956" t="str">
        <f t="shared" si="172"/>
        <v>April</v>
      </c>
      <c r="H956">
        <f t="shared" si="173"/>
        <v>2024</v>
      </c>
      <c r="I956" t="str">
        <f t="shared" si="174"/>
        <v>2024-Q2</v>
      </c>
      <c r="J956" t="s">
        <v>21</v>
      </c>
      <c r="K956" t="s">
        <v>3709</v>
      </c>
      <c r="L956" t="s">
        <v>3207</v>
      </c>
      <c r="M956" t="s">
        <v>36</v>
      </c>
      <c r="N956" t="s">
        <v>25</v>
      </c>
      <c r="O956" t="s">
        <v>511</v>
      </c>
      <c r="P956" t="s">
        <v>120</v>
      </c>
      <c r="Q956" t="s">
        <v>28</v>
      </c>
      <c r="R956" t="s">
        <v>3710</v>
      </c>
      <c r="S956" t="s">
        <v>51</v>
      </c>
      <c r="T956" t="s">
        <v>52</v>
      </c>
      <c r="U956" t="s">
        <v>3711</v>
      </c>
      <c r="V956" s="3">
        <v>2520.63</v>
      </c>
      <c r="W956" s="4">
        <v>4</v>
      </c>
      <c r="X956" s="2">
        <v>0.4</v>
      </c>
      <c r="Y956" s="3">
        <v>-36.01</v>
      </c>
      <c r="Z956" t="str">
        <f t="shared" si="170"/>
        <v>Normal</v>
      </c>
      <c r="AA956" t="str">
        <f t="shared" si="171"/>
        <v>High</v>
      </c>
      <c r="AB956" t="str">
        <f t="shared" si="175"/>
        <v>Loss</v>
      </c>
      <c r="AC956" s="3">
        <f t="shared" si="176"/>
        <v>-1.4286111011929555E-2</v>
      </c>
      <c r="AD956" s="3">
        <f t="shared" si="177"/>
        <v>630.15750000000003</v>
      </c>
      <c r="AE956" s="3">
        <f t="shared" si="178"/>
        <v>-9.0024999999999995</v>
      </c>
      <c r="AF956" t="str">
        <f t="shared" si="179"/>
        <v>Regular</v>
      </c>
    </row>
    <row r="957" spans="1:32" x14ac:dyDescent="0.25">
      <c r="A957" t="s">
        <v>6238</v>
      </c>
      <c r="B957" s="1">
        <v>45394</v>
      </c>
      <c r="C957" s="1">
        <v>45398</v>
      </c>
      <c r="D957" s="4">
        <f t="shared" si="168"/>
        <v>4</v>
      </c>
      <c r="E957" s="4" t="str">
        <f>TEXT(Table1[[#This Row],[Order_Date]],"dddd")</f>
        <v>Friday</v>
      </c>
      <c r="F957" s="4">
        <f t="shared" si="169"/>
        <v>4</v>
      </c>
      <c r="G957" t="str">
        <f t="shared" si="172"/>
        <v>April</v>
      </c>
      <c r="H957">
        <f t="shared" si="173"/>
        <v>2024</v>
      </c>
      <c r="I957" t="str">
        <f t="shared" si="174"/>
        <v>2024-Q2</v>
      </c>
      <c r="J957" t="s">
        <v>104</v>
      </c>
      <c r="K957" t="s">
        <v>6239</v>
      </c>
      <c r="L957" t="s">
        <v>6240</v>
      </c>
      <c r="M957" t="s">
        <v>47</v>
      </c>
      <c r="N957" t="s">
        <v>25</v>
      </c>
      <c r="O957" t="s">
        <v>451</v>
      </c>
      <c r="P957" t="s">
        <v>38</v>
      </c>
      <c r="Q957" t="s">
        <v>66</v>
      </c>
      <c r="R957" t="s">
        <v>6241</v>
      </c>
      <c r="S957" t="s">
        <v>59</v>
      </c>
      <c r="T957" t="s">
        <v>101</v>
      </c>
      <c r="U957" t="s">
        <v>6242</v>
      </c>
      <c r="V957" s="3">
        <v>2538.65</v>
      </c>
      <c r="W957" s="4">
        <v>6</v>
      </c>
      <c r="X957" s="2">
        <v>0.4</v>
      </c>
      <c r="Y957" s="3">
        <v>242.51</v>
      </c>
      <c r="Z957" t="str">
        <f t="shared" si="170"/>
        <v>Normal</v>
      </c>
      <c r="AA957" t="str">
        <f t="shared" si="171"/>
        <v>High</v>
      </c>
      <c r="AB957" t="str">
        <f t="shared" si="175"/>
        <v>Low Profit</v>
      </c>
      <c r="AC957" s="3">
        <f t="shared" si="176"/>
        <v>9.5527150257026364E-2</v>
      </c>
      <c r="AD957" s="3">
        <f t="shared" si="177"/>
        <v>423.10833333333335</v>
      </c>
      <c r="AE957" s="3">
        <f t="shared" si="178"/>
        <v>40.418333333333329</v>
      </c>
      <c r="AF957" t="str">
        <f t="shared" si="179"/>
        <v>Regular</v>
      </c>
    </row>
    <row r="958" spans="1:32" x14ac:dyDescent="0.25">
      <c r="A958" t="s">
        <v>688</v>
      </c>
      <c r="B958" s="1">
        <v>45395</v>
      </c>
      <c r="C958" s="1">
        <v>45403</v>
      </c>
      <c r="D958" s="4">
        <f t="shared" si="168"/>
        <v>8</v>
      </c>
      <c r="E958" s="4" t="str">
        <f>TEXT(Table1[[#This Row],[Order_Date]],"dddd")</f>
        <v>Saturday</v>
      </c>
      <c r="F958" s="4">
        <f t="shared" si="169"/>
        <v>4</v>
      </c>
      <c r="G958" t="str">
        <f t="shared" si="172"/>
        <v>April</v>
      </c>
      <c r="H958">
        <f t="shared" si="173"/>
        <v>2024</v>
      </c>
      <c r="I958" t="str">
        <f t="shared" si="174"/>
        <v>2024-Q2</v>
      </c>
      <c r="J958" t="s">
        <v>55</v>
      </c>
      <c r="K958" t="s">
        <v>689</v>
      </c>
      <c r="L958" t="s">
        <v>690</v>
      </c>
      <c r="M958" t="s">
        <v>36</v>
      </c>
      <c r="N958" t="s">
        <v>25</v>
      </c>
      <c r="O958" t="s">
        <v>73</v>
      </c>
      <c r="P958" t="s">
        <v>74</v>
      </c>
      <c r="Q958" t="s">
        <v>66</v>
      </c>
      <c r="R958" t="s">
        <v>691</v>
      </c>
      <c r="S958" t="s">
        <v>30</v>
      </c>
      <c r="T958" t="s">
        <v>82</v>
      </c>
      <c r="U958" t="s">
        <v>692</v>
      </c>
      <c r="V958" s="3">
        <v>2666.06</v>
      </c>
      <c r="W958" s="4">
        <v>8</v>
      </c>
      <c r="X958" s="2">
        <v>0</v>
      </c>
      <c r="Y958" s="3">
        <v>-169.76</v>
      </c>
      <c r="Z958" t="str">
        <f t="shared" si="170"/>
        <v>Normal</v>
      </c>
      <c r="AA958" t="str">
        <f t="shared" si="171"/>
        <v>Low</v>
      </c>
      <c r="AB958" t="str">
        <f t="shared" si="175"/>
        <v>Loss</v>
      </c>
      <c r="AC958" s="3">
        <f t="shared" si="176"/>
        <v>-6.3674485945552611E-2</v>
      </c>
      <c r="AD958" s="3">
        <f t="shared" si="177"/>
        <v>333.25749999999999</v>
      </c>
      <c r="AE958" s="3">
        <f t="shared" si="178"/>
        <v>-21.22</v>
      </c>
      <c r="AF958" t="str">
        <f t="shared" si="179"/>
        <v>Regular</v>
      </c>
    </row>
    <row r="959" spans="1:32" x14ac:dyDescent="0.25">
      <c r="A959" t="s">
        <v>3030</v>
      </c>
      <c r="B959" s="1">
        <v>45396</v>
      </c>
      <c r="C959" s="1">
        <v>45406</v>
      </c>
      <c r="D959" s="4">
        <f t="shared" si="168"/>
        <v>10</v>
      </c>
      <c r="E959" s="4" t="str">
        <f>TEXT(Table1[[#This Row],[Order_Date]],"dddd")</f>
        <v>Sunday</v>
      </c>
      <c r="F959" s="4">
        <f t="shared" si="169"/>
        <v>4</v>
      </c>
      <c r="G959" t="str">
        <f t="shared" si="172"/>
        <v>April</v>
      </c>
      <c r="H959">
        <f t="shared" si="173"/>
        <v>2024</v>
      </c>
      <c r="I959" t="str">
        <f t="shared" si="174"/>
        <v>2024-Q2</v>
      </c>
      <c r="J959" t="s">
        <v>44</v>
      </c>
      <c r="K959" t="s">
        <v>7402</v>
      </c>
      <c r="L959" t="s">
        <v>3031</v>
      </c>
      <c r="M959" t="s">
        <v>36</v>
      </c>
      <c r="N959" t="s">
        <v>25</v>
      </c>
      <c r="O959" t="s">
        <v>73</v>
      </c>
      <c r="P959" t="s">
        <v>74</v>
      </c>
      <c r="Q959" t="s">
        <v>87</v>
      </c>
      <c r="R959" t="s">
        <v>3032</v>
      </c>
      <c r="S959" t="s">
        <v>30</v>
      </c>
      <c r="T959" t="s">
        <v>41</v>
      </c>
      <c r="U959" t="s">
        <v>3033</v>
      </c>
      <c r="V959" s="3">
        <v>3844.78</v>
      </c>
      <c r="W959" s="4">
        <v>9</v>
      </c>
      <c r="X959" s="2">
        <v>0.3</v>
      </c>
      <c r="Y959" s="3">
        <v>322.87</v>
      </c>
      <c r="Z959" t="str">
        <f t="shared" si="170"/>
        <v>Normal</v>
      </c>
      <c r="AA959" t="str">
        <f t="shared" si="171"/>
        <v>High</v>
      </c>
      <c r="AB959" t="str">
        <f t="shared" si="175"/>
        <v>Low Profit</v>
      </c>
      <c r="AC959" s="3">
        <f t="shared" si="176"/>
        <v>8.3976196297317396E-2</v>
      </c>
      <c r="AD959" s="3">
        <f t="shared" si="177"/>
        <v>427.19777777777779</v>
      </c>
      <c r="AE959" s="3">
        <f t="shared" si="178"/>
        <v>35.874444444444443</v>
      </c>
      <c r="AF959" t="str">
        <f t="shared" si="179"/>
        <v>Regular</v>
      </c>
    </row>
    <row r="960" spans="1:32" x14ac:dyDescent="0.25">
      <c r="A960" t="s">
        <v>639</v>
      </c>
      <c r="B960" s="1">
        <v>45397</v>
      </c>
      <c r="C960" s="1">
        <v>45406</v>
      </c>
      <c r="D960" s="4">
        <f t="shared" si="168"/>
        <v>9</v>
      </c>
      <c r="E960" s="4" t="str">
        <f>TEXT(Table1[[#This Row],[Order_Date]],"dddd")</f>
        <v>Monday</v>
      </c>
      <c r="F960" s="4">
        <f t="shared" si="169"/>
        <v>4</v>
      </c>
      <c r="G960" t="str">
        <f t="shared" si="172"/>
        <v>April</v>
      </c>
      <c r="H960">
        <f t="shared" si="173"/>
        <v>2024</v>
      </c>
      <c r="I960" t="str">
        <f t="shared" si="174"/>
        <v>2024-Q2</v>
      </c>
      <c r="J960" t="s">
        <v>44</v>
      </c>
      <c r="K960" t="s">
        <v>640</v>
      </c>
      <c r="L960" t="s">
        <v>641</v>
      </c>
      <c r="M960" t="s">
        <v>47</v>
      </c>
      <c r="N960" t="s">
        <v>25</v>
      </c>
      <c r="O960" t="s">
        <v>65</v>
      </c>
      <c r="P960" t="s">
        <v>27</v>
      </c>
      <c r="Q960" t="s">
        <v>87</v>
      </c>
      <c r="R960" t="s">
        <v>642</v>
      </c>
      <c r="S960" t="s">
        <v>30</v>
      </c>
      <c r="T960" t="s">
        <v>68</v>
      </c>
      <c r="U960" t="s">
        <v>643</v>
      </c>
      <c r="V960" s="3">
        <v>2831.8</v>
      </c>
      <c r="W960" s="4">
        <v>3</v>
      </c>
      <c r="X960" s="2">
        <v>0.1</v>
      </c>
      <c r="Y960" s="3">
        <v>663.8</v>
      </c>
      <c r="Z960" t="str">
        <f t="shared" si="170"/>
        <v>Normal</v>
      </c>
      <c r="AA960" t="str">
        <f t="shared" si="171"/>
        <v>Medium</v>
      </c>
      <c r="AB960" t="str">
        <f t="shared" si="175"/>
        <v>High Profit</v>
      </c>
      <c r="AC960" s="3">
        <f t="shared" si="176"/>
        <v>0.23440920968994983</v>
      </c>
      <c r="AD960" s="3">
        <f t="shared" si="177"/>
        <v>943.93333333333339</v>
      </c>
      <c r="AE960" s="3">
        <f t="shared" si="178"/>
        <v>221.26666666666665</v>
      </c>
      <c r="AF960" t="str">
        <f t="shared" si="179"/>
        <v>Regular</v>
      </c>
    </row>
    <row r="961" spans="1:32" x14ac:dyDescent="0.25">
      <c r="A961" t="s">
        <v>6195</v>
      </c>
      <c r="B961" s="1">
        <v>45397</v>
      </c>
      <c r="C961" s="1">
        <v>45406</v>
      </c>
      <c r="D961" s="4">
        <f t="shared" si="168"/>
        <v>9</v>
      </c>
      <c r="E961" s="4" t="str">
        <f>TEXT(Table1[[#This Row],[Order_Date]],"dddd")</f>
        <v>Monday</v>
      </c>
      <c r="F961" s="4">
        <f t="shared" si="169"/>
        <v>4</v>
      </c>
      <c r="G961" t="str">
        <f t="shared" si="172"/>
        <v>April</v>
      </c>
      <c r="H961">
        <f t="shared" si="173"/>
        <v>2024</v>
      </c>
      <c r="I961" t="str">
        <f t="shared" si="174"/>
        <v>2024-Q2</v>
      </c>
      <c r="J961" t="s">
        <v>21</v>
      </c>
      <c r="K961" t="s">
        <v>6196</v>
      </c>
      <c r="L961" t="s">
        <v>6197</v>
      </c>
      <c r="M961" t="s">
        <v>36</v>
      </c>
      <c r="N961" t="s">
        <v>25</v>
      </c>
      <c r="O961" t="s">
        <v>65</v>
      </c>
      <c r="P961" t="s">
        <v>27</v>
      </c>
      <c r="Q961" t="s">
        <v>66</v>
      </c>
      <c r="R961" t="s">
        <v>6198</v>
      </c>
      <c r="S961" t="s">
        <v>59</v>
      </c>
      <c r="T961" t="s">
        <v>60</v>
      </c>
      <c r="U961" t="s">
        <v>6199</v>
      </c>
      <c r="V961" s="3">
        <v>3883.01</v>
      </c>
      <c r="W961" s="4">
        <v>1</v>
      </c>
      <c r="X961" s="2">
        <v>0.1</v>
      </c>
      <c r="Y961" s="3">
        <v>634.66</v>
      </c>
      <c r="Z961" t="str">
        <f t="shared" si="170"/>
        <v>Normal</v>
      </c>
      <c r="AA961" t="str">
        <f t="shared" si="171"/>
        <v>Medium</v>
      </c>
      <c r="AB961" t="str">
        <f t="shared" si="175"/>
        <v>High Profit</v>
      </c>
      <c r="AC961" s="3">
        <f t="shared" si="176"/>
        <v>0.16344536841264892</v>
      </c>
      <c r="AD961" s="3">
        <f t="shared" si="177"/>
        <v>3883.01</v>
      </c>
      <c r="AE961" s="3">
        <f t="shared" si="178"/>
        <v>634.66</v>
      </c>
      <c r="AF961" t="str">
        <f t="shared" si="179"/>
        <v>Regular</v>
      </c>
    </row>
    <row r="962" spans="1:32" x14ac:dyDescent="0.25">
      <c r="A962" t="s">
        <v>7362</v>
      </c>
      <c r="B962" s="1">
        <v>45397</v>
      </c>
      <c r="C962" s="1">
        <v>45400</v>
      </c>
      <c r="D962" s="4">
        <f t="shared" ref="D962:D1025" si="180">C962-B962</f>
        <v>3</v>
      </c>
      <c r="E962" s="4" t="str">
        <f>TEXT(Table1[[#This Row],[Order_Date]],"dddd")</f>
        <v>Monday</v>
      </c>
      <c r="F962" s="4">
        <f t="shared" ref="F962:F1025" si="181">MONTH(B962)</f>
        <v>4</v>
      </c>
      <c r="G962" t="str">
        <f t="shared" si="172"/>
        <v>April</v>
      </c>
      <c r="H962">
        <f t="shared" si="173"/>
        <v>2024</v>
      </c>
      <c r="I962" t="str">
        <f t="shared" si="174"/>
        <v>2024-Q2</v>
      </c>
      <c r="J962" t="s">
        <v>21</v>
      </c>
      <c r="K962" t="s">
        <v>7363</v>
      </c>
      <c r="L962" t="s">
        <v>7364</v>
      </c>
      <c r="M962" t="s">
        <v>47</v>
      </c>
      <c r="N962" t="s">
        <v>25</v>
      </c>
      <c r="O962" t="s">
        <v>119</v>
      </c>
      <c r="P962" t="s">
        <v>120</v>
      </c>
      <c r="Q962" t="s">
        <v>66</v>
      </c>
      <c r="R962" t="s">
        <v>7365</v>
      </c>
      <c r="S962" t="s">
        <v>51</v>
      </c>
      <c r="T962" t="s">
        <v>127</v>
      </c>
      <c r="U962" t="s">
        <v>7366</v>
      </c>
      <c r="V962" s="3">
        <v>2189.9699999999998</v>
      </c>
      <c r="W962" s="4">
        <v>9</v>
      </c>
      <c r="X962" s="2">
        <v>0.4</v>
      </c>
      <c r="Y962" s="3">
        <v>296.64</v>
      </c>
      <c r="Z962" t="str">
        <f t="shared" ref="Z962:Z1025" si="182">IF(OR(Y962&lt;-800.884,Y962&gt;1030.126),"Outlier","Normal")</f>
        <v>Normal</v>
      </c>
      <c r="AA962" t="str">
        <f t="shared" ref="AA962:AA1025" si="183">IF(X962&lt;10%,"Low",IF(X962&lt;0.2,"Medium","High"))</f>
        <v>High</v>
      </c>
      <c r="AB962" t="str">
        <f t="shared" si="175"/>
        <v>Low Profit</v>
      </c>
      <c r="AC962" s="3">
        <f t="shared" si="176"/>
        <v>0.13545391032753873</v>
      </c>
      <c r="AD962" s="3">
        <f t="shared" si="177"/>
        <v>243.32999999999998</v>
      </c>
      <c r="AE962" s="3">
        <f t="shared" si="178"/>
        <v>32.96</v>
      </c>
      <c r="AF962" t="str">
        <f t="shared" si="179"/>
        <v>Regular</v>
      </c>
    </row>
    <row r="963" spans="1:32" x14ac:dyDescent="0.25">
      <c r="A963" t="s">
        <v>6851</v>
      </c>
      <c r="B963" s="1">
        <v>45398</v>
      </c>
      <c r="C963" s="1">
        <v>45407</v>
      </c>
      <c r="D963" s="4">
        <f t="shared" si="180"/>
        <v>9</v>
      </c>
      <c r="E963" s="4" t="str">
        <f>TEXT(Table1[[#This Row],[Order_Date]],"dddd")</f>
        <v>Tuesday</v>
      </c>
      <c r="F963" s="4">
        <f t="shared" si="181"/>
        <v>4</v>
      </c>
      <c r="G963" t="str">
        <f t="shared" ref="G963:G1026" si="184">TEXT(B963,"mmmm")</f>
        <v>April</v>
      </c>
      <c r="H963">
        <f t="shared" ref="H963:H1026" si="185">YEAR(B963)</f>
        <v>2024</v>
      </c>
      <c r="I963" t="str">
        <f t="shared" ref="I963:I1026" si="186">H963 &amp; "-Q" &amp; INT((MONTH(B963)+2)/3)</f>
        <v>2024-Q2</v>
      </c>
      <c r="J963" t="s">
        <v>21</v>
      </c>
      <c r="K963" t="s">
        <v>6852</v>
      </c>
      <c r="L963" t="s">
        <v>6853</v>
      </c>
      <c r="M963" t="s">
        <v>24</v>
      </c>
      <c r="N963" t="s">
        <v>25</v>
      </c>
      <c r="O963" t="s">
        <v>80</v>
      </c>
      <c r="P963" t="s">
        <v>49</v>
      </c>
      <c r="Q963" t="s">
        <v>66</v>
      </c>
      <c r="R963" t="s">
        <v>6854</v>
      </c>
      <c r="S963" t="s">
        <v>59</v>
      </c>
      <c r="T963" t="s">
        <v>303</v>
      </c>
      <c r="U963" t="s">
        <v>6855</v>
      </c>
      <c r="V963" s="3">
        <v>3606.01</v>
      </c>
      <c r="W963" s="4">
        <v>3</v>
      </c>
      <c r="X963" s="2">
        <v>0</v>
      </c>
      <c r="Y963" s="3">
        <v>52.63</v>
      </c>
      <c r="Z963" t="str">
        <f t="shared" si="182"/>
        <v>Normal</v>
      </c>
      <c r="AA963" t="str">
        <f t="shared" si="183"/>
        <v>Low</v>
      </c>
      <c r="AB963" t="str">
        <f t="shared" ref="AB963:AB1026" si="187">IF(Y963&lt;0, "Loss", IF(Y963&lt;500,"Low Profit", "High Profit"))</f>
        <v>Low Profit</v>
      </c>
      <c r="AC963" s="3">
        <f t="shared" ref="AC963:AC1026" si="188">Y963/V963</f>
        <v>1.4595078771273513E-2</v>
      </c>
      <c r="AD963" s="3">
        <f t="shared" ref="AD963:AD1026" si="189">V963/W963</f>
        <v>1202.0033333333333</v>
      </c>
      <c r="AE963" s="3">
        <f t="shared" ref="AE963:AE1026" si="190">Y963/W963</f>
        <v>17.543333333333333</v>
      </c>
      <c r="AF963" t="str">
        <f t="shared" ref="AF963:AF1026" si="191">IF(V963&gt;5000,"High value", "Regular")</f>
        <v>Regular</v>
      </c>
    </row>
    <row r="964" spans="1:32" x14ac:dyDescent="0.25">
      <c r="A964" t="s">
        <v>1071</v>
      </c>
      <c r="B964" s="1">
        <v>45398</v>
      </c>
      <c r="C964" s="1">
        <v>45403</v>
      </c>
      <c r="D964" s="4">
        <f t="shared" si="180"/>
        <v>5</v>
      </c>
      <c r="E964" s="4" t="str">
        <f>TEXT(Table1[[#This Row],[Order_Date]],"dddd")</f>
        <v>Tuesday</v>
      </c>
      <c r="F964" s="4">
        <f t="shared" si="181"/>
        <v>4</v>
      </c>
      <c r="G964" t="str">
        <f t="shared" si="184"/>
        <v>April</v>
      </c>
      <c r="H964">
        <f t="shared" si="185"/>
        <v>2024</v>
      </c>
      <c r="I964" t="str">
        <f t="shared" si="186"/>
        <v>2024-Q2</v>
      </c>
      <c r="J964" t="s">
        <v>44</v>
      </c>
      <c r="K964" t="s">
        <v>1072</v>
      </c>
      <c r="L964" t="s">
        <v>1073</v>
      </c>
      <c r="M964" t="s">
        <v>36</v>
      </c>
      <c r="N964" t="s">
        <v>25</v>
      </c>
      <c r="O964" t="s">
        <v>37</v>
      </c>
      <c r="P964" t="s">
        <v>38</v>
      </c>
      <c r="Q964" t="s">
        <v>28</v>
      </c>
      <c r="R964" t="s">
        <v>1074</v>
      </c>
      <c r="S964" t="s">
        <v>59</v>
      </c>
      <c r="T964" t="s">
        <v>303</v>
      </c>
      <c r="U964" t="s">
        <v>1075</v>
      </c>
      <c r="V964" s="3">
        <v>588.96</v>
      </c>
      <c r="W964" s="4">
        <v>8</v>
      </c>
      <c r="X964" s="2">
        <v>0</v>
      </c>
      <c r="Y964" s="3">
        <v>12.23</v>
      </c>
      <c r="Z964" t="str">
        <f t="shared" si="182"/>
        <v>Normal</v>
      </c>
      <c r="AA964" t="str">
        <f t="shared" si="183"/>
        <v>Low</v>
      </c>
      <c r="AB964" t="str">
        <f t="shared" si="187"/>
        <v>Low Profit</v>
      </c>
      <c r="AC964" s="3">
        <f t="shared" si="188"/>
        <v>2.0765417006248302E-2</v>
      </c>
      <c r="AD964" s="3">
        <f t="shared" si="189"/>
        <v>73.62</v>
      </c>
      <c r="AE964" s="3">
        <f t="shared" si="190"/>
        <v>1.5287500000000001</v>
      </c>
      <c r="AF964" t="str">
        <f t="shared" si="191"/>
        <v>Regular</v>
      </c>
    </row>
    <row r="965" spans="1:32" x14ac:dyDescent="0.25">
      <c r="A965" t="s">
        <v>5498</v>
      </c>
      <c r="B965" s="1">
        <v>45398</v>
      </c>
      <c r="C965" s="1">
        <v>45399</v>
      </c>
      <c r="D965" s="4">
        <f t="shared" si="180"/>
        <v>1</v>
      </c>
      <c r="E965" s="4" t="str">
        <f>TEXT(Table1[[#This Row],[Order_Date]],"dddd")</f>
        <v>Tuesday</v>
      </c>
      <c r="F965" s="4">
        <f t="shared" si="181"/>
        <v>4</v>
      </c>
      <c r="G965" t="str">
        <f t="shared" si="184"/>
        <v>April</v>
      </c>
      <c r="H965">
        <f t="shared" si="185"/>
        <v>2024</v>
      </c>
      <c r="I965" t="str">
        <f t="shared" si="186"/>
        <v>2024-Q2</v>
      </c>
      <c r="J965" t="s">
        <v>21</v>
      </c>
      <c r="K965" t="s">
        <v>5499</v>
      </c>
      <c r="L965" t="s">
        <v>5500</v>
      </c>
      <c r="M965" t="s">
        <v>36</v>
      </c>
      <c r="N965" t="s">
        <v>25</v>
      </c>
      <c r="O965" t="s">
        <v>37</v>
      </c>
      <c r="P965" t="s">
        <v>38</v>
      </c>
      <c r="Q965" t="s">
        <v>66</v>
      </c>
      <c r="R965" t="s">
        <v>5501</v>
      </c>
      <c r="S965" t="s">
        <v>51</v>
      </c>
      <c r="T965" t="s">
        <v>52</v>
      </c>
      <c r="U965" t="s">
        <v>5502</v>
      </c>
      <c r="V965" s="3">
        <v>2726.91</v>
      </c>
      <c r="W965" s="4">
        <v>9</v>
      </c>
      <c r="X965" s="2">
        <v>0.3</v>
      </c>
      <c r="Y965" s="3">
        <v>473.72</v>
      </c>
      <c r="Z965" t="str">
        <f t="shared" si="182"/>
        <v>Normal</v>
      </c>
      <c r="AA965" t="str">
        <f t="shared" si="183"/>
        <v>High</v>
      </c>
      <c r="AB965" t="str">
        <f t="shared" si="187"/>
        <v>Low Profit</v>
      </c>
      <c r="AC965" s="3">
        <f t="shared" si="188"/>
        <v>0.17372043815160751</v>
      </c>
      <c r="AD965" s="3">
        <f t="shared" si="189"/>
        <v>302.99</v>
      </c>
      <c r="AE965" s="3">
        <f t="shared" si="190"/>
        <v>52.635555555555555</v>
      </c>
      <c r="AF965" t="str">
        <f t="shared" si="191"/>
        <v>Regular</v>
      </c>
    </row>
    <row r="966" spans="1:32" x14ac:dyDescent="0.25">
      <c r="A966" t="s">
        <v>7265</v>
      </c>
      <c r="B966" s="1">
        <v>45399</v>
      </c>
      <c r="C966" s="1">
        <f>B966+5</f>
        <v>45404</v>
      </c>
      <c r="D966" s="4">
        <f t="shared" si="180"/>
        <v>5</v>
      </c>
      <c r="E966" s="4" t="str">
        <f>TEXT(Table1[[#This Row],[Order_Date]],"dddd")</f>
        <v>Wednesday</v>
      </c>
      <c r="F966" s="4">
        <f t="shared" si="181"/>
        <v>4</v>
      </c>
      <c r="G966" t="str">
        <f t="shared" si="184"/>
        <v>April</v>
      </c>
      <c r="H966">
        <f t="shared" si="185"/>
        <v>2024</v>
      </c>
      <c r="I966" t="str">
        <f t="shared" si="186"/>
        <v>2024-Q2</v>
      </c>
      <c r="J966" t="s">
        <v>44</v>
      </c>
      <c r="K966" t="s">
        <v>7266</v>
      </c>
      <c r="L966" t="s">
        <v>7267</v>
      </c>
      <c r="M966" t="s">
        <v>36</v>
      </c>
      <c r="N966" t="s">
        <v>25</v>
      </c>
      <c r="O966" t="s">
        <v>451</v>
      </c>
      <c r="P966" t="s">
        <v>38</v>
      </c>
      <c r="Q966" t="s">
        <v>39</v>
      </c>
      <c r="R966" t="s">
        <v>7268</v>
      </c>
      <c r="S966" t="s">
        <v>51</v>
      </c>
      <c r="T966" t="s">
        <v>151</v>
      </c>
      <c r="U966" t="s">
        <v>7269</v>
      </c>
      <c r="V966" s="3">
        <v>4213.34</v>
      </c>
      <c r="W966" s="4">
        <v>10</v>
      </c>
      <c r="X966" s="2">
        <v>0.1</v>
      </c>
      <c r="Y966" s="3">
        <v>-712.94</v>
      </c>
      <c r="Z966" t="str">
        <f t="shared" si="182"/>
        <v>Normal</v>
      </c>
      <c r="AA966" t="str">
        <f t="shared" si="183"/>
        <v>Medium</v>
      </c>
      <c r="AB966" t="str">
        <f t="shared" si="187"/>
        <v>Loss</v>
      </c>
      <c r="AC966" s="3">
        <f t="shared" si="188"/>
        <v>-0.16921017530035554</v>
      </c>
      <c r="AD966" s="3">
        <f t="shared" si="189"/>
        <v>421.334</v>
      </c>
      <c r="AE966" s="3">
        <f t="shared" si="190"/>
        <v>-71.294000000000011</v>
      </c>
      <c r="AF966" t="str">
        <f t="shared" si="191"/>
        <v>Regular</v>
      </c>
    </row>
    <row r="967" spans="1:32" x14ac:dyDescent="0.25">
      <c r="A967" t="s">
        <v>3307</v>
      </c>
      <c r="B967" s="1">
        <v>45400</v>
      </c>
      <c r="C967" s="1">
        <f>B967+5</f>
        <v>45405</v>
      </c>
      <c r="D967" s="4">
        <f t="shared" si="180"/>
        <v>5</v>
      </c>
      <c r="E967" s="4" t="str">
        <f>TEXT(Table1[[#This Row],[Order_Date]],"dddd")</f>
        <v>Thursday</v>
      </c>
      <c r="F967" s="4">
        <f t="shared" si="181"/>
        <v>4</v>
      </c>
      <c r="G967" t="str">
        <f t="shared" si="184"/>
        <v>April</v>
      </c>
      <c r="H967">
        <f t="shared" si="185"/>
        <v>2024</v>
      </c>
      <c r="I967" t="str">
        <f t="shared" si="186"/>
        <v>2024-Q2</v>
      </c>
      <c r="J967" t="s">
        <v>55</v>
      </c>
      <c r="K967" t="s">
        <v>3308</v>
      </c>
      <c r="L967" t="s">
        <v>3309</v>
      </c>
      <c r="M967" t="s">
        <v>47</v>
      </c>
      <c r="N967" t="s">
        <v>25</v>
      </c>
      <c r="O967" t="s">
        <v>119</v>
      </c>
      <c r="P967" t="s">
        <v>120</v>
      </c>
      <c r="Q967" t="s">
        <v>39</v>
      </c>
      <c r="R967" t="s">
        <v>3310</v>
      </c>
      <c r="S967" t="s">
        <v>59</v>
      </c>
      <c r="T967" t="s">
        <v>303</v>
      </c>
      <c r="U967" t="s">
        <v>3311</v>
      </c>
      <c r="V967" s="3">
        <v>3219.3</v>
      </c>
      <c r="W967" s="4">
        <v>3</v>
      </c>
      <c r="X967" s="2">
        <v>0</v>
      </c>
      <c r="Y967" s="3">
        <v>-435.03</v>
      </c>
      <c r="Z967" t="str">
        <f t="shared" si="182"/>
        <v>Normal</v>
      </c>
      <c r="AA967" t="str">
        <f t="shared" si="183"/>
        <v>Low</v>
      </c>
      <c r="AB967" t="str">
        <f t="shared" si="187"/>
        <v>Loss</v>
      </c>
      <c r="AC967" s="3">
        <f t="shared" si="188"/>
        <v>-0.1351318609635635</v>
      </c>
      <c r="AD967" s="3">
        <f t="shared" si="189"/>
        <v>1073.1000000000001</v>
      </c>
      <c r="AE967" s="3">
        <f t="shared" si="190"/>
        <v>-145.01</v>
      </c>
      <c r="AF967" t="str">
        <f t="shared" si="191"/>
        <v>Regular</v>
      </c>
    </row>
    <row r="968" spans="1:32" x14ac:dyDescent="0.25">
      <c r="A968" t="s">
        <v>2192</v>
      </c>
      <c r="B968" s="1">
        <v>45401</v>
      </c>
      <c r="C968" s="1">
        <v>45402</v>
      </c>
      <c r="D968" s="4">
        <f t="shared" si="180"/>
        <v>1</v>
      </c>
      <c r="E968" s="4" t="str">
        <f>TEXT(Table1[[#This Row],[Order_Date]],"dddd")</f>
        <v>Friday</v>
      </c>
      <c r="F968" s="4">
        <f t="shared" si="181"/>
        <v>4</v>
      </c>
      <c r="G968" t="str">
        <f t="shared" si="184"/>
        <v>April</v>
      </c>
      <c r="H968">
        <f t="shared" si="185"/>
        <v>2024</v>
      </c>
      <c r="I968" t="str">
        <f t="shared" si="186"/>
        <v>2024-Q2</v>
      </c>
      <c r="J968" t="s">
        <v>104</v>
      </c>
      <c r="K968" t="s">
        <v>2193</v>
      </c>
      <c r="L968" t="s">
        <v>2194</v>
      </c>
      <c r="M968" t="s">
        <v>47</v>
      </c>
      <c r="N968" t="s">
        <v>25</v>
      </c>
      <c r="O968" t="s">
        <v>233</v>
      </c>
      <c r="P968" t="s">
        <v>163</v>
      </c>
      <c r="Q968" t="s">
        <v>66</v>
      </c>
      <c r="R968" t="s">
        <v>2195</v>
      </c>
      <c r="S968" t="s">
        <v>59</v>
      </c>
      <c r="T968" t="s">
        <v>303</v>
      </c>
      <c r="U968" t="s">
        <v>2196</v>
      </c>
      <c r="V968" s="3">
        <v>409.25</v>
      </c>
      <c r="W968" s="4">
        <v>1</v>
      </c>
      <c r="X968" s="2">
        <v>0.2</v>
      </c>
      <c r="Y968" s="3">
        <v>112.18</v>
      </c>
      <c r="Z968" t="str">
        <f t="shared" si="182"/>
        <v>Normal</v>
      </c>
      <c r="AA968" t="str">
        <f t="shared" si="183"/>
        <v>High</v>
      </c>
      <c r="AB968" t="str">
        <f t="shared" si="187"/>
        <v>Low Profit</v>
      </c>
      <c r="AC968" s="3">
        <f t="shared" si="188"/>
        <v>0.27411117898594994</v>
      </c>
      <c r="AD968" s="3">
        <f t="shared" si="189"/>
        <v>409.25</v>
      </c>
      <c r="AE968" s="3">
        <f t="shared" si="190"/>
        <v>112.18</v>
      </c>
      <c r="AF968" t="str">
        <f t="shared" si="191"/>
        <v>Regular</v>
      </c>
    </row>
    <row r="969" spans="1:32" x14ac:dyDescent="0.25">
      <c r="A969" t="s">
        <v>902</v>
      </c>
      <c r="B969" s="1">
        <v>45401</v>
      </c>
      <c r="C969" s="1">
        <v>45402</v>
      </c>
      <c r="D969" s="4">
        <f t="shared" si="180"/>
        <v>1</v>
      </c>
      <c r="E969" s="4" t="str">
        <f>TEXT(Table1[[#This Row],[Order_Date]],"dddd")</f>
        <v>Friday</v>
      </c>
      <c r="F969" s="4">
        <f t="shared" si="181"/>
        <v>4</v>
      </c>
      <c r="G969" t="str">
        <f t="shared" si="184"/>
        <v>April</v>
      </c>
      <c r="H969">
        <f t="shared" si="185"/>
        <v>2024</v>
      </c>
      <c r="I969" t="str">
        <f t="shared" si="186"/>
        <v>2024-Q2</v>
      </c>
      <c r="J969" t="s">
        <v>44</v>
      </c>
      <c r="K969" t="s">
        <v>903</v>
      </c>
      <c r="L969" t="s">
        <v>904</v>
      </c>
      <c r="M969" t="s">
        <v>24</v>
      </c>
      <c r="N969" t="s">
        <v>25</v>
      </c>
      <c r="O969" t="s">
        <v>149</v>
      </c>
      <c r="P969" t="s">
        <v>113</v>
      </c>
      <c r="Q969" t="s">
        <v>39</v>
      </c>
      <c r="R969" t="s">
        <v>905</v>
      </c>
      <c r="S969" t="s">
        <v>59</v>
      </c>
      <c r="T969" t="s">
        <v>60</v>
      </c>
      <c r="U969" t="s">
        <v>906</v>
      </c>
      <c r="V969" s="3">
        <v>1046.8399999999999</v>
      </c>
      <c r="W969" s="4">
        <v>8</v>
      </c>
      <c r="X969" s="2">
        <v>0.4</v>
      </c>
      <c r="Y969" s="3">
        <v>307.06</v>
      </c>
      <c r="Z969" t="str">
        <f t="shared" si="182"/>
        <v>Normal</v>
      </c>
      <c r="AA969" t="str">
        <f t="shared" si="183"/>
        <v>High</v>
      </c>
      <c r="AB969" t="str">
        <f t="shared" si="187"/>
        <v>Low Profit</v>
      </c>
      <c r="AC969" s="3">
        <f t="shared" si="188"/>
        <v>0.29332085132398461</v>
      </c>
      <c r="AD969" s="3">
        <f t="shared" si="189"/>
        <v>130.85499999999999</v>
      </c>
      <c r="AE969" s="3">
        <f t="shared" si="190"/>
        <v>38.3825</v>
      </c>
      <c r="AF969" t="str">
        <f t="shared" si="191"/>
        <v>Regular</v>
      </c>
    </row>
    <row r="970" spans="1:32" x14ac:dyDescent="0.25">
      <c r="A970" t="s">
        <v>1668</v>
      </c>
      <c r="B970" s="1">
        <v>45401</v>
      </c>
      <c r="C970" s="1">
        <v>45405</v>
      </c>
      <c r="D970" s="4">
        <f t="shared" si="180"/>
        <v>4</v>
      </c>
      <c r="E970" s="4" t="str">
        <f>TEXT(Table1[[#This Row],[Order_Date]],"dddd")</f>
        <v>Friday</v>
      </c>
      <c r="F970" s="4">
        <f t="shared" si="181"/>
        <v>4</v>
      </c>
      <c r="G970" t="str">
        <f t="shared" si="184"/>
        <v>April</v>
      </c>
      <c r="H970">
        <f t="shared" si="185"/>
        <v>2024</v>
      </c>
      <c r="I970" t="str">
        <f t="shared" si="186"/>
        <v>2024-Q2</v>
      </c>
      <c r="J970" t="s">
        <v>55</v>
      </c>
      <c r="K970" t="s">
        <v>1669</v>
      </c>
      <c r="L970" t="s">
        <v>1670</v>
      </c>
      <c r="M970" t="s">
        <v>36</v>
      </c>
      <c r="N970" t="s">
        <v>25</v>
      </c>
      <c r="O970" t="s">
        <v>382</v>
      </c>
      <c r="P970" t="s">
        <v>38</v>
      </c>
      <c r="Q970" t="s">
        <v>28</v>
      </c>
      <c r="R970" t="s">
        <v>1671</v>
      </c>
      <c r="S970" t="s">
        <v>59</v>
      </c>
      <c r="T970" t="s">
        <v>60</v>
      </c>
      <c r="U970" t="s">
        <v>1672</v>
      </c>
      <c r="V970" s="3">
        <v>4932.6000000000004</v>
      </c>
      <c r="W970" s="4">
        <v>8</v>
      </c>
      <c r="X970" s="2">
        <v>0</v>
      </c>
      <c r="Y970" s="3">
        <v>-868.02</v>
      </c>
      <c r="Z970" t="str">
        <f t="shared" si="182"/>
        <v>Outlier</v>
      </c>
      <c r="AA970" t="str">
        <f t="shared" si="183"/>
        <v>Low</v>
      </c>
      <c r="AB970" t="str">
        <f t="shared" si="187"/>
        <v>Loss</v>
      </c>
      <c r="AC970" s="3">
        <f t="shared" si="188"/>
        <v>-0.17597615861817295</v>
      </c>
      <c r="AD970" s="3">
        <f t="shared" si="189"/>
        <v>616.57500000000005</v>
      </c>
      <c r="AE970" s="3">
        <f t="shared" si="190"/>
        <v>-108.5025</v>
      </c>
      <c r="AF970" t="str">
        <f t="shared" si="191"/>
        <v>Regular</v>
      </c>
    </row>
    <row r="971" spans="1:32" x14ac:dyDescent="0.25">
      <c r="A971" t="s">
        <v>3475</v>
      </c>
      <c r="B971" s="1">
        <v>45402</v>
      </c>
      <c r="C971" s="1">
        <v>45412</v>
      </c>
      <c r="D971" s="4">
        <f t="shared" si="180"/>
        <v>10</v>
      </c>
      <c r="E971" s="4" t="str">
        <f>TEXT(Table1[[#This Row],[Order_Date]],"dddd")</f>
        <v>Saturday</v>
      </c>
      <c r="F971" s="4">
        <f t="shared" si="181"/>
        <v>4</v>
      </c>
      <c r="G971" t="str">
        <f t="shared" si="184"/>
        <v>April</v>
      </c>
      <c r="H971">
        <f t="shared" si="185"/>
        <v>2024</v>
      </c>
      <c r="I971" t="str">
        <f t="shared" si="186"/>
        <v>2024-Q2</v>
      </c>
      <c r="J971" t="s">
        <v>55</v>
      </c>
      <c r="K971" t="s">
        <v>3476</v>
      </c>
      <c r="L971" t="s">
        <v>3477</v>
      </c>
      <c r="M971" t="s">
        <v>36</v>
      </c>
      <c r="N971" t="s">
        <v>25</v>
      </c>
      <c r="O971" t="s">
        <v>179</v>
      </c>
      <c r="P971" t="s">
        <v>27</v>
      </c>
      <c r="Q971" t="s">
        <v>66</v>
      </c>
      <c r="R971" t="s">
        <v>3478</v>
      </c>
      <c r="S971" t="s">
        <v>51</v>
      </c>
      <c r="T971" t="s">
        <v>127</v>
      </c>
      <c r="U971" t="s">
        <v>3479</v>
      </c>
      <c r="V971" s="3">
        <v>2560.11</v>
      </c>
      <c r="W971" s="4">
        <v>7</v>
      </c>
      <c r="X971" s="2">
        <v>0.2</v>
      </c>
      <c r="Y971" s="3">
        <v>486.11</v>
      </c>
      <c r="Z971" t="str">
        <f t="shared" si="182"/>
        <v>Normal</v>
      </c>
      <c r="AA971" t="str">
        <f t="shared" si="183"/>
        <v>High</v>
      </c>
      <c r="AB971" t="str">
        <f t="shared" si="187"/>
        <v>Low Profit</v>
      </c>
      <c r="AC971" s="3">
        <f t="shared" si="188"/>
        <v>0.18987855990562905</v>
      </c>
      <c r="AD971" s="3">
        <f t="shared" si="189"/>
        <v>365.73</v>
      </c>
      <c r="AE971" s="3">
        <f t="shared" si="190"/>
        <v>69.444285714285712</v>
      </c>
      <c r="AF971" t="str">
        <f t="shared" si="191"/>
        <v>Regular</v>
      </c>
    </row>
    <row r="972" spans="1:32" x14ac:dyDescent="0.25">
      <c r="A972" t="s">
        <v>129</v>
      </c>
      <c r="B972" s="1">
        <v>45402</v>
      </c>
      <c r="C972" s="1">
        <v>45408</v>
      </c>
      <c r="D972" s="4">
        <f t="shared" si="180"/>
        <v>6</v>
      </c>
      <c r="E972" s="4" t="str">
        <f>TEXT(Table1[[#This Row],[Order_Date]],"dddd")</f>
        <v>Saturday</v>
      </c>
      <c r="F972" s="4">
        <f t="shared" si="181"/>
        <v>4</v>
      </c>
      <c r="G972" t="str">
        <f t="shared" si="184"/>
        <v>April</v>
      </c>
      <c r="H972">
        <f t="shared" si="185"/>
        <v>2024</v>
      </c>
      <c r="I972" t="str">
        <f t="shared" si="186"/>
        <v>2024-Q2</v>
      </c>
      <c r="J972" t="s">
        <v>55</v>
      </c>
      <c r="K972" t="s">
        <v>130</v>
      </c>
      <c r="L972" t="s">
        <v>131</v>
      </c>
      <c r="M972" t="s">
        <v>24</v>
      </c>
      <c r="N972" t="s">
        <v>25</v>
      </c>
      <c r="O972" t="s">
        <v>80</v>
      </c>
      <c r="P972" t="s">
        <v>49</v>
      </c>
      <c r="Q972" t="s">
        <v>66</v>
      </c>
      <c r="R972" t="s">
        <v>132</v>
      </c>
      <c r="S972" t="s">
        <v>30</v>
      </c>
      <c r="T972" t="s">
        <v>31</v>
      </c>
      <c r="U972" t="s">
        <v>133</v>
      </c>
      <c r="V972" s="3">
        <v>1662.53</v>
      </c>
      <c r="W972" s="4">
        <v>2</v>
      </c>
      <c r="X972" s="2">
        <v>0.1</v>
      </c>
      <c r="Y972" s="3">
        <v>-44.21</v>
      </c>
      <c r="Z972" t="str">
        <f t="shared" si="182"/>
        <v>Normal</v>
      </c>
      <c r="AA972" t="str">
        <f t="shared" si="183"/>
        <v>Medium</v>
      </c>
      <c r="AB972" t="str">
        <f t="shared" si="187"/>
        <v>Loss</v>
      </c>
      <c r="AC972" s="3">
        <f t="shared" si="188"/>
        <v>-2.6592001347344109E-2</v>
      </c>
      <c r="AD972" s="3">
        <f t="shared" si="189"/>
        <v>831.26499999999999</v>
      </c>
      <c r="AE972" s="3">
        <f t="shared" si="190"/>
        <v>-22.105</v>
      </c>
      <c r="AF972" t="str">
        <f t="shared" si="191"/>
        <v>Regular</v>
      </c>
    </row>
    <row r="973" spans="1:32" x14ac:dyDescent="0.25">
      <c r="A973" t="s">
        <v>364</v>
      </c>
      <c r="B973" s="1">
        <v>45402</v>
      </c>
      <c r="C973" s="1">
        <v>45403</v>
      </c>
      <c r="D973" s="4">
        <f t="shared" si="180"/>
        <v>1</v>
      </c>
      <c r="E973" s="4" t="str">
        <f>TEXT(Table1[[#This Row],[Order_Date]],"dddd")</f>
        <v>Saturday</v>
      </c>
      <c r="F973" s="4">
        <f t="shared" si="181"/>
        <v>4</v>
      </c>
      <c r="G973" t="str">
        <f t="shared" si="184"/>
        <v>April</v>
      </c>
      <c r="H973">
        <f t="shared" si="185"/>
        <v>2024</v>
      </c>
      <c r="I973" t="str">
        <f t="shared" si="186"/>
        <v>2024-Q2</v>
      </c>
      <c r="J973" t="s">
        <v>21</v>
      </c>
      <c r="K973" t="s">
        <v>365</v>
      </c>
      <c r="L973" t="s">
        <v>366</v>
      </c>
      <c r="M973" t="s">
        <v>24</v>
      </c>
      <c r="N973" t="s">
        <v>25</v>
      </c>
      <c r="O973" t="s">
        <v>244</v>
      </c>
      <c r="P973" t="s">
        <v>163</v>
      </c>
      <c r="Q973" t="s">
        <v>39</v>
      </c>
      <c r="R973" t="s">
        <v>367</v>
      </c>
      <c r="S973" t="s">
        <v>51</v>
      </c>
      <c r="T973" t="s">
        <v>108</v>
      </c>
      <c r="U973" t="s">
        <v>368</v>
      </c>
      <c r="V973" s="3">
        <v>2832.1</v>
      </c>
      <c r="W973" s="4">
        <v>6</v>
      </c>
      <c r="X973" s="2">
        <v>0.2</v>
      </c>
      <c r="Y973" s="3">
        <v>791.09</v>
      </c>
      <c r="Z973" t="str">
        <f t="shared" si="182"/>
        <v>Normal</v>
      </c>
      <c r="AA973" t="str">
        <f t="shared" si="183"/>
        <v>High</v>
      </c>
      <c r="AB973" t="str">
        <f t="shared" si="187"/>
        <v>High Profit</v>
      </c>
      <c r="AC973" s="3">
        <f t="shared" si="188"/>
        <v>0.27932982592422584</v>
      </c>
      <c r="AD973" s="3">
        <f t="shared" si="189"/>
        <v>472.01666666666665</v>
      </c>
      <c r="AE973" s="3">
        <f t="shared" si="190"/>
        <v>131.84833333333333</v>
      </c>
      <c r="AF973" t="str">
        <f t="shared" si="191"/>
        <v>Regular</v>
      </c>
    </row>
    <row r="974" spans="1:32" x14ac:dyDescent="0.25">
      <c r="A974" t="s">
        <v>6926</v>
      </c>
      <c r="B974" s="1">
        <v>45404</v>
      </c>
      <c r="C974" s="1">
        <v>45409</v>
      </c>
      <c r="D974" s="4">
        <f t="shared" si="180"/>
        <v>5</v>
      </c>
      <c r="E974" s="4" t="str">
        <f>TEXT(Table1[[#This Row],[Order_Date]],"dddd")</f>
        <v>Monday</v>
      </c>
      <c r="F974" s="4">
        <f t="shared" si="181"/>
        <v>4</v>
      </c>
      <c r="G974" t="str">
        <f t="shared" si="184"/>
        <v>April</v>
      </c>
      <c r="H974">
        <f t="shared" si="185"/>
        <v>2024</v>
      </c>
      <c r="I974" t="str">
        <f t="shared" si="186"/>
        <v>2024-Q2</v>
      </c>
      <c r="J974" t="s">
        <v>104</v>
      </c>
      <c r="K974" t="s">
        <v>6927</v>
      </c>
      <c r="L974" t="s">
        <v>6928</v>
      </c>
      <c r="M974" t="s">
        <v>47</v>
      </c>
      <c r="N974" t="s">
        <v>25</v>
      </c>
      <c r="O974" t="s">
        <v>73</v>
      </c>
      <c r="P974" t="s">
        <v>74</v>
      </c>
      <c r="Q974" t="s">
        <v>28</v>
      </c>
      <c r="R974" t="s">
        <v>6929</v>
      </c>
      <c r="S974" t="s">
        <v>30</v>
      </c>
      <c r="T974" t="s">
        <v>82</v>
      </c>
      <c r="U974" t="s">
        <v>6930</v>
      </c>
      <c r="V974" s="3">
        <v>1783.81</v>
      </c>
      <c r="W974" s="4">
        <v>10</v>
      </c>
      <c r="X974" s="2">
        <v>0.4</v>
      </c>
      <c r="Y974" s="3">
        <v>-16.100000000000001</v>
      </c>
      <c r="Z974" t="str">
        <f t="shared" si="182"/>
        <v>Normal</v>
      </c>
      <c r="AA974" t="str">
        <f t="shared" si="183"/>
        <v>High</v>
      </c>
      <c r="AB974" t="str">
        <f t="shared" si="187"/>
        <v>Loss</v>
      </c>
      <c r="AC974" s="3">
        <f t="shared" si="188"/>
        <v>-9.0256249264215362E-3</v>
      </c>
      <c r="AD974" s="3">
        <f t="shared" si="189"/>
        <v>178.381</v>
      </c>
      <c r="AE974" s="3">
        <f t="shared" si="190"/>
        <v>-1.61</v>
      </c>
      <c r="AF974" t="str">
        <f t="shared" si="191"/>
        <v>Regular</v>
      </c>
    </row>
    <row r="975" spans="1:32" x14ac:dyDescent="0.25">
      <c r="A975" t="s">
        <v>153</v>
      </c>
      <c r="B975" s="1">
        <v>45404</v>
      </c>
      <c r="C975" s="1">
        <v>45413</v>
      </c>
      <c r="D975" s="4">
        <f t="shared" si="180"/>
        <v>9</v>
      </c>
      <c r="E975" s="4" t="str">
        <f>TEXT(Table1[[#This Row],[Order_Date]],"dddd")</f>
        <v>Monday</v>
      </c>
      <c r="F975" s="4">
        <f t="shared" si="181"/>
        <v>4</v>
      </c>
      <c r="G975" t="str">
        <f t="shared" si="184"/>
        <v>April</v>
      </c>
      <c r="H975">
        <f t="shared" si="185"/>
        <v>2024</v>
      </c>
      <c r="I975" t="str">
        <f t="shared" si="186"/>
        <v>2024-Q2</v>
      </c>
      <c r="J975" t="s">
        <v>55</v>
      </c>
      <c r="K975" t="s">
        <v>154</v>
      </c>
      <c r="L975" t="s">
        <v>155</v>
      </c>
      <c r="M975" t="s">
        <v>36</v>
      </c>
      <c r="N975" t="s">
        <v>25</v>
      </c>
      <c r="O975" t="s">
        <v>156</v>
      </c>
      <c r="P975" t="s">
        <v>143</v>
      </c>
      <c r="Q975" t="s">
        <v>39</v>
      </c>
      <c r="R975" t="s">
        <v>157</v>
      </c>
      <c r="S975" t="s">
        <v>30</v>
      </c>
      <c r="T975" t="s">
        <v>68</v>
      </c>
      <c r="U975" t="s">
        <v>158</v>
      </c>
      <c r="V975" s="3">
        <v>1466.14</v>
      </c>
      <c r="W975" s="4">
        <v>2</v>
      </c>
      <c r="X975" s="2">
        <v>0.3</v>
      </c>
      <c r="Y975" s="3">
        <v>325.31</v>
      </c>
      <c r="Z975" t="str">
        <f t="shared" si="182"/>
        <v>Normal</v>
      </c>
      <c r="AA975" t="str">
        <f t="shared" si="183"/>
        <v>High</v>
      </c>
      <c r="AB975" t="str">
        <f t="shared" si="187"/>
        <v>Low Profit</v>
      </c>
      <c r="AC975" s="3">
        <f t="shared" si="188"/>
        <v>0.22188194851787685</v>
      </c>
      <c r="AD975" s="3">
        <f t="shared" si="189"/>
        <v>733.07</v>
      </c>
      <c r="AE975" s="3">
        <f t="shared" si="190"/>
        <v>162.655</v>
      </c>
      <c r="AF975" t="str">
        <f t="shared" si="191"/>
        <v>Regular</v>
      </c>
    </row>
    <row r="976" spans="1:32" x14ac:dyDescent="0.25">
      <c r="A976" t="s">
        <v>659</v>
      </c>
      <c r="B976" s="1">
        <v>45404</v>
      </c>
      <c r="C976" s="1">
        <v>45412</v>
      </c>
      <c r="D976" s="4">
        <f t="shared" si="180"/>
        <v>8</v>
      </c>
      <c r="E976" s="4" t="str">
        <f>TEXT(Table1[[#This Row],[Order_Date]],"dddd")</f>
        <v>Monday</v>
      </c>
      <c r="F976" s="4">
        <f t="shared" si="181"/>
        <v>4</v>
      </c>
      <c r="G976" t="str">
        <f t="shared" si="184"/>
        <v>April</v>
      </c>
      <c r="H976">
        <f t="shared" si="185"/>
        <v>2024</v>
      </c>
      <c r="I976" t="str">
        <f t="shared" si="186"/>
        <v>2024-Q2</v>
      </c>
      <c r="J976" t="s">
        <v>44</v>
      </c>
      <c r="K976" t="s">
        <v>660</v>
      </c>
      <c r="L976" t="s">
        <v>661</v>
      </c>
      <c r="M976" t="s">
        <v>47</v>
      </c>
      <c r="N976" t="s">
        <v>25</v>
      </c>
      <c r="O976" t="s">
        <v>156</v>
      </c>
      <c r="P976" t="s">
        <v>143</v>
      </c>
      <c r="Q976" t="s">
        <v>66</v>
      </c>
      <c r="R976" t="s">
        <v>662</v>
      </c>
      <c r="S976" t="s">
        <v>51</v>
      </c>
      <c r="T976" t="s">
        <v>108</v>
      </c>
      <c r="U976" t="s">
        <v>663</v>
      </c>
      <c r="V976" s="3">
        <v>4975.17</v>
      </c>
      <c r="W976" s="4">
        <v>6</v>
      </c>
      <c r="X976" s="2">
        <v>0.1</v>
      </c>
      <c r="Y976" s="3">
        <v>533.05999999999995</v>
      </c>
      <c r="Z976" t="str">
        <f t="shared" si="182"/>
        <v>Normal</v>
      </c>
      <c r="AA976" t="str">
        <f t="shared" si="183"/>
        <v>Medium</v>
      </c>
      <c r="AB976" t="str">
        <f t="shared" si="187"/>
        <v>High Profit</v>
      </c>
      <c r="AC976" s="3">
        <f t="shared" si="188"/>
        <v>0.10714407748880941</v>
      </c>
      <c r="AD976" s="3">
        <f t="shared" si="189"/>
        <v>829.19500000000005</v>
      </c>
      <c r="AE976" s="3">
        <f t="shared" si="190"/>
        <v>88.84333333333332</v>
      </c>
      <c r="AF976" t="str">
        <f t="shared" si="191"/>
        <v>Regular</v>
      </c>
    </row>
    <row r="977" spans="1:32" x14ac:dyDescent="0.25">
      <c r="A977" t="s">
        <v>558</v>
      </c>
      <c r="B977" s="1">
        <v>45404</v>
      </c>
      <c r="C977" s="1">
        <v>45409</v>
      </c>
      <c r="D977" s="4">
        <f t="shared" si="180"/>
        <v>5</v>
      </c>
      <c r="E977" s="4" t="str">
        <f>TEXT(Table1[[#This Row],[Order_Date]],"dddd")</f>
        <v>Monday</v>
      </c>
      <c r="F977" s="4">
        <f t="shared" si="181"/>
        <v>4</v>
      </c>
      <c r="G977" t="str">
        <f t="shared" si="184"/>
        <v>April</v>
      </c>
      <c r="H977">
        <f t="shared" si="185"/>
        <v>2024</v>
      </c>
      <c r="I977" t="str">
        <f t="shared" si="186"/>
        <v>2024-Q2</v>
      </c>
      <c r="J977" t="s">
        <v>21</v>
      </c>
      <c r="K977" t="s">
        <v>559</v>
      </c>
      <c r="L977" t="s">
        <v>560</v>
      </c>
      <c r="M977" t="s">
        <v>47</v>
      </c>
      <c r="N977" t="s">
        <v>25</v>
      </c>
      <c r="O977" t="s">
        <v>451</v>
      </c>
      <c r="P977" t="s">
        <v>38</v>
      </c>
      <c r="Q977" t="s">
        <v>66</v>
      </c>
      <c r="R977" t="s">
        <v>561</v>
      </c>
      <c r="S977" t="s">
        <v>51</v>
      </c>
      <c r="T977" t="s">
        <v>52</v>
      </c>
      <c r="U977" t="s">
        <v>562</v>
      </c>
      <c r="V977" s="3">
        <v>4914.95</v>
      </c>
      <c r="W977" s="4">
        <v>10</v>
      </c>
      <c r="X977" s="2">
        <v>0</v>
      </c>
      <c r="Y977" s="3">
        <v>289.02</v>
      </c>
      <c r="Z977" t="str">
        <f t="shared" si="182"/>
        <v>Normal</v>
      </c>
      <c r="AA977" t="str">
        <f t="shared" si="183"/>
        <v>Low</v>
      </c>
      <c r="AB977" t="str">
        <f t="shared" si="187"/>
        <v>Low Profit</v>
      </c>
      <c r="AC977" s="3">
        <f t="shared" si="188"/>
        <v>5.880426047060499E-2</v>
      </c>
      <c r="AD977" s="3">
        <f t="shared" si="189"/>
        <v>491.495</v>
      </c>
      <c r="AE977" s="3">
        <f t="shared" si="190"/>
        <v>28.901999999999997</v>
      </c>
      <c r="AF977" t="str">
        <f t="shared" si="191"/>
        <v>Regular</v>
      </c>
    </row>
    <row r="978" spans="1:32" x14ac:dyDescent="0.25">
      <c r="A978" t="s">
        <v>1873</v>
      </c>
      <c r="B978" s="1">
        <v>45404</v>
      </c>
      <c r="C978" s="1">
        <v>45405</v>
      </c>
      <c r="D978" s="4">
        <f t="shared" si="180"/>
        <v>1</v>
      </c>
      <c r="E978" s="4" t="str">
        <f>TEXT(Table1[[#This Row],[Order_Date]],"dddd")</f>
        <v>Monday</v>
      </c>
      <c r="F978" s="4">
        <f t="shared" si="181"/>
        <v>4</v>
      </c>
      <c r="G978" t="str">
        <f t="shared" si="184"/>
        <v>April</v>
      </c>
      <c r="H978">
        <f t="shared" si="185"/>
        <v>2024</v>
      </c>
      <c r="I978" t="str">
        <f t="shared" si="186"/>
        <v>2024-Q2</v>
      </c>
      <c r="J978" t="s">
        <v>55</v>
      </c>
      <c r="K978" t="s">
        <v>1874</v>
      </c>
      <c r="L978" t="s">
        <v>1875</v>
      </c>
      <c r="M978" t="s">
        <v>24</v>
      </c>
      <c r="N978" t="s">
        <v>25</v>
      </c>
      <c r="O978" t="s">
        <v>227</v>
      </c>
      <c r="P978" t="s">
        <v>49</v>
      </c>
      <c r="Q978" t="s">
        <v>87</v>
      </c>
      <c r="R978" t="s">
        <v>1876</v>
      </c>
      <c r="S978" t="s">
        <v>51</v>
      </c>
      <c r="T978" t="s">
        <v>151</v>
      </c>
      <c r="U978" t="s">
        <v>1877</v>
      </c>
      <c r="V978" s="3">
        <v>4476.3100000000004</v>
      </c>
      <c r="W978" s="4">
        <v>3</v>
      </c>
      <c r="X978" s="2">
        <v>0.2</v>
      </c>
      <c r="Y978" s="3">
        <v>510.84</v>
      </c>
      <c r="Z978" t="str">
        <f t="shared" si="182"/>
        <v>Normal</v>
      </c>
      <c r="AA978" t="str">
        <f t="shared" si="183"/>
        <v>High</v>
      </c>
      <c r="AB978" t="str">
        <f t="shared" si="187"/>
        <v>High Profit</v>
      </c>
      <c r="AC978" s="3">
        <f t="shared" si="188"/>
        <v>0.11412078251953058</v>
      </c>
      <c r="AD978" s="3">
        <f t="shared" si="189"/>
        <v>1492.1033333333335</v>
      </c>
      <c r="AE978" s="3">
        <f t="shared" si="190"/>
        <v>170.28</v>
      </c>
      <c r="AF978" t="str">
        <f t="shared" si="191"/>
        <v>Regular</v>
      </c>
    </row>
    <row r="979" spans="1:32" x14ac:dyDescent="0.25">
      <c r="A979" t="s">
        <v>4332</v>
      </c>
      <c r="B979" s="1">
        <v>45405</v>
      </c>
      <c r="C979" s="1">
        <v>45409</v>
      </c>
      <c r="D979" s="4">
        <f t="shared" si="180"/>
        <v>4</v>
      </c>
      <c r="E979" s="4" t="str">
        <f>TEXT(Table1[[#This Row],[Order_Date]],"dddd")</f>
        <v>Tuesday</v>
      </c>
      <c r="F979" s="4">
        <f t="shared" si="181"/>
        <v>4</v>
      </c>
      <c r="G979" t="str">
        <f t="shared" si="184"/>
        <v>April</v>
      </c>
      <c r="H979">
        <f t="shared" si="185"/>
        <v>2024</v>
      </c>
      <c r="I979" t="str">
        <f t="shared" si="186"/>
        <v>2024-Q2</v>
      </c>
      <c r="J979" t="s">
        <v>104</v>
      </c>
      <c r="K979" t="s">
        <v>4333</v>
      </c>
      <c r="L979" t="s">
        <v>4334</v>
      </c>
      <c r="M979" t="s">
        <v>47</v>
      </c>
      <c r="N979" t="s">
        <v>25</v>
      </c>
      <c r="O979" t="s">
        <v>511</v>
      </c>
      <c r="P979" t="s">
        <v>120</v>
      </c>
      <c r="Q979" t="s">
        <v>28</v>
      </c>
      <c r="R979" t="s">
        <v>4335</v>
      </c>
      <c r="S979" t="s">
        <v>30</v>
      </c>
      <c r="T979" t="s">
        <v>41</v>
      </c>
      <c r="U979" t="s">
        <v>4336</v>
      </c>
      <c r="V979" s="3">
        <v>1496.09</v>
      </c>
      <c r="W979" s="4">
        <v>8</v>
      </c>
      <c r="X979" s="2">
        <v>0</v>
      </c>
      <c r="Y979" s="3">
        <v>-119.16</v>
      </c>
      <c r="Z979" t="str">
        <f t="shared" si="182"/>
        <v>Normal</v>
      </c>
      <c r="AA979" t="str">
        <f t="shared" si="183"/>
        <v>Low</v>
      </c>
      <c r="AB979" t="str">
        <f t="shared" si="187"/>
        <v>Loss</v>
      </c>
      <c r="AC979" s="3">
        <f t="shared" si="188"/>
        <v>-7.9647614782533141E-2</v>
      </c>
      <c r="AD979" s="3">
        <f t="shared" si="189"/>
        <v>187.01124999999999</v>
      </c>
      <c r="AE979" s="3">
        <f t="shared" si="190"/>
        <v>-14.895</v>
      </c>
      <c r="AF979" t="str">
        <f t="shared" si="191"/>
        <v>Regular</v>
      </c>
    </row>
    <row r="980" spans="1:32" x14ac:dyDescent="0.25">
      <c r="A980" t="s">
        <v>1981</v>
      </c>
      <c r="B980" s="1">
        <v>45405</v>
      </c>
      <c r="C980" s="1">
        <v>45406</v>
      </c>
      <c r="D980" s="4">
        <f t="shared" si="180"/>
        <v>1</v>
      </c>
      <c r="E980" s="4" t="str">
        <f>TEXT(Table1[[#This Row],[Order_Date]],"dddd")</f>
        <v>Tuesday</v>
      </c>
      <c r="F980" s="4">
        <f t="shared" si="181"/>
        <v>4</v>
      </c>
      <c r="G980" t="str">
        <f t="shared" si="184"/>
        <v>April</v>
      </c>
      <c r="H980">
        <f t="shared" si="185"/>
        <v>2024</v>
      </c>
      <c r="I980" t="str">
        <f t="shared" si="186"/>
        <v>2024-Q2</v>
      </c>
      <c r="J980" t="s">
        <v>44</v>
      </c>
      <c r="K980" t="s">
        <v>1982</v>
      </c>
      <c r="L980" t="s">
        <v>1983</v>
      </c>
      <c r="M980" t="s">
        <v>24</v>
      </c>
      <c r="N980" t="s">
        <v>25</v>
      </c>
      <c r="O980" t="s">
        <v>65</v>
      </c>
      <c r="P980" t="s">
        <v>27</v>
      </c>
      <c r="Q980" t="s">
        <v>66</v>
      </c>
      <c r="R980" t="s">
        <v>1984</v>
      </c>
      <c r="S980" t="s">
        <v>30</v>
      </c>
      <c r="T980" t="s">
        <v>68</v>
      </c>
      <c r="U980" t="s">
        <v>1985</v>
      </c>
      <c r="V980" s="3">
        <v>232.61</v>
      </c>
      <c r="W980" s="4">
        <v>3</v>
      </c>
      <c r="X980" s="2">
        <v>0.4</v>
      </c>
      <c r="Y980" s="3">
        <v>-43.55</v>
      </c>
      <c r="Z980" t="str">
        <f t="shared" si="182"/>
        <v>Normal</v>
      </c>
      <c r="AA980" t="str">
        <f t="shared" si="183"/>
        <v>High</v>
      </c>
      <c r="AB980" t="str">
        <f t="shared" si="187"/>
        <v>Loss</v>
      </c>
      <c r="AC980" s="3">
        <f t="shared" si="188"/>
        <v>-0.18722324921542494</v>
      </c>
      <c r="AD980" s="3">
        <f t="shared" si="189"/>
        <v>77.536666666666676</v>
      </c>
      <c r="AE980" s="3">
        <f t="shared" si="190"/>
        <v>-14.516666666666666</v>
      </c>
      <c r="AF980" t="str">
        <f t="shared" si="191"/>
        <v>Regular</v>
      </c>
    </row>
    <row r="981" spans="1:32" x14ac:dyDescent="0.25">
      <c r="A981" t="s">
        <v>6886</v>
      </c>
      <c r="B981" s="1">
        <v>45406</v>
      </c>
      <c r="C981" s="1">
        <v>45409</v>
      </c>
      <c r="D981" s="4">
        <f t="shared" si="180"/>
        <v>3</v>
      </c>
      <c r="E981" s="4" t="str">
        <f>TEXT(Table1[[#This Row],[Order_Date]],"dddd")</f>
        <v>Wednesday</v>
      </c>
      <c r="F981" s="4">
        <f t="shared" si="181"/>
        <v>4</v>
      </c>
      <c r="G981" t="str">
        <f t="shared" si="184"/>
        <v>April</v>
      </c>
      <c r="H981">
        <f t="shared" si="185"/>
        <v>2024</v>
      </c>
      <c r="I981" t="str">
        <f t="shared" si="186"/>
        <v>2024-Q2</v>
      </c>
      <c r="J981" t="s">
        <v>55</v>
      </c>
      <c r="K981" t="s">
        <v>6887</v>
      </c>
      <c r="L981" t="s">
        <v>6888</v>
      </c>
      <c r="M981" t="s">
        <v>36</v>
      </c>
      <c r="N981" t="s">
        <v>25</v>
      </c>
      <c r="O981" t="s">
        <v>201</v>
      </c>
      <c r="P981" t="s">
        <v>113</v>
      </c>
      <c r="Q981" t="s">
        <v>87</v>
      </c>
      <c r="R981" t="s">
        <v>6889</v>
      </c>
      <c r="S981" t="s">
        <v>51</v>
      </c>
      <c r="T981" t="s">
        <v>94</v>
      </c>
      <c r="U981" t="s">
        <v>6890</v>
      </c>
      <c r="V981" s="3">
        <v>13.43</v>
      </c>
      <c r="W981" s="4">
        <v>6</v>
      </c>
      <c r="X981" s="2">
        <v>0.4</v>
      </c>
      <c r="Y981" s="3">
        <v>2.94</v>
      </c>
      <c r="Z981" t="str">
        <f t="shared" si="182"/>
        <v>Normal</v>
      </c>
      <c r="AA981" t="str">
        <f t="shared" si="183"/>
        <v>High</v>
      </c>
      <c r="AB981" t="str">
        <f t="shared" si="187"/>
        <v>Low Profit</v>
      </c>
      <c r="AC981" s="3">
        <f t="shared" si="188"/>
        <v>0.21891288160833955</v>
      </c>
      <c r="AD981" s="3">
        <f t="shared" si="189"/>
        <v>2.2383333333333333</v>
      </c>
      <c r="AE981" s="3">
        <f t="shared" si="190"/>
        <v>0.49</v>
      </c>
      <c r="AF981" t="str">
        <f t="shared" si="191"/>
        <v>Regular</v>
      </c>
    </row>
    <row r="982" spans="1:32" x14ac:dyDescent="0.25">
      <c r="A982" t="s">
        <v>3582</v>
      </c>
      <c r="B982" s="1">
        <v>45406</v>
      </c>
      <c r="C982" s="1">
        <v>45415</v>
      </c>
      <c r="D982" s="4">
        <f t="shared" si="180"/>
        <v>9</v>
      </c>
      <c r="E982" s="4" t="str">
        <f>TEXT(Table1[[#This Row],[Order_Date]],"dddd")</f>
        <v>Wednesday</v>
      </c>
      <c r="F982" s="4">
        <f t="shared" si="181"/>
        <v>4</v>
      </c>
      <c r="G982" t="str">
        <f t="shared" si="184"/>
        <v>April</v>
      </c>
      <c r="H982">
        <f t="shared" si="185"/>
        <v>2024</v>
      </c>
      <c r="I982" t="str">
        <f t="shared" si="186"/>
        <v>2024-Q2</v>
      </c>
      <c r="J982" t="s">
        <v>104</v>
      </c>
      <c r="K982" t="s">
        <v>3583</v>
      </c>
      <c r="L982" t="s">
        <v>3584</v>
      </c>
      <c r="M982" t="s">
        <v>47</v>
      </c>
      <c r="N982" t="s">
        <v>25</v>
      </c>
      <c r="O982" t="s">
        <v>156</v>
      </c>
      <c r="P982" t="s">
        <v>143</v>
      </c>
      <c r="Q982" t="s">
        <v>28</v>
      </c>
      <c r="R982" t="s">
        <v>3585</v>
      </c>
      <c r="S982" t="s">
        <v>59</v>
      </c>
      <c r="T982" t="s">
        <v>303</v>
      </c>
      <c r="U982" t="s">
        <v>3586</v>
      </c>
      <c r="V982" s="3">
        <v>1350.68</v>
      </c>
      <c r="W982" s="4">
        <v>2</v>
      </c>
      <c r="X982" s="2">
        <v>0</v>
      </c>
      <c r="Y982" s="3">
        <v>341.04</v>
      </c>
      <c r="Z982" t="str">
        <f t="shared" si="182"/>
        <v>Normal</v>
      </c>
      <c r="AA982" t="str">
        <f t="shared" si="183"/>
        <v>Low</v>
      </c>
      <c r="AB982" t="str">
        <f t="shared" si="187"/>
        <v>Low Profit</v>
      </c>
      <c r="AC982" s="3">
        <f t="shared" si="188"/>
        <v>0.25249503953564129</v>
      </c>
      <c r="AD982" s="3">
        <f t="shared" si="189"/>
        <v>675.34</v>
      </c>
      <c r="AE982" s="3">
        <f t="shared" si="190"/>
        <v>170.52</v>
      </c>
      <c r="AF982" t="str">
        <f t="shared" si="191"/>
        <v>Regular</v>
      </c>
    </row>
    <row r="983" spans="1:32" x14ac:dyDescent="0.25">
      <c r="A983" t="s">
        <v>833</v>
      </c>
      <c r="B983" s="1">
        <v>45406</v>
      </c>
      <c r="C983" s="1">
        <v>45416</v>
      </c>
      <c r="D983" s="4">
        <f t="shared" si="180"/>
        <v>10</v>
      </c>
      <c r="E983" s="4" t="str">
        <f>TEXT(Table1[[#This Row],[Order_Date]],"dddd")</f>
        <v>Wednesday</v>
      </c>
      <c r="F983" s="4">
        <f t="shared" si="181"/>
        <v>4</v>
      </c>
      <c r="G983" t="str">
        <f t="shared" si="184"/>
        <v>April</v>
      </c>
      <c r="H983">
        <f t="shared" si="185"/>
        <v>2024</v>
      </c>
      <c r="I983" t="str">
        <f t="shared" si="186"/>
        <v>2024-Q2</v>
      </c>
      <c r="J983" t="s">
        <v>55</v>
      </c>
      <c r="K983" t="s">
        <v>834</v>
      </c>
      <c r="L983" t="s">
        <v>835</v>
      </c>
      <c r="M983" t="s">
        <v>24</v>
      </c>
      <c r="N983" t="s">
        <v>25</v>
      </c>
      <c r="O983" t="s">
        <v>119</v>
      </c>
      <c r="P983" t="s">
        <v>120</v>
      </c>
      <c r="Q983" t="s">
        <v>39</v>
      </c>
      <c r="R983" t="s">
        <v>836</v>
      </c>
      <c r="S983" t="s">
        <v>51</v>
      </c>
      <c r="T983" t="s">
        <v>151</v>
      </c>
      <c r="U983" t="s">
        <v>837</v>
      </c>
      <c r="V983" s="3">
        <v>1873.69</v>
      </c>
      <c r="W983" s="4">
        <v>8</v>
      </c>
      <c r="X983" s="2">
        <v>0.1</v>
      </c>
      <c r="Y983" s="3">
        <v>217.37</v>
      </c>
      <c r="Z983" t="str">
        <f t="shared" si="182"/>
        <v>Normal</v>
      </c>
      <c r="AA983" t="str">
        <f t="shared" si="183"/>
        <v>Medium</v>
      </c>
      <c r="AB983" t="str">
        <f t="shared" si="187"/>
        <v>Low Profit</v>
      </c>
      <c r="AC983" s="3">
        <f t="shared" si="188"/>
        <v>0.11601172018850503</v>
      </c>
      <c r="AD983" s="3">
        <f t="shared" si="189"/>
        <v>234.21125000000001</v>
      </c>
      <c r="AE983" s="3">
        <f t="shared" si="190"/>
        <v>27.171250000000001</v>
      </c>
      <c r="AF983" t="str">
        <f t="shared" si="191"/>
        <v>Regular</v>
      </c>
    </row>
    <row r="984" spans="1:32" x14ac:dyDescent="0.25">
      <c r="A984" t="s">
        <v>4159</v>
      </c>
      <c r="B984" s="1">
        <v>45406</v>
      </c>
      <c r="C984" s="1">
        <v>45411</v>
      </c>
      <c r="D984" s="4">
        <f t="shared" si="180"/>
        <v>5</v>
      </c>
      <c r="E984" s="4" t="str">
        <f>TEXT(Table1[[#This Row],[Order_Date]],"dddd")</f>
        <v>Wednesday</v>
      </c>
      <c r="F984" s="4">
        <f t="shared" si="181"/>
        <v>4</v>
      </c>
      <c r="G984" t="str">
        <f t="shared" si="184"/>
        <v>April</v>
      </c>
      <c r="H984">
        <f t="shared" si="185"/>
        <v>2024</v>
      </c>
      <c r="I984" t="str">
        <f t="shared" si="186"/>
        <v>2024-Q2</v>
      </c>
      <c r="J984" t="s">
        <v>104</v>
      </c>
      <c r="K984" t="s">
        <v>4160</v>
      </c>
      <c r="L984" t="s">
        <v>4161</v>
      </c>
      <c r="M984" t="s">
        <v>24</v>
      </c>
      <c r="N984" t="s">
        <v>25</v>
      </c>
      <c r="O984" t="s">
        <v>119</v>
      </c>
      <c r="P984" t="s">
        <v>120</v>
      </c>
      <c r="Q984" t="s">
        <v>39</v>
      </c>
      <c r="R984" t="s">
        <v>4162</v>
      </c>
      <c r="S984" t="s">
        <v>59</v>
      </c>
      <c r="T984" t="s">
        <v>303</v>
      </c>
      <c r="U984" t="s">
        <v>4163</v>
      </c>
      <c r="V984" s="3">
        <v>1897.27</v>
      </c>
      <c r="W984" s="4">
        <v>1</v>
      </c>
      <c r="X984" s="2">
        <v>0.2</v>
      </c>
      <c r="Y984" s="3">
        <v>487.71</v>
      </c>
      <c r="Z984" t="str">
        <f t="shared" si="182"/>
        <v>Normal</v>
      </c>
      <c r="AA984" t="str">
        <f t="shared" si="183"/>
        <v>High</v>
      </c>
      <c r="AB984" t="str">
        <f t="shared" si="187"/>
        <v>Low Profit</v>
      </c>
      <c r="AC984" s="3">
        <f t="shared" si="188"/>
        <v>0.25705882662984181</v>
      </c>
      <c r="AD984" s="3">
        <f t="shared" si="189"/>
        <v>1897.27</v>
      </c>
      <c r="AE984" s="3">
        <f t="shared" si="190"/>
        <v>487.71</v>
      </c>
      <c r="AF984" t="str">
        <f t="shared" si="191"/>
        <v>Regular</v>
      </c>
    </row>
    <row r="985" spans="1:32" x14ac:dyDescent="0.25">
      <c r="A985" t="s">
        <v>4155</v>
      </c>
      <c r="B985" s="1">
        <v>45406</v>
      </c>
      <c r="C985" s="1">
        <v>45412</v>
      </c>
      <c r="D985" s="4">
        <f t="shared" si="180"/>
        <v>6</v>
      </c>
      <c r="E985" s="4" t="str">
        <f>TEXT(Table1[[#This Row],[Order_Date]],"dddd")</f>
        <v>Wednesday</v>
      </c>
      <c r="F985" s="4">
        <f t="shared" si="181"/>
        <v>4</v>
      </c>
      <c r="G985" t="str">
        <f t="shared" si="184"/>
        <v>April</v>
      </c>
      <c r="H985">
        <f t="shared" si="185"/>
        <v>2024</v>
      </c>
      <c r="I985" t="str">
        <f t="shared" si="186"/>
        <v>2024-Q2</v>
      </c>
      <c r="J985" t="s">
        <v>104</v>
      </c>
      <c r="K985" t="s">
        <v>4156</v>
      </c>
      <c r="L985" t="s">
        <v>4157</v>
      </c>
      <c r="M985" t="s">
        <v>47</v>
      </c>
      <c r="N985" t="s">
        <v>25</v>
      </c>
      <c r="O985" t="s">
        <v>99</v>
      </c>
      <c r="P985" t="s">
        <v>74</v>
      </c>
      <c r="Q985" t="s">
        <v>87</v>
      </c>
      <c r="R985" t="s">
        <v>4158</v>
      </c>
      <c r="S985" t="s">
        <v>51</v>
      </c>
      <c r="T985" t="s">
        <v>94</v>
      </c>
      <c r="U985" t="s">
        <v>2631</v>
      </c>
      <c r="V985" s="3">
        <v>2928.07</v>
      </c>
      <c r="W985" s="4">
        <v>10</v>
      </c>
      <c r="X985" s="2">
        <v>0.1</v>
      </c>
      <c r="Y985" s="3">
        <v>-62.85</v>
      </c>
      <c r="Z985" t="str">
        <f t="shared" si="182"/>
        <v>Normal</v>
      </c>
      <c r="AA985" t="str">
        <f t="shared" si="183"/>
        <v>Medium</v>
      </c>
      <c r="AB985" t="str">
        <f t="shared" si="187"/>
        <v>Loss</v>
      </c>
      <c r="AC985" s="3">
        <f t="shared" si="188"/>
        <v>-2.1464650776791539E-2</v>
      </c>
      <c r="AD985" s="3">
        <f t="shared" si="189"/>
        <v>292.80700000000002</v>
      </c>
      <c r="AE985" s="3">
        <f t="shared" si="190"/>
        <v>-6.2850000000000001</v>
      </c>
      <c r="AF985" t="str">
        <f t="shared" si="191"/>
        <v>Regular</v>
      </c>
    </row>
    <row r="986" spans="1:32" x14ac:dyDescent="0.25">
      <c r="A986" t="s">
        <v>6797</v>
      </c>
      <c r="B986" s="1">
        <v>45407</v>
      </c>
      <c r="C986" s="1">
        <v>45408</v>
      </c>
      <c r="D986" s="4">
        <f t="shared" si="180"/>
        <v>1</v>
      </c>
      <c r="E986" s="4" t="str">
        <f>TEXT(Table1[[#This Row],[Order_Date]],"dddd")</f>
        <v>Thursday</v>
      </c>
      <c r="F986" s="4">
        <f t="shared" si="181"/>
        <v>4</v>
      </c>
      <c r="G986" t="str">
        <f t="shared" si="184"/>
        <v>April</v>
      </c>
      <c r="H986">
        <f t="shared" si="185"/>
        <v>2024</v>
      </c>
      <c r="I986" t="str">
        <f t="shared" si="186"/>
        <v>2024-Q2</v>
      </c>
      <c r="J986" t="s">
        <v>44</v>
      </c>
      <c r="K986" t="s">
        <v>6798</v>
      </c>
      <c r="L986" t="s">
        <v>6799</v>
      </c>
      <c r="M986" t="s">
        <v>36</v>
      </c>
      <c r="N986" t="s">
        <v>25</v>
      </c>
      <c r="O986" t="s">
        <v>382</v>
      </c>
      <c r="P986" t="s">
        <v>38</v>
      </c>
      <c r="Q986" t="s">
        <v>87</v>
      </c>
      <c r="R986" t="s">
        <v>6800</v>
      </c>
      <c r="S986" t="s">
        <v>59</v>
      </c>
      <c r="T986" t="s">
        <v>277</v>
      </c>
      <c r="U986" t="s">
        <v>6801</v>
      </c>
      <c r="V986" s="3">
        <v>2510.86</v>
      </c>
      <c r="W986" s="4">
        <v>10</v>
      </c>
      <c r="X986" s="2">
        <v>0</v>
      </c>
      <c r="Y986" s="3">
        <v>325.38</v>
      </c>
      <c r="Z986" t="str">
        <f t="shared" si="182"/>
        <v>Normal</v>
      </c>
      <c r="AA986" t="str">
        <f t="shared" si="183"/>
        <v>Low</v>
      </c>
      <c r="AB986" t="str">
        <f t="shared" si="187"/>
        <v>Low Profit</v>
      </c>
      <c r="AC986" s="3">
        <f t="shared" si="188"/>
        <v>0.12958906510120038</v>
      </c>
      <c r="AD986" s="3">
        <f t="shared" si="189"/>
        <v>251.08600000000001</v>
      </c>
      <c r="AE986" s="3">
        <f t="shared" si="190"/>
        <v>32.537999999999997</v>
      </c>
      <c r="AF986" t="str">
        <f t="shared" si="191"/>
        <v>Regular</v>
      </c>
    </row>
    <row r="987" spans="1:32" x14ac:dyDescent="0.25">
      <c r="A987" t="s">
        <v>608</v>
      </c>
      <c r="B987" s="1">
        <v>45408</v>
      </c>
      <c r="C987" s="1">
        <v>45414</v>
      </c>
      <c r="D987" s="4">
        <f t="shared" si="180"/>
        <v>6</v>
      </c>
      <c r="E987" s="4" t="str">
        <f>TEXT(Table1[[#This Row],[Order_Date]],"dddd")</f>
        <v>Friday</v>
      </c>
      <c r="F987" s="4">
        <f t="shared" si="181"/>
        <v>4</v>
      </c>
      <c r="G987" t="str">
        <f t="shared" si="184"/>
        <v>April</v>
      </c>
      <c r="H987">
        <f t="shared" si="185"/>
        <v>2024</v>
      </c>
      <c r="I987" t="str">
        <f t="shared" si="186"/>
        <v>2024-Q2</v>
      </c>
      <c r="J987" t="s">
        <v>44</v>
      </c>
      <c r="K987" t="s">
        <v>609</v>
      </c>
      <c r="L987" t="s">
        <v>610</v>
      </c>
      <c r="M987" t="s">
        <v>24</v>
      </c>
      <c r="N987" t="s">
        <v>25</v>
      </c>
      <c r="O987" t="s">
        <v>611</v>
      </c>
      <c r="P987" t="s">
        <v>74</v>
      </c>
      <c r="Q987" t="s">
        <v>87</v>
      </c>
      <c r="R987" t="s">
        <v>612</v>
      </c>
      <c r="S987" t="s">
        <v>59</v>
      </c>
      <c r="T987" t="s">
        <v>101</v>
      </c>
      <c r="U987" t="s">
        <v>613</v>
      </c>
      <c r="V987" s="3">
        <v>348.39</v>
      </c>
      <c r="W987" s="4">
        <v>9</v>
      </c>
      <c r="X987" s="2">
        <v>0</v>
      </c>
      <c r="Y987" s="3">
        <v>-37.6</v>
      </c>
      <c r="Z987" t="str">
        <f t="shared" si="182"/>
        <v>Normal</v>
      </c>
      <c r="AA987" t="str">
        <f t="shared" si="183"/>
        <v>Low</v>
      </c>
      <c r="AB987" t="str">
        <f t="shared" si="187"/>
        <v>Loss</v>
      </c>
      <c r="AC987" s="3">
        <f t="shared" si="188"/>
        <v>-0.10792502655070468</v>
      </c>
      <c r="AD987" s="3">
        <f t="shared" si="189"/>
        <v>38.71</v>
      </c>
      <c r="AE987" s="3">
        <f t="shared" si="190"/>
        <v>-4.177777777777778</v>
      </c>
      <c r="AF987" t="str">
        <f t="shared" si="191"/>
        <v>Regular</v>
      </c>
    </row>
    <row r="988" spans="1:32" x14ac:dyDescent="0.25">
      <c r="A988" t="s">
        <v>1926</v>
      </c>
      <c r="B988" s="1">
        <v>45409</v>
      </c>
      <c r="C988" s="1">
        <v>45417</v>
      </c>
      <c r="D988" s="4">
        <f t="shared" si="180"/>
        <v>8</v>
      </c>
      <c r="E988" s="4" t="str">
        <f>TEXT(Table1[[#This Row],[Order_Date]],"dddd")</f>
        <v>Saturday</v>
      </c>
      <c r="F988" s="4">
        <f t="shared" si="181"/>
        <v>4</v>
      </c>
      <c r="G988" t="str">
        <f t="shared" si="184"/>
        <v>April</v>
      </c>
      <c r="H988">
        <f t="shared" si="185"/>
        <v>2024</v>
      </c>
      <c r="I988" t="str">
        <f t="shared" si="186"/>
        <v>2024-Q2</v>
      </c>
      <c r="J988" t="s">
        <v>55</v>
      </c>
      <c r="K988" t="s">
        <v>1927</v>
      </c>
      <c r="L988" t="s">
        <v>1928</v>
      </c>
      <c r="M988" t="s">
        <v>24</v>
      </c>
      <c r="N988" t="s">
        <v>25</v>
      </c>
      <c r="O988" t="s">
        <v>255</v>
      </c>
      <c r="P988" t="s">
        <v>143</v>
      </c>
      <c r="Q988" t="s">
        <v>39</v>
      </c>
      <c r="R988" t="s">
        <v>1929</v>
      </c>
      <c r="S988" t="s">
        <v>30</v>
      </c>
      <c r="T988" t="s">
        <v>41</v>
      </c>
      <c r="U988" t="s">
        <v>1930</v>
      </c>
      <c r="V988" s="3">
        <v>2488.02</v>
      </c>
      <c r="W988" s="4">
        <v>4</v>
      </c>
      <c r="X988" s="2">
        <v>0.2</v>
      </c>
      <c r="Y988" s="3">
        <v>39.21</v>
      </c>
      <c r="Z988" t="str">
        <f t="shared" si="182"/>
        <v>Normal</v>
      </c>
      <c r="AA988" t="str">
        <f t="shared" si="183"/>
        <v>High</v>
      </c>
      <c r="AB988" t="str">
        <f t="shared" si="187"/>
        <v>Low Profit</v>
      </c>
      <c r="AC988" s="3">
        <f t="shared" si="188"/>
        <v>1.5759519618009501E-2</v>
      </c>
      <c r="AD988" s="3">
        <f t="shared" si="189"/>
        <v>622.005</v>
      </c>
      <c r="AE988" s="3">
        <f t="shared" si="190"/>
        <v>9.8025000000000002</v>
      </c>
      <c r="AF988" t="str">
        <f t="shared" si="191"/>
        <v>Regular</v>
      </c>
    </row>
    <row r="989" spans="1:32" x14ac:dyDescent="0.25">
      <c r="A989" t="s">
        <v>1971</v>
      </c>
      <c r="B989" s="1">
        <v>45409</v>
      </c>
      <c r="C989" s="1">
        <v>45410</v>
      </c>
      <c r="D989" s="4">
        <f t="shared" si="180"/>
        <v>1</v>
      </c>
      <c r="E989" s="4" t="str">
        <f>TEXT(Table1[[#This Row],[Order_Date]],"dddd")</f>
        <v>Saturday</v>
      </c>
      <c r="F989" s="4">
        <f t="shared" si="181"/>
        <v>4</v>
      </c>
      <c r="G989" t="str">
        <f t="shared" si="184"/>
        <v>April</v>
      </c>
      <c r="H989">
        <f t="shared" si="185"/>
        <v>2024</v>
      </c>
      <c r="I989" t="str">
        <f t="shared" si="186"/>
        <v>2024-Q2</v>
      </c>
      <c r="J989" t="s">
        <v>55</v>
      </c>
      <c r="K989" t="s">
        <v>1972</v>
      </c>
      <c r="L989" t="s">
        <v>1973</v>
      </c>
      <c r="M989" t="s">
        <v>24</v>
      </c>
      <c r="N989" t="s">
        <v>25</v>
      </c>
      <c r="O989" t="s">
        <v>119</v>
      </c>
      <c r="P989" t="s">
        <v>120</v>
      </c>
      <c r="Q989" t="s">
        <v>87</v>
      </c>
      <c r="R989" t="s">
        <v>1974</v>
      </c>
      <c r="S989" t="s">
        <v>59</v>
      </c>
      <c r="T989" t="s">
        <v>60</v>
      </c>
      <c r="U989" t="s">
        <v>1975</v>
      </c>
      <c r="V989" s="3">
        <v>581.09</v>
      </c>
      <c r="W989" s="4">
        <v>1</v>
      </c>
      <c r="X989" s="2">
        <v>0.1</v>
      </c>
      <c r="Y989" s="3">
        <v>82.64</v>
      </c>
      <c r="Z989" t="str">
        <f t="shared" si="182"/>
        <v>Normal</v>
      </c>
      <c r="AA989" t="str">
        <f t="shared" si="183"/>
        <v>Medium</v>
      </c>
      <c r="AB989" t="str">
        <f t="shared" si="187"/>
        <v>Low Profit</v>
      </c>
      <c r="AC989" s="3">
        <f t="shared" si="188"/>
        <v>0.1422154915761758</v>
      </c>
      <c r="AD989" s="3">
        <f t="shared" si="189"/>
        <v>581.09</v>
      </c>
      <c r="AE989" s="3">
        <f t="shared" si="190"/>
        <v>82.64</v>
      </c>
      <c r="AF989" t="str">
        <f t="shared" si="191"/>
        <v>Regular</v>
      </c>
    </row>
    <row r="990" spans="1:32" x14ac:dyDescent="0.25">
      <c r="A990" t="s">
        <v>3509</v>
      </c>
      <c r="B990" s="1">
        <v>45409</v>
      </c>
      <c r="C990" s="1">
        <v>45417</v>
      </c>
      <c r="D990" s="4">
        <f t="shared" si="180"/>
        <v>8</v>
      </c>
      <c r="E990" s="4" t="str">
        <f>TEXT(Table1[[#This Row],[Order_Date]],"dddd")</f>
        <v>Saturday</v>
      </c>
      <c r="F990" s="4">
        <f t="shared" si="181"/>
        <v>4</v>
      </c>
      <c r="G990" t="str">
        <f t="shared" si="184"/>
        <v>April</v>
      </c>
      <c r="H990">
        <f t="shared" si="185"/>
        <v>2024</v>
      </c>
      <c r="I990" t="str">
        <f t="shared" si="186"/>
        <v>2024-Q2</v>
      </c>
      <c r="J990" t="s">
        <v>55</v>
      </c>
      <c r="K990" t="s">
        <v>3510</v>
      </c>
      <c r="L990" t="s">
        <v>3511</v>
      </c>
      <c r="M990" t="s">
        <v>47</v>
      </c>
      <c r="N990" t="s">
        <v>25</v>
      </c>
      <c r="O990" t="s">
        <v>48</v>
      </c>
      <c r="P990" t="s">
        <v>49</v>
      </c>
      <c r="Q990" t="s">
        <v>87</v>
      </c>
      <c r="R990" t="s">
        <v>3512</v>
      </c>
      <c r="S990" t="s">
        <v>51</v>
      </c>
      <c r="T990" t="s">
        <v>94</v>
      </c>
      <c r="U990" t="s">
        <v>3513</v>
      </c>
      <c r="V990" s="3">
        <v>4272.8999999999996</v>
      </c>
      <c r="W990" s="4">
        <v>3</v>
      </c>
      <c r="X990" s="2">
        <v>0.3</v>
      </c>
      <c r="Y990" s="3">
        <v>-135.65</v>
      </c>
      <c r="Z990" t="str">
        <f t="shared" si="182"/>
        <v>Normal</v>
      </c>
      <c r="AA990" t="str">
        <f t="shared" si="183"/>
        <v>High</v>
      </c>
      <c r="AB990" t="str">
        <f t="shared" si="187"/>
        <v>Loss</v>
      </c>
      <c r="AC990" s="3">
        <f t="shared" si="188"/>
        <v>-3.1746588967680033E-2</v>
      </c>
      <c r="AD990" s="3">
        <f t="shared" si="189"/>
        <v>1424.3</v>
      </c>
      <c r="AE990" s="3">
        <f t="shared" si="190"/>
        <v>-45.216666666666669</v>
      </c>
      <c r="AF990" t="str">
        <f t="shared" si="191"/>
        <v>Regular</v>
      </c>
    </row>
    <row r="991" spans="1:32" x14ac:dyDescent="0.25">
      <c r="A991" t="s">
        <v>1578</v>
      </c>
      <c r="B991" s="1">
        <v>45410</v>
      </c>
      <c r="C991" s="1">
        <v>45414</v>
      </c>
      <c r="D991" s="4">
        <f t="shared" si="180"/>
        <v>4</v>
      </c>
      <c r="E991" s="4" t="str">
        <f>TEXT(Table1[[#This Row],[Order_Date]],"dddd")</f>
        <v>Sunday</v>
      </c>
      <c r="F991" s="4">
        <f t="shared" si="181"/>
        <v>4</v>
      </c>
      <c r="G991" t="str">
        <f t="shared" si="184"/>
        <v>April</v>
      </c>
      <c r="H991">
        <f t="shared" si="185"/>
        <v>2024</v>
      </c>
      <c r="I991" t="str">
        <f t="shared" si="186"/>
        <v>2024-Q2</v>
      </c>
      <c r="J991" t="s">
        <v>55</v>
      </c>
      <c r="K991" t="s">
        <v>1579</v>
      </c>
      <c r="L991" t="s">
        <v>1580</v>
      </c>
      <c r="M991" t="s">
        <v>47</v>
      </c>
      <c r="N991" t="s">
        <v>25</v>
      </c>
      <c r="O991" t="s">
        <v>233</v>
      </c>
      <c r="P991" t="s">
        <v>163</v>
      </c>
      <c r="Q991" t="s">
        <v>66</v>
      </c>
      <c r="R991" t="s">
        <v>1581</v>
      </c>
      <c r="S991" t="s">
        <v>30</v>
      </c>
      <c r="T991" t="s">
        <v>31</v>
      </c>
      <c r="U991" t="s">
        <v>1582</v>
      </c>
      <c r="V991" s="3">
        <v>4437.1000000000004</v>
      </c>
      <c r="W991" s="4">
        <v>3</v>
      </c>
      <c r="X991" s="2">
        <v>0.4</v>
      </c>
      <c r="Y991" s="3">
        <v>-620.41</v>
      </c>
      <c r="Z991" t="str">
        <f t="shared" si="182"/>
        <v>Normal</v>
      </c>
      <c r="AA991" t="str">
        <f t="shared" si="183"/>
        <v>High</v>
      </c>
      <c r="AB991" t="str">
        <f t="shared" si="187"/>
        <v>Loss</v>
      </c>
      <c r="AC991" s="3">
        <f t="shared" si="188"/>
        <v>-0.13982330801649726</v>
      </c>
      <c r="AD991" s="3">
        <f t="shared" si="189"/>
        <v>1479.0333333333335</v>
      </c>
      <c r="AE991" s="3">
        <f t="shared" si="190"/>
        <v>-206.80333333333331</v>
      </c>
      <c r="AF991" t="str">
        <f t="shared" si="191"/>
        <v>Regular</v>
      </c>
    </row>
    <row r="992" spans="1:32" x14ac:dyDescent="0.25">
      <c r="A992" t="s">
        <v>2098</v>
      </c>
      <c r="B992" s="1">
        <v>45411</v>
      </c>
      <c r="C992" s="1">
        <v>45419</v>
      </c>
      <c r="D992" s="4">
        <f t="shared" si="180"/>
        <v>8</v>
      </c>
      <c r="E992" s="4" t="str">
        <f>TEXT(Table1[[#This Row],[Order_Date]],"dddd")</f>
        <v>Monday</v>
      </c>
      <c r="F992" s="4">
        <f t="shared" si="181"/>
        <v>4</v>
      </c>
      <c r="G992" t="str">
        <f t="shared" si="184"/>
        <v>April</v>
      </c>
      <c r="H992">
        <f t="shared" si="185"/>
        <v>2024</v>
      </c>
      <c r="I992" t="str">
        <f t="shared" si="186"/>
        <v>2024-Q2</v>
      </c>
      <c r="J992" t="s">
        <v>104</v>
      </c>
      <c r="K992" t="s">
        <v>2099</v>
      </c>
      <c r="L992" t="s">
        <v>2100</v>
      </c>
      <c r="M992" t="s">
        <v>24</v>
      </c>
      <c r="N992" t="s">
        <v>25</v>
      </c>
      <c r="O992" t="s">
        <v>511</v>
      </c>
      <c r="P992" t="s">
        <v>120</v>
      </c>
      <c r="Q992" t="s">
        <v>87</v>
      </c>
      <c r="R992" t="s">
        <v>2101</v>
      </c>
      <c r="S992" t="s">
        <v>59</v>
      </c>
      <c r="T992" t="s">
        <v>101</v>
      </c>
      <c r="U992" t="s">
        <v>2102</v>
      </c>
      <c r="V992" s="3">
        <v>3147.82</v>
      </c>
      <c r="W992" s="4">
        <v>4</v>
      </c>
      <c r="X992" s="2">
        <v>0.2</v>
      </c>
      <c r="Y992" s="3">
        <v>-182.28</v>
      </c>
      <c r="Z992" t="str">
        <f t="shared" si="182"/>
        <v>Normal</v>
      </c>
      <c r="AA992" t="str">
        <f t="shared" si="183"/>
        <v>High</v>
      </c>
      <c r="AB992" t="str">
        <f t="shared" si="187"/>
        <v>Loss</v>
      </c>
      <c r="AC992" s="3">
        <f t="shared" si="188"/>
        <v>-5.7906741808616755E-2</v>
      </c>
      <c r="AD992" s="3">
        <f t="shared" si="189"/>
        <v>786.95500000000004</v>
      </c>
      <c r="AE992" s="3">
        <f t="shared" si="190"/>
        <v>-45.57</v>
      </c>
      <c r="AF992" t="str">
        <f t="shared" si="191"/>
        <v>Regular</v>
      </c>
    </row>
    <row r="993" spans="1:32" x14ac:dyDescent="0.25">
      <c r="A993" t="s">
        <v>2468</v>
      </c>
      <c r="B993" s="1">
        <v>45411</v>
      </c>
      <c r="C993" s="1">
        <v>45412</v>
      </c>
      <c r="D993" s="4">
        <f t="shared" si="180"/>
        <v>1</v>
      </c>
      <c r="E993" s="4" t="str">
        <f>TEXT(Table1[[#This Row],[Order_Date]],"dddd")</f>
        <v>Monday</v>
      </c>
      <c r="F993" s="4">
        <f t="shared" si="181"/>
        <v>4</v>
      </c>
      <c r="G993" t="str">
        <f t="shared" si="184"/>
        <v>April</v>
      </c>
      <c r="H993">
        <f t="shared" si="185"/>
        <v>2024</v>
      </c>
      <c r="I993" t="str">
        <f t="shared" si="186"/>
        <v>2024-Q2</v>
      </c>
      <c r="J993" t="s">
        <v>104</v>
      </c>
      <c r="K993" t="s">
        <v>2469</v>
      </c>
      <c r="L993" t="s">
        <v>2470</v>
      </c>
      <c r="M993" t="s">
        <v>36</v>
      </c>
      <c r="N993" t="s">
        <v>25</v>
      </c>
      <c r="O993" t="s">
        <v>511</v>
      </c>
      <c r="P993" t="s">
        <v>120</v>
      </c>
      <c r="Q993" t="s">
        <v>66</v>
      </c>
      <c r="R993" t="s">
        <v>2471</v>
      </c>
      <c r="S993" t="s">
        <v>59</v>
      </c>
      <c r="T993" t="s">
        <v>277</v>
      </c>
      <c r="U993" t="s">
        <v>2472</v>
      </c>
      <c r="V993" s="3">
        <v>4882.7</v>
      </c>
      <c r="W993" s="4">
        <v>4</v>
      </c>
      <c r="X993" s="2">
        <v>0.3</v>
      </c>
      <c r="Y993" s="3">
        <v>-319.49</v>
      </c>
      <c r="Z993" t="str">
        <f t="shared" si="182"/>
        <v>Normal</v>
      </c>
      <c r="AA993" t="str">
        <f t="shared" si="183"/>
        <v>High</v>
      </c>
      <c r="AB993" t="str">
        <f t="shared" si="187"/>
        <v>Loss</v>
      </c>
      <c r="AC993" s="3">
        <f t="shared" si="188"/>
        <v>-6.5433059577692673E-2</v>
      </c>
      <c r="AD993" s="3">
        <f t="shared" si="189"/>
        <v>1220.675</v>
      </c>
      <c r="AE993" s="3">
        <f t="shared" si="190"/>
        <v>-79.872500000000002</v>
      </c>
      <c r="AF993" t="str">
        <f t="shared" si="191"/>
        <v>Regular</v>
      </c>
    </row>
    <row r="994" spans="1:32" x14ac:dyDescent="0.25">
      <c r="A994" t="s">
        <v>70</v>
      </c>
      <c r="B994" s="1">
        <v>45412</v>
      </c>
      <c r="C994" s="1">
        <v>45414</v>
      </c>
      <c r="D994" s="4">
        <f t="shared" si="180"/>
        <v>2</v>
      </c>
      <c r="E994" s="4" t="str">
        <f>TEXT(Table1[[#This Row],[Order_Date]],"dddd")</f>
        <v>Tuesday</v>
      </c>
      <c r="F994" s="4">
        <f t="shared" si="181"/>
        <v>4</v>
      </c>
      <c r="G994" t="str">
        <f t="shared" si="184"/>
        <v>April</v>
      </c>
      <c r="H994">
        <f t="shared" si="185"/>
        <v>2024</v>
      </c>
      <c r="I994" t="str">
        <f t="shared" si="186"/>
        <v>2024-Q2</v>
      </c>
      <c r="J994" t="s">
        <v>55</v>
      </c>
      <c r="K994" t="s">
        <v>71</v>
      </c>
      <c r="L994" t="s">
        <v>72</v>
      </c>
      <c r="M994" t="s">
        <v>24</v>
      </c>
      <c r="N994" t="s">
        <v>25</v>
      </c>
      <c r="O994" t="s">
        <v>73</v>
      </c>
      <c r="P994" t="s">
        <v>74</v>
      </c>
      <c r="Q994" t="s">
        <v>28</v>
      </c>
      <c r="R994" t="s">
        <v>75</v>
      </c>
      <c r="S994" t="s">
        <v>30</v>
      </c>
      <c r="T994" t="s">
        <v>68</v>
      </c>
      <c r="U994" t="s">
        <v>76</v>
      </c>
      <c r="V994" s="3">
        <v>830.23</v>
      </c>
      <c r="W994" s="4">
        <v>8</v>
      </c>
      <c r="X994" s="2">
        <v>0.2</v>
      </c>
      <c r="Y994" s="3">
        <v>2.7</v>
      </c>
      <c r="Z994" t="str">
        <f t="shared" si="182"/>
        <v>Normal</v>
      </c>
      <c r="AA994" t="str">
        <f t="shared" si="183"/>
        <v>High</v>
      </c>
      <c r="AB994" t="str">
        <f t="shared" si="187"/>
        <v>Low Profit</v>
      </c>
      <c r="AC994" s="3">
        <f t="shared" si="188"/>
        <v>3.2521108608457899E-3</v>
      </c>
      <c r="AD994" s="3">
        <f t="shared" si="189"/>
        <v>103.77875</v>
      </c>
      <c r="AE994" s="3">
        <f t="shared" si="190"/>
        <v>0.33750000000000002</v>
      </c>
      <c r="AF994" t="str">
        <f t="shared" si="191"/>
        <v>Regular</v>
      </c>
    </row>
    <row r="995" spans="1:32" x14ac:dyDescent="0.25">
      <c r="A995" t="s">
        <v>2805</v>
      </c>
      <c r="B995" s="1">
        <v>45412</v>
      </c>
      <c r="C995" s="1">
        <v>45415</v>
      </c>
      <c r="D995" s="4">
        <f t="shared" si="180"/>
        <v>3</v>
      </c>
      <c r="E995" s="4" t="str">
        <f>TEXT(Table1[[#This Row],[Order_Date]],"dddd")</f>
        <v>Tuesday</v>
      </c>
      <c r="F995" s="4">
        <f t="shared" si="181"/>
        <v>4</v>
      </c>
      <c r="G995" t="str">
        <f t="shared" si="184"/>
        <v>April</v>
      </c>
      <c r="H995">
        <f t="shared" si="185"/>
        <v>2024</v>
      </c>
      <c r="I995" t="str">
        <f t="shared" si="186"/>
        <v>2024-Q2</v>
      </c>
      <c r="J995" t="s">
        <v>21</v>
      </c>
      <c r="K995" t="s">
        <v>2806</v>
      </c>
      <c r="L995" t="s">
        <v>2807</v>
      </c>
      <c r="M995" t="s">
        <v>47</v>
      </c>
      <c r="N995" t="s">
        <v>25</v>
      </c>
      <c r="O995" t="s">
        <v>162</v>
      </c>
      <c r="P995" t="s">
        <v>163</v>
      </c>
      <c r="Q995" t="s">
        <v>39</v>
      </c>
      <c r="R995" t="s">
        <v>2808</v>
      </c>
      <c r="S995" t="s">
        <v>51</v>
      </c>
      <c r="T995" t="s">
        <v>127</v>
      </c>
      <c r="U995" t="s">
        <v>2809</v>
      </c>
      <c r="V995" s="3">
        <v>2300.81</v>
      </c>
      <c r="W995" s="4">
        <v>6</v>
      </c>
      <c r="X995" s="2">
        <v>0.1</v>
      </c>
      <c r="Y995" s="3">
        <v>-167.12</v>
      </c>
      <c r="Z995" t="str">
        <f t="shared" si="182"/>
        <v>Normal</v>
      </c>
      <c r="AA995" t="str">
        <f t="shared" si="183"/>
        <v>Medium</v>
      </c>
      <c r="AB995" t="str">
        <f t="shared" si="187"/>
        <v>Loss</v>
      </c>
      <c r="AC995" s="3">
        <f t="shared" si="188"/>
        <v>-7.2635289311155635E-2</v>
      </c>
      <c r="AD995" s="3">
        <f t="shared" si="189"/>
        <v>383.46833333333331</v>
      </c>
      <c r="AE995" s="3">
        <f t="shared" si="190"/>
        <v>-27.853333333333335</v>
      </c>
      <c r="AF995" t="str">
        <f t="shared" si="191"/>
        <v>Regular</v>
      </c>
    </row>
    <row r="996" spans="1:32" x14ac:dyDescent="0.25">
      <c r="A996" t="s">
        <v>6115</v>
      </c>
      <c r="B996" s="1">
        <v>45412</v>
      </c>
      <c r="C996" s="1">
        <v>45417</v>
      </c>
      <c r="D996" s="4">
        <f t="shared" si="180"/>
        <v>5</v>
      </c>
      <c r="E996" s="4" t="str">
        <f>TEXT(Table1[[#This Row],[Order_Date]],"dddd")</f>
        <v>Tuesday</v>
      </c>
      <c r="F996" s="4">
        <f t="shared" si="181"/>
        <v>4</v>
      </c>
      <c r="G996" t="str">
        <f t="shared" si="184"/>
        <v>April</v>
      </c>
      <c r="H996">
        <f t="shared" si="185"/>
        <v>2024</v>
      </c>
      <c r="I996" t="str">
        <f t="shared" si="186"/>
        <v>2024-Q2</v>
      </c>
      <c r="J996" t="s">
        <v>55</v>
      </c>
      <c r="K996" t="s">
        <v>6116</v>
      </c>
      <c r="L996" t="s">
        <v>4703</v>
      </c>
      <c r="M996" t="s">
        <v>47</v>
      </c>
      <c r="N996" t="s">
        <v>25</v>
      </c>
      <c r="O996" t="s">
        <v>244</v>
      </c>
      <c r="P996" t="s">
        <v>163</v>
      </c>
      <c r="Q996" t="s">
        <v>66</v>
      </c>
      <c r="R996" t="s">
        <v>6117</v>
      </c>
      <c r="S996" t="s">
        <v>59</v>
      </c>
      <c r="T996" t="s">
        <v>303</v>
      </c>
      <c r="U996" t="s">
        <v>6118</v>
      </c>
      <c r="V996" s="3">
        <v>3975.06</v>
      </c>
      <c r="W996" s="4">
        <v>1</v>
      </c>
      <c r="X996" s="2">
        <v>0.1</v>
      </c>
      <c r="Y996" s="3">
        <v>-597.41</v>
      </c>
      <c r="Z996" t="str">
        <f t="shared" si="182"/>
        <v>Normal</v>
      </c>
      <c r="AA996" t="str">
        <f t="shared" si="183"/>
        <v>Medium</v>
      </c>
      <c r="AB996" t="str">
        <f t="shared" si="187"/>
        <v>Loss</v>
      </c>
      <c r="AC996" s="3">
        <f t="shared" si="188"/>
        <v>-0.15028955537778046</v>
      </c>
      <c r="AD996" s="3">
        <f t="shared" si="189"/>
        <v>3975.06</v>
      </c>
      <c r="AE996" s="3">
        <f t="shared" si="190"/>
        <v>-597.41</v>
      </c>
      <c r="AF996" t="str">
        <f t="shared" si="191"/>
        <v>Regular</v>
      </c>
    </row>
    <row r="997" spans="1:32" x14ac:dyDescent="0.25">
      <c r="A997" t="s">
        <v>5322</v>
      </c>
      <c r="B997" s="1">
        <v>45413</v>
      </c>
      <c r="C997" s="1">
        <v>45421</v>
      </c>
      <c r="D997" s="4">
        <f t="shared" si="180"/>
        <v>8</v>
      </c>
      <c r="E997" s="4" t="str">
        <f>TEXT(Table1[[#This Row],[Order_Date]],"dddd")</f>
        <v>Wednesday</v>
      </c>
      <c r="F997" s="4">
        <f t="shared" si="181"/>
        <v>5</v>
      </c>
      <c r="G997" t="str">
        <f t="shared" si="184"/>
        <v>May</v>
      </c>
      <c r="H997">
        <f t="shared" si="185"/>
        <v>2024</v>
      </c>
      <c r="I997" t="str">
        <f t="shared" si="186"/>
        <v>2024-Q2</v>
      </c>
      <c r="J997" t="s">
        <v>104</v>
      </c>
      <c r="K997" t="s">
        <v>5323</v>
      </c>
      <c r="L997" t="s">
        <v>5324</v>
      </c>
      <c r="M997" t="s">
        <v>24</v>
      </c>
      <c r="N997" t="s">
        <v>25</v>
      </c>
      <c r="O997" t="s">
        <v>201</v>
      </c>
      <c r="P997" t="s">
        <v>113</v>
      </c>
      <c r="Q997" t="s">
        <v>28</v>
      </c>
      <c r="R997" t="s">
        <v>5325</v>
      </c>
      <c r="S997" t="s">
        <v>59</v>
      </c>
      <c r="T997" t="s">
        <v>101</v>
      </c>
      <c r="U997" t="s">
        <v>5326</v>
      </c>
      <c r="V997" s="3">
        <v>2735.06</v>
      </c>
      <c r="W997" s="4">
        <v>1</v>
      </c>
      <c r="X997" s="2">
        <v>0</v>
      </c>
      <c r="Y997" s="3">
        <v>-131.02000000000001</v>
      </c>
      <c r="Z997" t="str">
        <f t="shared" si="182"/>
        <v>Normal</v>
      </c>
      <c r="AA997" t="str">
        <f t="shared" si="183"/>
        <v>Low</v>
      </c>
      <c r="AB997" t="str">
        <f t="shared" si="187"/>
        <v>Loss</v>
      </c>
      <c r="AC997" s="3">
        <f t="shared" si="188"/>
        <v>-4.7903885106725268E-2</v>
      </c>
      <c r="AD997" s="3">
        <f t="shared" si="189"/>
        <v>2735.06</v>
      </c>
      <c r="AE997" s="3">
        <f t="shared" si="190"/>
        <v>-131.02000000000001</v>
      </c>
      <c r="AF997" t="str">
        <f t="shared" si="191"/>
        <v>Regular</v>
      </c>
    </row>
    <row r="998" spans="1:32" x14ac:dyDescent="0.25">
      <c r="A998" t="s">
        <v>1156</v>
      </c>
      <c r="B998" s="1">
        <v>45413</v>
      </c>
      <c r="C998" s="1">
        <v>45416</v>
      </c>
      <c r="D998" s="4">
        <f t="shared" si="180"/>
        <v>3</v>
      </c>
      <c r="E998" s="4" t="str">
        <f>TEXT(Table1[[#This Row],[Order_Date]],"dddd")</f>
        <v>Wednesday</v>
      </c>
      <c r="F998" s="4">
        <f t="shared" si="181"/>
        <v>5</v>
      </c>
      <c r="G998" t="str">
        <f t="shared" si="184"/>
        <v>May</v>
      </c>
      <c r="H998">
        <f t="shared" si="185"/>
        <v>2024</v>
      </c>
      <c r="I998" t="str">
        <f t="shared" si="186"/>
        <v>2024-Q2</v>
      </c>
      <c r="J998" t="s">
        <v>21</v>
      </c>
      <c r="K998" t="s">
        <v>1157</v>
      </c>
      <c r="L998" t="s">
        <v>1158</v>
      </c>
      <c r="M998" t="s">
        <v>47</v>
      </c>
      <c r="N998" t="s">
        <v>25</v>
      </c>
      <c r="O998" t="s">
        <v>99</v>
      </c>
      <c r="P998" t="s">
        <v>74</v>
      </c>
      <c r="Q998" t="s">
        <v>39</v>
      </c>
      <c r="R998" t="s">
        <v>1159</v>
      </c>
      <c r="S998" t="s">
        <v>30</v>
      </c>
      <c r="T998" t="s">
        <v>82</v>
      </c>
      <c r="U998" t="s">
        <v>1160</v>
      </c>
      <c r="V998" s="3">
        <v>3055.9</v>
      </c>
      <c r="W998" s="4">
        <v>3</v>
      </c>
      <c r="X998" s="2">
        <v>0.3</v>
      </c>
      <c r="Y998" s="3">
        <v>70.569999999999993</v>
      </c>
      <c r="Z998" t="str">
        <f t="shared" si="182"/>
        <v>Normal</v>
      </c>
      <c r="AA998" t="str">
        <f t="shared" si="183"/>
        <v>High</v>
      </c>
      <c r="AB998" t="str">
        <f t="shared" si="187"/>
        <v>Low Profit</v>
      </c>
      <c r="AC998" s="3">
        <f t="shared" si="188"/>
        <v>2.3093033148990475E-2</v>
      </c>
      <c r="AD998" s="3">
        <f t="shared" si="189"/>
        <v>1018.6333333333333</v>
      </c>
      <c r="AE998" s="3">
        <f t="shared" si="190"/>
        <v>23.52333333333333</v>
      </c>
      <c r="AF998" t="str">
        <f t="shared" si="191"/>
        <v>Regular</v>
      </c>
    </row>
    <row r="999" spans="1:32" x14ac:dyDescent="0.25">
      <c r="A999" t="s">
        <v>5317</v>
      </c>
      <c r="B999" s="1">
        <v>45413</v>
      </c>
      <c r="C999" s="1">
        <v>45417</v>
      </c>
      <c r="D999" s="4">
        <f t="shared" si="180"/>
        <v>4</v>
      </c>
      <c r="E999" s="4" t="str">
        <f>TEXT(Table1[[#This Row],[Order_Date]],"dddd")</f>
        <v>Wednesday</v>
      </c>
      <c r="F999" s="4">
        <f t="shared" si="181"/>
        <v>5</v>
      </c>
      <c r="G999" t="str">
        <f t="shared" si="184"/>
        <v>May</v>
      </c>
      <c r="H999">
        <f t="shared" si="185"/>
        <v>2024</v>
      </c>
      <c r="I999" t="str">
        <f t="shared" si="186"/>
        <v>2024-Q2</v>
      </c>
      <c r="J999" t="s">
        <v>55</v>
      </c>
      <c r="K999" t="s">
        <v>5318</v>
      </c>
      <c r="L999" t="s">
        <v>5319</v>
      </c>
      <c r="M999" t="s">
        <v>36</v>
      </c>
      <c r="N999" t="s">
        <v>25</v>
      </c>
      <c r="O999" t="s">
        <v>611</v>
      </c>
      <c r="P999" t="s">
        <v>74</v>
      </c>
      <c r="Q999" t="s">
        <v>87</v>
      </c>
      <c r="R999" t="s">
        <v>5320</v>
      </c>
      <c r="S999" t="s">
        <v>30</v>
      </c>
      <c r="T999" t="s">
        <v>31</v>
      </c>
      <c r="U999" t="s">
        <v>5321</v>
      </c>
      <c r="V999" s="3">
        <v>4088.26</v>
      </c>
      <c r="W999" s="4">
        <v>7</v>
      </c>
      <c r="X999" s="2">
        <v>0.3</v>
      </c>
      <c r="Y999" s="3">
        <v>-71.819999999999993</v>
      </c>
      <c r="Z999" t="str">
        <f t="shared" si="182"/>
        <v>Normal</v>
      </c>
      <c r="AA999" t="str">
        <f t="shared" si="183"/>
        <v>High</v>
      </c>
      <c r="AB999" t="str">
        <f t="shared" si="187"/>
        <v>Loss</v>
      </c>
      <c r="AC999" s="3">
        <f t="shared" si="188"/>
        <v>-1.7567375851829381E-2</v>
      </c>
      <c r="AD999" s="3">
        <f t="shared" si="189"/>
        <v>584.03714285714284</v>
      </c>
      <c r="AE999" s="3">
        <f t="shared" si="190"/>
        <v>-10.26</v>
      </c>
      <c r="AF999" t="str">
        <f t="shared" si="191"/>
        <v>Regular</v>
      </c>
    </row>
    <row r="1000" spans="1:32" x14ac:dyDescent="0.25">
      <c r="A1000" t="s">
        <v>5095</v>
      </c>
      <c r="B1000" s="1">
        <v>45415</v>
      </c>
      <c r="C1000" s="1">
        <v>45420</v>
      </c>
      <c r="D1000" s="4">
        <f t="shared" si="180"/>
        <v>5</v>
      </c>
      <c r="E1000" s="4" t="str">
        <f>TEXT(Table1[[#This Row],[Order_Date]],"dddd")</f>
        <v>Friday</v>
      </c>
      <c r="F1000" s="4">
        <f t="shared" si="181"/>
        <v>5</v>
      </c>
      <c r="G1000" t="str">
        <f t="shared" si="184"/>
        <v>May</v>
      </c>
      <c r="H1000">
        <f t="shared" si="185"/>
        <v>2024</v>
      </c>
      <c r="I1000" t="str">
        <f t="shared" si="186"/>
        <v>2024-Q2</v>
      </c>
      <c r="J1000" t="s">
        <v>21</v>
      </c>
      <c r="K1000" t="s">
        <v>5096</v>
      </c>
      <c r="L1000" t="s">
        <v>5097</v>
      </c>
      <c r="M1000" t="s">
        <v>36</v>
      </c>
      <c r="N1000" t="s">
        <v>25</v>
      </c>
      <c r="O1000" t="s">
        <v>156</v>
      </c>
      <c r="P1000" t="s">
        <v>143</v>
      </c>
      <c r="Q1000" t="s">
        <v>66</v>
      </c>
      <c r="R1000" t="s">
        <v>5098</v>
      </c>
      <c r="S1000" t="s">
        <v>51</v>
      </c>
      <c r="T1000" t="s">
        <v>151</v>
      </c>
      <c r="U1000" t="s">
        <v>5099</v>
      </c>
      <c r="V1000" s="3">
        <v>2489.27</v>
      </c>
      <c r="W1000" s="4">
        <v>5</v>
      </c>
      <c r="X1000" s="2">
        <v>0</v>
      </c>
      <c r="Y1000" s="3">
        <v>-495.34</v>
      </c>
      <c r="Z1000" t="str">
        <f t="shared" si="182"/>
        <v>Normal</v>
      </c>
      <c r="AA1000" t="str">
        <f t="shared" si="183"/>
        <v>Low</v>
      </c>
      <c r="AB1000" t="str">
        <f t="shared" si="187"/>
        <v>Loss</v>
      </c>
      <c r="AC1000" s="3">
        <f t="shared" si="188"/>
        <v>-0.19899006536052738</v>
      </c>
      <c r="AD1000" s="3">
        <f t="shared" si="189"/>
        <v>497.85399999999998</v>
      </c>
      <c r="AE1000" s="3">
        <f t="shared" si="190"/>
        <v>-99.067999999999998</v>
      </c>
      <c r="AF1000" t="str">
        <f t="shared" si="191"/>
        <v>Regular</v>
      </c>
    </row>
    <row r="1001" spans="1:32" x14ac:dyDescent="0.25">
      <c r="A1001" t="s">
        <v>3869</v>
      </c>
      <c r="B1001" s="1">
        <v>45417</v>
      </c>
      <c r="C1001" s="1">
        <v>45423</v>
      </c>
      <c r="D1001" s="4">
        <f t="shared" si="180"/>
        <v>6</v>
      </c>
      <c r="E1001" s="4" t="str">
        <f>TEXT(Table1[[#This Row],[Order_Date]],"dddd")</f>
        <v>Sunday</v>
      </c>
      <c r="F1001" s="4">
        <f t="shared" si="181"/>
        <v>5</v>
      </c>
      <c r="G1001" t="str">
        <f t="shared" si="184"/>
        <v>May</v>
      </c>
      <c r="H1001">
        <f t="shared" si="185"/>
        <v>2024</v>
      </c>
      <c r="I1001" t="str">
        <f t="shared" si="186"/>
        <v>2024-Q2</v>
      </c>
      <c r="J1001" t="s">
        <v>44</v>
      </c>
      <c r="K1001" t="s">
        <v>3870</v>
      </c>
      <c r="L1001" t="s">
        <v>3871</v>
      </c>
      <c r="M1001" t="s">
        <v>36</v>
      </c>
      <c r="N1001" t="s">
        <v>25</v>
      </c>
      <c r="O1001" t="s">
        <v>233</v>
      </c>
      <c r="P1001" t="s">
        <v>163</v>
      </c>
      <c r="Q1001" t="s">
        <v>87</v>
      </c>
      <c r="R1001" t="s">
        <v>3872</v>
      </c>
      <c r="S1001" t="s">
        <v>59</v>
      </c>
      <c r="T1001" t="s">
        <v>303</v>
      </c>
      <c r="U1001" t="s">
        <v>409</v>
      </c>
      <c r="V1001" s="3">
        <v>2829.58</v>
      </c>
      <c r="W1001" s="4">
        <v>10</v>
      </c>
      <c r="X1001" s="2">
        <v>0.1</v>
      </c>
      <c r="Y1001" s="3">
        <v>796.37</v>
      </c>
      <c r="Z1001" t="str">
        <f t="shared" si="182"/>
        <v>Normal</v>
      </c>
      <c r="AA1001" t="str">
        <f t="shared" si="183"/>
        <v>Medium</v>
      </c>
      <c r="AB1001" t="str">
        <f t="shared" si="187"/>
        <v>High Profit</v>
      </c>
      <c r="AC1001" s="3">
        <f t="shared" si="188"/>
        <v>0.28144459601778354</v>
      </c>
      <c r="AD1001" s="3">
        <f t="shared" si="189"/>
        <v>282.95799999999997</v>
      </c>
      <c r="AE1001" s="3">
        <f t="shared" si="190"/>
        <v>79.637</v>
      </c>
      <c r="AF1001" t="str">
        <f t="shared" si="191"/>
        <v>Regular</v>
      </c>
    </row>
    <row r="1002" spans="1:32" x14ac:dyDescent="0.25">
      <c r="A1002" t="s">
        <v>2236</v>
      </c>
      <c r="B1002" s="1">
        <v>45417</v>
      </c>
      <c r="C1002" s="1">
        <v>45419</v>
      </c>
      <c r="D1002" s="4">
        <f t="shared" si="180"/>
        <v>2</v>
      </c>
      <c r="E1002" s="4" t="str">
        <f>TEXT(Table1[[#This Row],[Order_Date]],"dddd")</f>
        <v>Sunday</v>
      </c>
      <c r="F1002" s="4">
        <f t="shared" si="181"/>
        <v>5</v>
      </c>
      <c r="G1002" t="str">
        <f t="shared" si="184"/>
        <v>May</v>
      </c>
      <c r="H1002">
        <f t="shared" si="185"/>
        <v>2024</v>
      </c>
      <c r="I1002" t="str">
        <f t="shared" si="186"/>
        <v>2024-Q2</v>
      </c>
      <c r="J1002" t="s">
        <v>21</v>
      </c>
      <c r="K1002" t="s">
        <v>2237</v>
      </c>
      <c r="L1002" t="s">
        <v>2238</v>
      </c>
      <c r="M1002" t="s">
        <v>36</v>
      </c>
      <c r="N1002" t="s">
        <v>25</v>
      </c>
      <c r="O1002" t="s">
        <v>26</v>
      </c>
      <c r="P1002" t="s">
        <v>27</v>
      </c>
      <c r="Q1002" t="s">
        <v>39</v>
      </c>
      <c r="R1002" t="s">
        <v>2239</v>
      </c>
      <c r="S1002" t="s">
        <v>30</v>
      </c>
      <c r="T1002" t="s">
        <v>31</v>
      </c>
      <c r="U1002" t="s">
        <v>2240</v>
      </c>
      <c r="V1002" s="3">
        <v>26.65</v>
      </c>
      <c r="W1002" s="4">
        <v>6</v>
      </c>
      <c r="X1002" s="2">
        <v>0.3</v>
      </c>
      <c r="Y1002" s="3">
        <v>3.41</v>
      </c>
      <c r="Z1002" t="str">
        <f t="shared" si="182"/>
        <v>Normal</v>
      </c>
      <c r="AA1002" t="str">
        <f t="shared" si="183"/>
        <v>High</v>
      </c>
      <c r="AB1002" t="str">
        <f t="shared" si="187"/>
        <v>Low Profit</v>
      </c>
      <c r="AC1002" s="3">
        <f t="shared" si="188"/>
        <v>0.12795497185741089</v>
      </c>
      <c r="AD1002" s="3">
        <f t="shared" si="189"/>
        <v>4.4416666666666664</v>
      </c>
      <c r="AE1002" s="3">
        <f t="shared" si="190"/>
        <v>0.56833333333333336</v>
      </c>
      <c r="AF1002" t="str">
        <f t="shared" si="191"/>
        <v>Regular</v>
      </c>
    </row>
    <row r="1003" spans="1:32" x14ac:dyDescent="0.25">
      <c r="A1003" t="s">
        <v>1618</v>
      </c>
      <c r="B1003" s="1">
        <v>45417</v>
      </c>
      <c r="C1003" s="1">
        <f>B1003+5</f>
        <v>45422</v>
      </c>
      <c r="D1003" s="4">
        <f t="shared" si="180"/>
        <v>5</v>
      </c>
      <c r="E1003" s="4" t="str">
        <f>TEXT(Table1[[#This Row],[Order_Date]],"dddd")</f>
        <v>Sunday</v>
      </c>
      <c r="F1003" s="4">
        <f t="shared" si="181"/>
        <v>5</v>
      </c>
      <c r="G1003" t="str">
        <f t="shared" si="184"/>
        <v>May</v>
      </c>
      <c r="H1003">
        <f t="shared" si="185"/>
        <v>2024</v>
      </c>
      <c r="I1003" t="str">
        <f t="shared" si="186"/>
        <v>2024-Q2</v>
      </c>
      <c r="J1003" t="s">
        <v>104</v>
      </c>
      <c r="K1003" t="s">
        <v>1619</v>
      </c>
      <c r="L1003" t="s">
        <v>1620</v>
      </c>
      <c r="M1003" t="s">
        <v>36</v>
      </c>
      <c r="N1003" t="s">
        <v>25</v>
      </c>
      <c r="O1003" t="s">
        <v>80</v>
      </c>
      <c r="P1003" t="s">
        <v>49</v>
      </c>
      <c r="Q1003" t="s">
        <v>66</v>
      </c>
      <c r="R1003" t="s">
        <v>1621</v>
      </c>
      <c r="S1003" t="s">
        <v>51</v>
      </c>
      <c r="T1003" t="s">
        <v>108</v>
      </c>
      <c r="U1003" t="s">
        <v>1622</v>
      </c>
      <c r="V1003" s="3">
        <v>4079.17</v>
      </c>
      <c r="W1003" s="4">
        <v>5</v>
      </c>
      <c r="X1003" s="2">
        <v>0.2</v>
      </c>
      <c r="Y1003" s="3">
        <v>160.94</v>
      </c>
      <c r="Z1003" t="str">
        <f t="shared" si="182"/>
        <v>Normal</v>
      </c>
      <c r="AA1003" t="str">
        <f t="shared" si="183"/>
        <v>High</v>
      </c>
      <c r="AB1003" t="str">
        <f t="shared" si="187"/>
        <v>Low Profit</v>
      </c>
      <c r="AC1003" s="3">
        <f t="shared" si="188"/>
        <v>3.9454104634030943E-2</v>
      </c>
      <c r="AD1003" s="3">
        <f t="shared" si="189"/>
        <v>815.83400000000006</v>
      </c>
      <c r="AE1003" s="3">
        <f t="shared" si="190"/>
        <v>32.188000000000002</v>
      </c>
      <c r="AF1003" t="str">
        <f t="shared" si="191"/>
        <v>Regular</v>
      </c>
    </row>
    <row r="1004" spans="1:32" x14ac:dyDescent="0.25">
      <c r="A1004" t="s">
        <v>6012</v>
      </c>
      <c r="B1004" s="1">
        <v>45417</v>
      </c>
      <c r="C1004" s="1">
        <f>B1004+5</f>
        <v>45422</v>
      </c>
      <c r="D1004" s="4">
        <f t="shared" si="180"/>
        <v>5</v>
      </c>
      <c r="E1004" s="4" t="str">
        <f>TEXT(Table1[[#This Row],[Order_Date]],"dddd")</f>
        <v>Sunday</v>
      </c>
      <c r="F1004" s="4">
        <f t="shared" si="181"/>
        <v>5</v>
      </c>
      <c r="G1004" t="str">
        <f t="shared" si="184"/>
        <v>May</v>
      </c>
      <c r="H1004">
        <f t="shared" si="185"/>
        <v>2024</v>
      </c>
      <c r="I1004" t="str">
        <f t="shared" si="186"/>
        <v>2024-Q2</v>
      </c>
      <c r="J1004" t="s">
        <v>21</v>
      </c>
      <c r="K1004" t="s">
        <v>6013</v>
      </c>
      <c r="L1004" t="s">
        <v>6014</v>
      </c>
      <c r="M1004" t="s">
        <v>47</v>
      </c>
      <c r="N1004" t="s">
        <v>25</v>
      </c>
      <c r="O1004" t="s">
        <v>113</v>
      </c>
      <c r="P1004" t="s">
        <v>113</v>
      </c>
      <c r="Q1004" t="s">
        <v>39</v>
      </c>
      <c r="R1004" t="s">
        <v>6015</v>
      </c>
      <c r="S1004" t="s">
        <v>59</v>
      </c>
      <c r="T1004" t="s">
        <v>60</v>
      </c>
      <c r="U1004" t="s">
        <v>6016</v>
      </c>
      <c r="V1004" s="3">
        <v>4574.55</v>
      </c>
      <c r="W1004" s="4">
        <v>5</v>
      </c>
      <c r="X1004" s="2">
        <v>0.4</v>
      </c>
      <c r="Y1004" s="3">
        <v>939.39</v>
      </c>
      <c r="Z1004" t="str">
        <f t="shared" si="182"/>
        <v>Normal</v>
      </c>
      <c r="AA1004" t="str">
        <f t="shared" si="183"/>
        <v>High</v>
      </c>
      <c r="AB1004" t="str">
        <f t="shared" si="187"/>
        <v>High Profit</v>
      </c>
      <c r="AC1004" s="3">
        <f t="shared" si="188"/>
        <v>0.20535134603403613</v>
      </c>
      <c r="AD1004" s="3">
        <f t="shared" si="189"/>
        <v>914.91000000000008</v>
      </c>
      <c r="AE1004" s="3">
        <f t="shared" si="190"/>
        <v>187.87799999999999</v>
      </c>
      <c r="AF1004" t="str">
        <f t="shared" si="191"/>
        <v>Regular</v>
      </c>
    </row>
    <row r="1005" spans="1:32" x14ac:dyDescent="0.25">
      <c r="A1005" t="s">
        <v>390</v>
      </c>
      <c r="B1005" s="1">
        <v>45417</v>
      </c>
      <c r="C1005" s="1">
        <v>45418</v>
      </c>
      <c r="D1005" s="4">
        <f t="shared" si="180"/>
        <v>1</v>
      </c>
      <c r="E1005" s="4" t="str">
        <f>TEXT(Table1[[#This Row],[Order_Date]],"dddd")</f>
        <v>Sunday</v>
      </c>
      <c r="F1005" s="4">
        <f t="shared" si="181"/>
        <v>5</v>
      </c>
      <c r="G1005" t="str">
        <f t="shared" si="184"/>
        <v>May</v>
      </c>
      <c r="H1005">
        <f t="shared" si="185"/>
        <v>2024</v>
      </c>
      <c r="I1005" t="str">
        <f t="shared" si="186"/>
        <v>2024-Q2</v>
      </c>
      <c r="J1005" t="s">
        <v>104</v>
      </c>
      <c r="K1005" t="s">
        <v>391</v>
      </c>
      <c r="L1005" t="s">
        <v>392</v>
      </c>
      <c r="M1005" t="s">
        <v>36</v>
      </c>
      <c r="N1005" t="s">
        <v>25</v>
      </c>
      <c r="O1005" t="s">
        <v>244</v>
      </c>
      <c r="P1005" t="s">
        <v>163</v>
      </c>
      <c r="Q1005" t="s">
        <v>39</v>
      </c>
      <c r="R1005" t="s">
        <v>393</v>
      </c>
      <c r="S1005" t="s">
        <v>51</v>
      </c>
      <c r="T1005" t="s">
        <v>151</v>
      </c>
      <c r="U1005" t="s">
        <v>394</v>
      </c>
      <c r="V1005" s="3">
        <v>394.67</v>
      </c>
      <c r="W1005" s="4">
        <v>5</v>
      </c>
      <c r="X1005" s="2">
        <v>0.1</v>
      </c>
      <c r="Y1005" s="3">
        <v>-49.29</v>
      </c>
      <c r="Z1005" t="str">
        <f t="shared" si="182"/>
        <v>Normal</v>
      </c>
      <c r="AA1005" t="str">
        <f t="shared" si="183"/>
        <v>Medium</v>
      </c>
      <c r="AB1005" t="str">
        <f t="shared" si="187"/>
        <v>Loss</v>
      </c>
      <c r="AC1005" s="3">
        <f t="shared" si="188"/>
        <v>-0.12488914789571033</v>
      </c>
      <c r="AD1005" s="3">
        <f t="shared" si="189"/>
        <v>78.933999999999997</v>
      </c>
      <c r="AE1005" s="3">
        <f t="shared" si="190"/>
        <v>-9.8580000000000005</v>
      </c>
      <c r="AF1005" t="str">
        <f t="shared" si="191"/>
        <v>Regular</v>
      </c>
    </row>
    <row r="1006" spans="1:32" x14ac:dyDescent="0.25">
      <c r="A1006" t="s">
        <v>728</v>
      </c>
      <c r="B1006" s="1">
        <v>45417</v>
      </c>
      <c r="C1006" s="1">
        <v>45420</v>
      </c>
      <c r="D1006" s="4">
        <f t="shared" si="180"/>
        <v>3</v>
      </c>
      <c r="E1006" s="4" t="str">
        <f>TEXT(Table1[[#This Row],[Order_Date]],"dddd")</f>
        <v>Sunday</v>
      </c>
      <c r="F1006" s="4">
        <f t="shared" si="181"/>
        <v>5</v>
      </c>
      <c r="G1006" t="str">
        <f t="shared" si="184"/>
        <v>May</v>
      </c>
      <c r="H1006">
        <f t="shared" si="185"/>
        <v>2024</v>
      </c>
      <c r="I1006" t="str">
        <f t="shared" si="186"/>
        <v>2024-Q2</v>
      </c>
      <c r="J1006" t="s">
        <v>44</v>
      </c>
      <c r="K1006" t="s">
        <v>729</v>
      </c>
      <c r="L1006" t="s">
        <v>730</v>
      </c>
      <c r="M1006" t="s">
        <v>36</v>
      </c>
      <c r="N1006" t="s">
        <v>25</v>
      </c>
      <c r="O1006" t="s">
        <v>382</v>
      </c>
      <c r="P1006" t="s">
        <v>38</v>
      </c>
      <c r="Q1006" t="s">
        <v>87</v>
      </c>
      <c r="R1006" t="s">
        <v>731</v>
      </c>
      <c r="S1006" t="s">
        <v>59</v>
      </c>
      <c r="T1006" t="s">
        <v>303</v>
      </c>
      <c r="U1006" t="s">
        <v>732</v>
      </c>
      <c r="V1006" s="3">
        <v>4201.41</v>
      </c>
      <c r="W1006" s="4">
        <v>3</v>
      </c>
      <c r="X1006" s="2">
        <v>0.2</v>
      </c>
      <c r="Y1006" s="3">
        <v>1255.08</v>
      </c>
      <c r="Z1006" t="str">
        <f t="shared" si="182"/>
        <v>Outlier</v>
      </c>
      <c r="AA1006" t="str">
        <f t="shared" si="183"/>
        <v>High</v>
      </c>
      <c r="AB1006" t="str">
        <f t="shared" si="187"/>
        <v>High Profit</v>
      </c>
      <c r="AC1006" s="3">
        <f t="shared" si="188"/>
        <v>0.29872828407606017</v>
      </c>
      <c r="AD1006" s="3">
        <f t="shared" si="189"/>
        <v>1400.47</v>
      </c>
      <c r="AE1006" s="3">
        <f t="shared" si="190"/>
        <v>418.35999999999996</v>
      </c>
      <c r="AF1006" t="str">
        <f t="shared" si="191"/>
        <v>Regular</v>
      </c>
    </row>
    <row r="1007" spans="1:32" x14ac:dyDescent="0.25">
      <c r="A1007" t="s">
        <v>1292</v>
      </c>
      <c r="B1007" s="1">
        <v>45418</v>
      </c>
      <c r="C1007" s="1">
        <v>45426</v>
      </c>
      <c r="D1007" s="4">
        <f t="shared" si="180"/>
        <v>8</v>
      </c>
      <c r="E1007" s="4" t="str">
        <f>TEXT(Table1[[#This Row],[Order_Date]],"dddd")</f>
        <v>Monday</v>
      </c>
      <c r="F1007" s="4">
        <f t="shared" si="181"/>
        <v>5</v>
      </c>
      <c r="G1007" t="str">
        <f t="shared" si="184"/>
        <v>May</v>
      </c>
      <c r="H1007">
        <f t="shared" si="185"/>
        <v>2024</v>
      </c>
      <c r="I1007" t="str">
        <f t="shared" si="186"/>
        <v>2024-Q2</v>
      </c>
      <c r="J1007" t="s">
        <v>55</v>
      </c>
      <c r="K1007" t="s">
        <v>1293</v>
      </c>
      <c r="L1007" t="s">
        <v>1294</v>
      </c>
      <c r="M1007" t="s">
        <v>24</v>
      </c>
      <c r="N1007" t="s">
        <v>25</v>
      </c>
      <c r="O1007" t="s">
        <v>37</v>
      </c>
      <c r="P1007" t="s">
        <v>38</v>
      </c>
      <c r="Q1007" t="s">
        <v>66</v>
      </c>
      <c r="R1007" t="s">
        <v>1295</v>
      </c>
      <c r="S1007" t="s">
        <v>51</v>
      </c>
      <c r="T1007" t="s">
        <v>151</v>
      </c>
      <c r="U1007" t="s">
        <v>1296</v>
      </c>
      <c r="V1007" s="3">
        <v>3925.48</v>
      </c>
      <c r="W1007" s="4">
        <v>10</v>
      </c>
      <c r="X1007" s="2">
        <v>0</v>
      </c>
      <c r="Y1007" s="3">
        <v>-456.47</v>
      </c>
      <c r="Z1007" t="str">
        <f t="shared" si="182"/>
        <v>Normal</v>
      </c>
      <c r="AA1007" t="str">
        <f t="shared" si="183"/>
        <v>Low</v>
      </c>
      <c r="AB1007" t="str">
        <f t="shared" si="187"/>
        <v>Loss</v>
      </c>
      <c r="AC1007" s="3">
        <f t="shared" si="188"/>
        <v>-0.11628386846958844</v>
      </c>
      <c r="AD1007" s="3">
        <f t="shared" si="189"/>
        <v>392.548</v>
      </c>
      <c r="AE1007" s="3">
        <f t="shared" si="190"/>
        <v>-45.647000000000006</v>
      </c>
      <c r="AF1007" t="str">
        <f t="shared" si="191"/>
        <v>Regular</v>
      </c>
    </row>
    <row r="1008" spans="1:32" x14ac:dyDescent="0.25">
      <c r="A1008" t="s">
        <v>2972</v>
      </c>
      <c r="B1008" s="1">
        <v>45418</v>
      </c>
      <c r="C1008" s="1">
        <v>45420</v>
      </c>
      <c r="D1008" s="4">
        <f t="shared" si="180"/>
        <v>2</v>
      </c>
      <c r="E1008" s="4" t="str">
        <f>TEXT(Table1[[#This Row],[Order_Date]],"dddd")</f>
        <v>Monday</v>
      </c>
      <c r="F1008" s="4">
        <f t="shared" si="181"/>
        <v>5</v>
      </c>
      <c r="G1008" t="str">
        <f t="shared" si="184"/>
        <v>May</v>
      </c>
      <c r="H1008">
        <f t="shared" si="185"/>
        <v>2024</v>
      </c>
      <c r="I1008" t="str">
        <f t="shared" si="186"/>
        <v>2024-Q2</v>
      </c>
      <c r="J1008" t="s">
        <v>104</v>
      </c>
      <c r="K1008" t="s">
        <v>2973</v>
      </c>
      <c r="L1008" t="s">
        <v>2974</v>
      </c>
      <c r="M1008" t="s">
        <v>24</v>
      </c>
      <c r="N1008" t="s">
        <v>25</v>
      </c>
      <c r="O1008" t="s">
        <v>382</v>
      </c>
      <c r="P1008" t="s">
        <v>38</v>
      </c>
      <c r="Q1008" t="s">
        <v>39</v>
      </c>
      <c r="R1008" t="s">
        <v>2975</v>
      </c>
      <c r="S1008" t="s">
        <v>51</v>
      </c>
      <c r="T1008" t="s">
        <v>108</v>
      </c>
      <c r="U1008" t="s">
        <v>2976</v>
      </c>
      <c r="V1008" s="3">
        <v>1942.51</v>
      </c>
      <c r="W1008" s="4">
        <v>6</v>
      </c>
      <c r="X1008" s="2">
        <v>0.1</v>
      </c>
      <c r="Y1008" s="3">
        <v>485.6</v>
      </c>
      <c r="Z1008" t="str">
        <f t="shared" si="182"/>
        <v>Normal</v>
      </c>
      <c r="AA1008" t="str">
        <f t="shared" si="183"/>
        <v>Medium</v>
      </c>
      <c r="AB1008" t="str">
        <f t="shared" si="187"/>
        <v>Low Profit</v>
      </c>
      <c r="AC1008" s="3">
        <f t="shared" si="188"/>
        <v>0.24998584305872301</v>
      </c>
      <c r="AD1008" s="3">
        <f t="shared" si="189"/>
        <v>323.75166666666667</v>
      </c>
      <c r="AE1008" s="3">
        <f t="shared" si="190"/>
        <v>80.933333333333337</v>
      </c>
      <c r="AF1008" t="str">
        <f t="shared" si="191"/>
        <v>Regular</v>
      </c>
    </row>
    <row r="1009" spans="1:32" x14ac:dyDescent="0.25">
      <c r="A1009" t="s">
        <v>1780</v>
      </c>
      <c r="B1009" s="1">
        <v>45419</v>
      </c>
      <c r="C1009" s="1">
        <v>45427</v>
      </c>
      <c r="D1009" s="4">
        <f t="shared" si="180"/>
        <v>8</v>
      </c>
      <c r="E1009" s="4" t="str">
        <f>TEXT(Table1[[#This Row],[Order_Date]],"dddd")</f>
        <v>Tuesday</v>
      </c>
      <c r="F1009" s="4">
        <f t="shared" si="181"/>
        <v>5</v>
      </c>
      <c r="G1009" t="str">
        <f t="shared" si="184"/>
        <v>May</v>
      </c>
      <c r="H1009">
        <f t="shared" si="185"/>
        <v>2024</v>
      </c>
      <c r="I1009" t="str">
        <f t="shared" si="186"/>
        <v>2024-Q2</v>
      </c>
      <c r="J1009" t="s">
        <v>55</v>
      </c>
      <c r="K1009" t="s">
        <v>1781</v>
      </c>
      <c r="L1009" t="s">
        <v>1782</v>
      </c>
      <c r="M1009" t="s">
        <v>36</v>
      </c>
      <c r="N1009" t="s">
        <v>25</v>
      </c>
      <c r="O1009" t="s">
        <v>26</v>
      </c>
      <c r="P1009" t="s">
        <v>27</v>
      </c>
      <c r="Q1009" t="s">
        <v>66</v>
      </c>
      <c r="R1009" t="s">
        <v>1783</v>
      </c>
      <c r="S1009" t="s">
        <v>51</v>
      </c>
      <c r="T1009" t="s">
        <v>94</v>
      </c>
      <c r="U1009" t="s">
        <v>1784</v>
      </c>
      <c r="V1009" s="3">
        <v>4951.3999999999996</v>
      </c>
      <c r="W1009" s="4">
        <v>7</v>
      </c>
      <c r="X1009" s="2">
        <v>0</v>
      </c>
      <c r="Y1009" s="3">
        <v>-683.06</v>
      </c>
      <c r="Z1009" t="str">
        <f t="shared" si="182"/>
        <v>Normal</v>
      </c>
      <c r="AA1009" t="str">
        <f t="shared" si="183"/>
        <v>Low</v>
      </c>
      <c r="AB1009" t="str">
        <f t="shared" si="187"/>
        <v>Loss</v>
      </c>
      <c r="AC1009" s="3">
        <f t="shared" si="188"/>
        <v>-0.13795290220947612</v>
      </c>
      <c r="AD1009" s="3">
        <f t="shared" si="189"/>
        <v>707.34285714285704</v>
      </c>
      <c r="AE1009" s="3">
        <f t="shared" si="190"/>
        <v>-97.58</v>
      </c>
      <c r="AF1009" t="str">
        <f t="shared" si="191"/>
        <v>Regular</v>
      </c>
    </row>
    <row r="1010" spans="1:32" x14ac:dyDescent="0.25">
      <c r="A1010" t="s">
        <v>3668</v>
      </c>
      <c r="B1010" s="1">
        <v>45419</v>
      </c>
      <c r="C1010" s="1">
        <v>45420</v>
      </c>
      <c r="D1010" s="4">
        <f t="shared" si="180"/>
        <v>1</v>
      </c>
      <c r="E1010" s="4" t="str">
        <f>TEXT(Table1[[#This Row],[Order_Date]],"dddd")</f>
        <v>Tuesday</v>
      </c>
      <c r="F1010" s="4">
        <f t="shared" si="181"/>
        <v>5</v>
      </c>
      <c r="G1010" t="str">
        <f t="shared" si="184"/>
        <v>May</v>
      </c>
      <c r="H1010">
        <f t="shared" si="185"/>
        <v>2024</v>
      </c>
      <c r="I1010" t="str">
        <f t="shared" si="186"/>
        <v>2024-Q2</v>
      </c>
      <c r="J1010" t="s">
        <v>21</v>
      </c>
      <c r="K1010" t="s">
        <v>3669</v>
      </c>
      <c r="L1010" t="s">
        <v>3670</v>
      </c>
      <c r="M1010" t="s">
        <v>36</v>
      </c>
      <c r="N1010" t="s">
        <v>25</v>
      </c>
      <c r="O1010" t="s">
        <v>26</v>
      </c>
      <c r="P1010" t="s">
        <v>27</v>
      </c>
      <c r="Q1010" t="s">
        <v>87</v>
      </c>
      <c r="R1010" t="s">
        <v>3671</v>
      </c>
      <c r="S1010" t="s">
        <v>59</v>
      </c>
      <c r="T1010" t="s">
        <v>60</v>
      </c>
      <c r="U1010" t="s">
        <v>3672</v>
      </c>
      <c r="V1010" s="3">
        <v>1394.4</v>
      </c>
      <c r="W1010" s="4">
        <v>3</v>
      </c>
      <c r="X1010" s="2">
        <v>0</v>
      </c>
      <c r="Y1010" s="3">
        <v>333.46</v>
      </c>
      <c r="Z1010" t="str">
        <f t="shared" si="182"/>
        <v>Normal</v>
      </c>
      <c r="AA1010" t="str">
        <f t="shared" si="183"/>
        <v>Low</v>
      </c>
      <c r="AB1010" t="str">
        <f t="shared" si="187"/>
        <v>Low Profit</v>
      </c>
      <c r="AC1010" s="3">
        <f t="shared" si="188"/>
        <v>0.23914228341939181</v>
      </c>
      <c r="AD1010" s="3">
        <f t="shared" si="189"/>
        <v>464.8</v>
      </c>
      <c r="AE1010" s="3">
        <f t="shared" si="190"/>
        <v>111.15333333333332</v>
      </c>
      <c r="AF1010" t="str">
        <f t="shared" si="191"/>
        <v>Regular</v>
      </c>
    </row>
    <row r="1011" spans="1:32" x14ac:dyDescent="0.25">
      <c r="A1011" t="s">
        <v>1548</v>
      </c>
      <c r="B1011" s="1">
        <v>45419</v>
      </c>
      <c r="C1011" s="1">
        <v>45422</v>
      </c>
      <c r="D1011" s="4">
        <f t="shared" si="180"/>
        <v>3</v>
      </c>
      <c r="E1011" s="4" t="str">
        <f>TEXT(Table1[[#This Row],[Order_Date]],"dddd")</f>
        <v>Tuesday</v>
      </c>
      <c r="F1011" s="4">
        <f t="shared" si="181"/>
        <v>5</v>
      </c>
      <c r="G1011" t="str">
        <f t="shared" si="184"/>
        <v>May</v>
      </c>
      <c r="H1011">
        <f t="shared" si="185"/>
        <v>2024</v>
      </c>
      <c r="I1011" t="str">
        <f t="shared" si="186"/>
        <v>2024-Q2</v>
      </c>
      <c r="J1011" t="s">
        <v>21</v>
      </c>
      <c r="K1011" t="s">
        <v>1549</v>
      </c>
      <c r="L1011" t="s">
        <v>1550</v>
      </c>
      <c r="M1011" t="s">
        <v>47</v>
      </c>
      <c r="N1011" t="s">
        <v>25</v>
      </c>
      <c r="O1011" t="s">
        <v>119</v>
      </c>
      <c r="P1011" t="s">
        <v>120</v>
      </c>
      <c r="Q1011" t="s">
        <v>87</v>
      </c>
      <c r="R1011" t="s">
        <v>1551</v>
      </c>
      <c r="S1011" t="s">
        <v>51</v>
      </c>
      <c r="T1011" t="s">
        <v>127</v>
      </c>
      <c r="U1011" t="s">
        <v>1552</v>
      </c>
      <c r="V1011" s="3">
        <v>1828.83</v>
      </c>
      <c r="W1011" s="4">
        <v>3</v>
      </c>
      <c r="X1011" s="2">
        <v>0.4</v>
      </c>
      <c r="Y1011" s="3">
        <v>376.32</v>
      </c>
      <c r="Z1011" t="str">
        <f t="shared" si="182"/>
        <v>Normal</v>
      </c>
      <c r="AA1011" t="str">
        <f t="shared" si="183"/>
        <v>High</v>
      </c>
      <c r="AB1011" t="str">
        <f t="shared" si="187"/>
        <v>Low Profit</v>
      </c>
      <c r="AC1011" s="3">
        <f t="shared" si="188"/>
        <v>0.20577090270828891</v>
      </c>
      <c r="AD1011" s="3">
        <f t="shared" si="189"/>
        <v>609.61</v>
      </c>
      <c r="AE1011" s="3">
        <f t="shared" si="190"/>
        <v>125.44</v>
      </c>
      <c r="AF1011" t="str">
        <f t="shared" si="191"/>
        <v>Regular</v>
      </c>
    </row>
    <row r="1012" spans="1:32" x14ac:dyDescent="0.25">
      <c r="A1012" t="s">
        <v>5424</v>
      </c>
      <c r="B1012" s="1">
        <v>45419</v>
      </c>
      <c r="C1012" s="1">
        <v>45425</v>
      </c>
      <c r="D1012" s="4">
        <f t="shared" si="180"/>
        <v>6</v>
      </c>
      <c r="E1012" s="4" t="str">
        <f>TEXT(Table1[[#This Row],[Order_Date]],"dddd")</f>
        <v>Tuesday</v>
      </c>
      <c r="F1012" s="4">
        <f t="shared" si="181"/>
        <v>5</v>
      </c>
      <c r="G1012" t="str">
        <f t="shared" si="184"/>
        <v>May</v>
      </c>
      <c r="H1012">
        <f t="shared" si="185"/>
        <v>2024</v>
      </c>
      <c r="I1012" t="str">
        <f t="shared" si="186"/>
        <v>2024-Q2</v>
      </c>
      <c r="J1012" t="s">
        <v>21</v>
      </c>
      <c r="K1012" t="s">
        <v>5425</v>
      </c>
      <c r="L1012" t="s">
        <v>5426</v>
      </c>
      <c r="M1012" t="s">
        <v>36</v>
      </c>
      <c r="N1012" t="s">
        <v>25</v>
      </c>
      <c r="O1012" t="s">
        <v>99</v>
      </c>
      <c r="P1012" t="s">
        <v>74</v>
      </c>
      <c r="Q1012" t="s">
        <v>66</v>
      </c>
      <c r="R1012" t="s">
        <v>5427</v>
      </c>
      <c r="S1012" t="s">
        <v>59</v>
      </c>
      <c r="T1012" t="s">
        <v>303</v>
      </c>
      <c r="U1012" t="s">
        <v>5428</v>
      </c>
      <c r="V1012" s="3">
        <v>4619.79</v>
      </c>
      <c r="W1012" s="4">
        <v>7</v>
      </c>
      <c r="X1012" s="2">
        <v>0.1</v>
      </c>
      <c r="Y1012" s="3">
        <v>170.72</v>
      </c>
      <c r="Z1012" t="str">
        <f t="shared" si="182"/>
        <v>Normal</v>
      </c>
      <c r="AA1012" t="str">
        <f t="shared" si="183"/>
        <v>Medium</v>
      </c>
      <c r="AB1012" t="str">
        <f t="shared" si="187"/>
        <v>Low Profit</v>
      </c>
      <c r="AC1012" s="3">
        <f t="shared" si="188"/>
        <v>3.6954060682411971E-2</v>
      </c>
      <c r="AD1012" s="3">
        <f t="shared" si="189"/>
        <v>659.97</v>
      </c>
      <c r="AE1012" s="3">
        <f t="shared" si="190"/>
        <v>24.388571428571428</v>
      </c>
      <c r="AF1012" t="str">
        <f t="shared" si="191"/>
        <v>Regular</v>
      </c>
    </row>
    <row r="1013" spans="1:32" x14ac:dyDescent="0.25">
      <c r="A1013" t="s">
        <v>2495</v>
      </c>
      <c r="B1013" s="1">
        <v>45420</v>
      </c>
      <c r="C1013" s="1">
        <v>45427</v>
      </c>
      <c r="D1013" s="4">
        <f t="shared" si="180"/>
        <v>7</v>
      </c>
      <c r="E1013" s="4" t="str">
        <f>TEXT(Table1[[#This Row],[Order_Date]],"dddd")</f>
        <v>Wednesday</v>
      </c>
      <c r="F1013" s="4">
        <f t="shared" si="181"/>
        <v>5</v>
      </c>
      <c r="G1013" t="str">
        <f t="shared" si="184"/>
        <v>May</v>
      </c>
      <c r="H1013">
        <f t="shared" si="185"/>
        <v>2024</v>
      </c>
      <c r="I1013" t="str">
        <f t="shared" si="186"/>
        <v>2024-Q2</v>
      </c>
      <c r="J1013" t="s">
        <v>104</v>
      </c>
      <c r="K1013" t="s">
        <v>2496</v>
      </c>
      <c r="L1013" t="s">
        <v>2497</v>
      </c>
      <c r="M1013" t="s">
        <v>47</v>
      </c>
      <c r="N1013" t="s">
        <v>25</v>
      </c>
      <c r="O1013" t="s">
        <v>119</v>
      </c>
      <c r="P1013" t="s">
        <v>120</v>
      </c>
      <c r="Q1013" t="s">
        <v>28</v>
      </c>
      <c r="R1013" t="s">
        <v>2498</v>
      </c>
      <c r="S1013" t="s">
        <v>30</v>
      </c>
      <c r="T1013" t="s">
        <v>82</v>
      </c>
      <c r="U1013" t="s">
        <v>2499</v>
      </c>
      <c r="V1013" s="3">
        <v>910.28</v>
      </c>
      <c r="W1013" s="4">
        <v>9</v>
      </c>
      <c r="X1013" s="2">
        <v>0.1</v>
      </c>
      <c r="Y1013" s="3">
        <v>227.67</v>
      </c>
      <c r="Z1013" t="str">
        <f t="shared" si="182"/>
        <v>Normal</v>
      </c>
      <c r="AA1013" t="str">
        <f t="shared" si="183"/>
        <v>Medium</v>
      </c>
      <c r="AB1013" t="str">
        <f t="shared" si="187"/>
        <v>Low Profit</v>
      </c>
      <c r="AC1013" s="3">
        <f t="shared" si="188"/>
        <v>0.25010985630794919</v>
      </c>
      <c r="AD1013" s="3">
        <f t="shared" si="189"/>
        <v>101.14222222222222</v>
      </c>
      <c r="AE1013" s="3">
        <f t="shared" si="190"/>
        <v>25.296666666666667</v>
      </c>
      <c r="AF1013" t="str">
        <f t="shared" si="191"/>
        <v>Regular</v>
      </c>
    </row>
    <row r="1014" spans="1:32" x14ac:dyDescent="0.25">
      <c r="A1014" t="s">
        <v>3490</v>
      </c>
      <c r="B1014" s="1">
        <v>45420</v>
      </c>
      <c r="C1014" s="1">
        <v>45422</v>
      </c>
      <c r="D1014" s="4">
        <f t="shared" si="180"/>
        <v>2</v>
      </c>
      <c r="E1014" s="4" t="str">
        <f>TEXT(Table1[[#This Row],[Order_Date]],"dddd")</f>
        <v>Wednesday</v>
      </c>
      <c r="F1014" s="4">
        <f t="shared" si="181"/>
        <v>5</v>
      </c>
      <c r="G1014" t="str">
        <f t="shared" si="184"/>
        <v>May</v>
      </c>
      <c r="H1014">
        <f t="shared" si="185"/>
        <v>2024</v>
      </c>
      <c r="I1014" t="str">
        <f t="shared" si="186"/>
        <v>2024-Q2</v>
      </c>
      <c r="J1014" t="s">
        <v>21</v>
      </c>
      <c r="K1014" t="s">
        <v>3491</v>
      </c>
      <c r="L1014" t="s">
        <v>3492</v>
      </c>
      <c r="M1014" t="s">
        <v>47</v>
      </c>
      <c r="N1014" t="s">
        <v>25</v>
      </c>
      <c r="O1014" t="s">
        <v>190</v>
      </c>
      <c r="P1014" t="s">
        <v>120</v>
      </c>
      <c r="Q1014" t="s">
        <v>39</v>
      </c>
      <c r="R1014" t="s">
        <v>3493</v>
      </c>
      <c r="S1014" t="s">
        <v>51</v>
      </c>
      <c r="T1014" t="s">
        <v>108</v>
      </c>
      <c r="U1014" t="s">
        <v>3494</v>
      </c>
      <c r="V1014" s="3">
        <v>4894.6899999999996</v>
      </c>
      <c r="W1014" s="4">
        <v>1</v>
      </c>
      <c r="X1014" s="2">
        <v>0</v>
      </c>
      <c r="Y1014" s="3">
        <v>-675.18</v>
      </c>
      <c r="Z1014" t="str">
        <f t="shared" si="182"/>
        <v>Normal</v>
      </c>
      <c r="AA1014" t="str">
        <f t="shared" si="183"/>
        <v>Low</v>
      </c>
      <c r="AB1014" t="str">
        <f t="shared" si="187"/>
        <v>Loss</v>
      </c>
      <c r="AC1014" s="3">
        <f t="shared" si="188"/>
        <v>-0.1379413200836008</v>
      </c>
      <c r="AD1014" s="3">
        <f t="shared" si="189"/>
        <v>4894.6899999999996</v>
      </c>
      <c r="AE1014" s="3">
        <f t="shared" si="190"/>
        <v>-675.18</v>
      </c>
      <c r="AF1014" t="str">
        <f t="shared" si="191"/>
        <v>Regular</v>
      </c>
    </row>
    <row r="1015" spans="1:32" x14ac:dyDescent="0.25">
      <c r="A1015" t="s">
        <v>6533</v>
      </c>
      <c r="B1015" s="1">
        <v>45420</v>
      </c>
      <c r="C1015" s="1">
        <v>45429</v>
      </c>
      <c r="D1015" s="4">
        <f t="shared" si="180"/>
        <v>9</v>
      </c>
      <c r="E1015" s="4" t="str">
        <f>TEXT(Table1[[#This Row],[Order_Date]],"dddd")</f>
        <v>Wednesday</v>
      </c>
      <c r="F1015" s="4">
        <f t="shared" si="181"/>
        <v>5</v>
      </c>
      <c r="G1015" t="str">
        <f t="shared" si="184"/>
        <v>May</v>
      </c>
      <c r="H1015">
        <f t="shared" si="185"/>
        <v>2024</v>
      </c>
      <c r="I1015" t="str">
        <f t="shared" si="186"/>
        <v>2024-Q2</v>
      </c>
      <c r="J1015" t="s">
        <v>44</v>
      </c>
      <c r="K1015" t="s">
        <v>6534</v>
      </c>
      <c r="L1015" t="s">
        <v>6535</v>
      </c>
      <c r="M1015" t="s">
        <v>24</v>
      </c>
      <c r="N1015" t="s">
        <v>25</v>
      </c>
      <c r="O1015" t="s">
        <v>244</v>
      </c>
      <c r="P1015" t="s">
        <v>163</v>
      </c>
      <c r="Q1015" t="s">
        <v>66</v>
      </c>
      <c r="R1015" t="s">
        <v>6536</v>
      </c>
      <c r="S1015" t="s">
        <v>59</v>
      </c>
      <c r="T1015" t="s">
        <v>101</v>
      </c>
      <c r="U1015" t="s">
        <v>4715</v>
      </c>
      <c r="V1015" s="3">
        <v>3980.86</v>
      </c>
      <c r="W1015" s="4">
        <v>8</v>
      </c>
      <c r="X1015" s="2">
        <v>0</v>
      </c>
      <c r="Y1015" s="3">
        <v>-212.63</v>
      </c>
      <c r="Z1015" t="str">
        <f t="shared" si="182"/>
        <v>Normal</v>
      </c>
      <c r="AA1015" t="str">
        <f t="shared" si="183"/>
        <v>Low</v>
      </c>
      <c r="AB1015" t="str">
        <f t="shared" si="187"/>
        <v>Loss</v>
      </c>
      <c r="AC1015" s="3">
        <f t="shared" si="188"/>
        <v>-5.3413081595434148E-2</v>
      </c>
      <c r="AD1015" s="3">
        <f t="shared" si="189"/>
        <v>497.60750000000002</v>
      </c>
      <c r="AE1015" s="3">
        <f t="shared" si="190"/>
        <v>-26.578749999999999</v>
      </c>
      <c r="AF1015" t="str">
        <f t="shared" si="191"/>
        <v>Regular</v>
      </c>
    </row>
    <row r="1016" spans="1:32" x14ac:dyDescent="0.25">
      <c r="A1016" t="s">
        <v>252</v>
      </c>
      <c r="B1016" s="1">
        <v>45421</v>
      </c>
      <c r="C1016" s="1">
        <v>45427</v>
      </c>
      <c r="D1016" s="4">
        <f t="shared" si="180"/>
        <v>6</v>
      </c>
      <c r="E1016" s="4" t="str">
        <f>TEXT(Table1[[#This Row],[Order_Date]],"dddd")</f>
        <v>Thursday</v>
      </c>
      <c r="F1016" s="4">
        <f t="shared" si="181"/>
        <v>5</v>
      </c>
      <c r="G1016" t="str">
        <f t="shared" si="184"/>
        <v>May</v>
      </c>
      <c r="H1016">
        <f t="shared" si="185"/>
        <v>2024</v>
      </c>
      <c r="I1016" t="str">
        <f t="shared" si="186"/>
        <v>2024-Q2</v>
      </c>
      <c r="J1016" t="s">
        <v>21</v>
      </c>
      <c r="K1016" t="s">
        <v>253</v>
      </c>
      <c r="L1016" t="s">
        <v>254</v>
      </c>
      <c r="M1016" t="s">
        <v>36</v>
      </c>
      <c r="N1016" t="s">
        <v>25</v>
      </c>
      <c r="O1016" t="s">
        <v>255</v>
      </c>
      <c r="P1016" t="s">
        <v>143</v>
      </c>
      <c r="Q1016" t="s">
        <v>28</v>
      </c>
      <c r="R1016" t="s">
        <v>256</v>
      </c>
      <c r="S1016" t="s">
        <v>51</v>
      </c>
      <c r="T1016" t="s">
        <v>151</v>
      </c>
      <c r="U1016" t="s">
        <v>257</v>
      </c>
      <c r="V1016" s="3">
        <v>1006.75</v>
      </c>
      <c r="W1016" s="4">
        <v>5</v>
      </c>
      <c r="X1016" s="2">
        <v>0.4</v>
      </c>
      <c r="Y1016" s="3">
        <v>288.49</v>
      </c>
      <c r="Z1016" t="str">
        <f t="shared" si="182"/>
        <v>Normal</v>
      </c>
      <c r="AA1016" t="str">
        <f t="shared" si="183"/>
        <v>High</v>
      </c>
      <c r="AB1016" t="str">
        <f t="shared" si="187"/>
        <v>Low Profit</v>
      </c>
      <c r="AC1016" s="3">
        <f t="shared" si="188"/>
        <v>0.28655574869629996</v>
      </c>
      <c r="AD1016" s="3">
        <f t="shared" si="189"/>
        <v>201.35</v>
      </c>
      <c r="AE1016" s="3">
        <f t="shared" si="190"/>
        <v>57.698</v>
      </c>
      <c r="AF1016" t="str">
        <f t="shared" si="191"/>
        <v>Regular</v>
      </c>
    </row>
    <row r="1017" spans="1:32" x14ac:dyDescent="0.25">
      <c r="A1017" t="s">
        <v>5994</v>
      </c>
      <c r="B1017" s="1">
        <v>45422</v>
      </c>
      <c r="C1017" s="1">
        <v>45427</v>
      </c>
      <c r="D1017" s="4">
        <f t="shared" si="180"/>
        <v>5</v>
      </c>
      <c r="E1017" s="4" t="str">
        <f>TEXT(Table1[[#This Row],[Order_Date]],"dddd")</f>
        <v>Friday</v>
      </c>
      <c r="F1017" s="4">
        <f t="shared" si="181"/>
        <v>5</v>
      </c>
      <c r="G1017" t="str">
        <f t="shared" si="184"/>
        <v>May</v>
      </c>
      <c r="H1017">
        <f t="shared" si="185"/>
        <v>2024</v>
      </c>
      <c r="I1017" t="str">
        <f t="shared" si="186"/>
        <v>2024-Q2</v>
      </c>
      <c r="J1017" t="s">
        <v>21</v>
      </c>
      <c r="K1017" t="s">
        <v>5995</v>
      </c>
      <c r="L1017" t="s">
        <v>5996</v>
      </c>
      <c r="M1017" t="s">
        <v>36</v>
      </c>
      <c r="N1017" t="s">
        <v>25</v>
      </c>
      <c r="O1017" t="s">
        <v>65</v>
      </c>
      <c r="P1017" t="s">
        <v>27</v>
      </c>
      <c r="Q1017" t="s">
        <v>39</v>
      </c>
      <c r="R1017" t="s">
        <v>5997</v>
      </c>
      <c r="S1017" t="s">
        <v>30</v>
      </c>
      <c r="T1017" t="s">
        <v>68</v>
      </c>
      <c r="U1017" t="s">
        <v>5998</v>
      </c>
      <c r="V1017" s="3">
        <v>286.45999999999998</v>
      </c>
      <c r="W1017" s="4">
        <v>9</v>
      </c>
      <c r="X1017" s="2">
        <v>0.2</v>
      </c>
      <c r="Y1017" s="3">
        <v>-15.42</v>
      </c>
      <c r="Z1017" t="str">
        <f t="shared" si="182"/>
        <v>Normal</v>
      </c>
      <c r="AA1017" t="str">
        <f t="shared" si="183"/>
        <v>High</v>
      </c>
      <c r="AB1017" t="str">
        <f t="shared" si="187"/>
        <v>Loss</v>
      </c>
      <c r="AC1017" s="3">
        <f t="shared" si="188"/>
        <v>-5.3829504991970957E-2</v>
      </c>
      <c r="AD1017" s="3">
        <f t="shared" si="189"/>
        <v>31.828888888888887</v>
      </c>
      <c r="AE1017" s="3">
        <f t="shared" si="190"/>
        <v>-1.7133333333333334</v>
      </c>
      <c r="AF1017" t="str">
        <f t="shared" si="191"/>
        <v>Regular</v>
      </c>
    </row>
    <row r="1018" spans="1:32" x14ac:dyDescent="0.25">
      <c r="A1018" t="s">
        <v>4461</v>
      </c>
      <c r="B1018" s="1">
        <v>45422</v>
      </c>
      <c r="C1018" s="1">
        <v>45432</v>
      </c>
      <c r="D1018" s="4">
        <f t="shared" si="180"/>
        <v>10</v>
      </c>
      <c r="E1018" s="4" t="str">
        <f>TEXT(Table1[[#This Row],[Order_Date]],"dddd")</f>
        <v>Friday</v>
      </c>
      <c r="F1018" s="4">
        <f t="shared" si="181"/>
        <v>5</v>
      </c>
      <c r="G1018" t="str">
        <f t="shared" si="184"/>
        <v>May</v>
      </c>
      <c r="H1018">
        <f t="shared" si="185"/>
        <v>2024</v>
      </c>
      <c r="I1018" t="str">
        <f t="shared" si="186"/>
        <v>2024-Q2</v>
      </c>
      <c r="J1018" t="s">
        <v>44</v>
      </c>
      <c r="K1018" t="s">
        <v>4462</v>
      </c>
      <c r="L1018" t="s">
        <v>4463</v>
      </c>
      <c r="M1018" t="s">
        <v>36</v>
      </c>
      <c r="N1018" t="s">
        <v>25</v>
      </c>
      <c r="O1018" t="s">
        <v>451</v>
      </c>
      <c r="P1018" t="s">
        <v>38</v>
      </c>
      <c r="Q1018" t="s">
        <v>87</v>
      </c>
      <c r="R1018" t="s">
        <v>4464</v>
      </c>
      <c r="S1018" t="s">
        <v>59</v>
      </c>
      <c r="T1018" t="s">
        <v>60</v>
      </c>
      <c r="U1018" t="s">
        <v>2991</v>
      </c>
      <c r="V1018" s="3">
        <v>2826.01</v>
      </c>
      <c r="W1018" s="4">
        <v>9</v>
      </c>
      <c r="X1018" s="2">
        <v>0.1</v>
      </c>
      <c r="Y1018" s="3">
        <v>-392.18</v>
      </c>
      <c r="Z1018" t="str">
        <f t="shared" si="182"/>
        <v>Normal</v>
      </c>
      <c r="AA1018" t="str">
        <f t="shared" si="183"/>
        <v>Medium</v>
      </c>
      <c r="AB1018" t="str">
        <f t="shared" si="187"/>
        <v>Loss</v>
      </c>
      <c r="AC1018" s="3">
        <f t="shared" si="188"/>
        <v>-0.13877516356983874</v>
      </c>
      <c r="AD1018" s="3">
        <f t="shared" si="189"/>
        <v>314.00111111111113</v>
      </c>
      <c r="AE1018" s="3">
        <f t="shared" si="190"/>
        <v>-43.575555555555553</v>
      </c>
      <c r="AF1018" t="str">
        <f t="shared" si="191"/>
        <v>Regular</v>
      </c>
    </row>
    <row r="1019" spans="1:32" x14ac:dyDescent="0.25">
      <c r="A1019" t="s">
        <v>1991</v>
      </c>
      <c r="B1019" s="1">
        <v>45422</v>
      </c>
      <c r="C1019" s="1">
        <v>45430</v>
      </c>
      <c r="D1019" s="4">
        <f t="shared" si="180"/>
        <v>8</v>
      </c>
      <c r="E1019" s="4" t="str">
        <f>TEXT(Table1[[#This Row],[Order_Date]],"dddd")</f>
        <v>Friday</v>
      </c>
      <c r="F1019" s="4">
        <f t="shared" si="181"/>
        <v>5</v>
      </c>
      <c r="G1019" t="str">
        <f t="shared" si="184"/>
        <v>May</v>
      </c>
      <c r="H1019">
        <f t="shared" si="185"/>
        <v>2024</v>
      </c>
      <c r="I1019" t="str">
        <f t="shared" si="186"/>
        <v>2024-Q2</v>
      </c>
      <c r="J1019" t="s">
        <v>55</v>
      </c>
      <c r="K1019" t="s">
        <v>1992</v>
      </c>
      <c r="L1019" t="s">
        <v>1993</v>
      </c>
      <c r="M1019" t="s">
        <v>36</v>
      </c>
      <c r="N1019" t="s">
        <v>25</v>
      </c>
      <c r="O1019" t="s">
        <v>382</v>
      </c>
      <c r="P1019" t="s">
        <v>38</v>
      </c>
      <c r="Q1019" t="s">
        <v>66</v>
      </c>
      <c r="R1019" t="s">
        <v>1994</v>
      </c>
      <c r="S1019" t="s">
        <v>51</v>
      </c>
      <c r="T1019" t="s">
        <v>151</v>
      </c>
      <c r="U1019" t="s">
        <v>1995</v>
      </c>
      <c r="V1019" s="3">
        <v>1580.93</v>
      </c>
      <c r="W1019" s="4">
        <v>2</v>
      </c>
      <c r="X1019" s="2">
        <v>0.1</v>
      </c>
      <c r="Y1019" s="3">
        <v>35.58</v>
      </c>
      <c r="Z1019" t="str">
        <f t="shared" si="182"/>
        <v>Normal</v>
      </c>
      <c r="AA1019" t="str">
        <f t="shared" si="183"/>
        <v>Medium</v>
      </c>
      <c r="AB1019" t="str">
        <f t="shared" si="187"/>
        <v>Low Profit</v>
      </c>
      <c r="AC1019" s="3">
        <f t="shared" si="188"/>
        <v>2.2505740292106544E-2</v>
      </c>
      <c r="AD1019" s="3">
        <f t="shared" si="189"/>
        <v>790.46500000000003</v>
      </c>
      <c r="AE1019" s="3">
        <f t="shared" si="190"/>
        <v>17.79</v>
      </c>
      <c r="AF1019" t="str">
        <f t="shared" si="191"/>
        <v>Regular</v>
      </c>
    </row>
    <row r="1020" spans="1:32" x14ac:dyDescent="0.25">
      <c r="A1020" t="s">
        <v>6467</v>
      </c>
      <c r="B1020" s="1">
        <v>45423</v>
      </c>
      <c r="C1020" s="1">
        <v>45424</v>
      </c>
      <c r="D1020" s="4">
        <f t="shared" si="180"/>
        <v>1</v>
      </c>
      <c r="E1020" s="4" t="str">
        <f>TEXT(Table1[[#This Row],[Order_Date]],"dddd")</f>
        <v>Saturday</v>
      </c>
      <c r="F1020" s="4">
        <f t="shared" si="181"/>
        <v>5</v>
      </c>
      <c r="G1020" t="str">
        <f t="shared" si="184"/>
        <v>May</v>
      </c>
      <c r="H1020">
        <f t="shared" si="185"/>
        <v>2024</v>
      </c>
      <c r="I1020" t="str">
        <f t="shared" si="186"/>
        <v>2024-Q2</v>
      </c>
      <c r="J1020" t="s">
        <v>104</v>
      </c>
      <c r="K1020" t="s">
        <v>6468</v>
      </c>
      <c r="L1020" t="s">
        <v>6469</v>
      </c>
      <c r="M1020" t="s">
        <v>24</v>
      </c>
      <c r="N1020" t="s">
        <v>25</v>
      </c>
      <c r="O1020" t="s">
        <v>233</v>
      </c>
      <c r="P1020" t="s">
        <v>163</v>
      </c>
      <c r="Q1020" t="s">
        <v>39</v>
      </c>
      <c r="R1020" t="s">
        <v>7403</v>
      </c>
      <c r="S1020" t="s">
        <v>30</v>
      </c>
      <c r="T1020" t="s">
        <v>41</v>
      </c>
      <c r="U1020" t="s">
        <v>4656</v>
      </c>
      <c r="V1020" s="3">
        <v>2275.2600000000002</v>
      </c>
      <c r="W1020" s="4">
        <v>4</v>
      </c>
      <c r="X1020" s="2">
        <v>0.2</v>
      </c>
      <c r="Y1020" s="3">
        <v>333.53</v>
      </c>
      <c r="Z1020" t="str">
        <f t="shared" si="182"/>
        <v>Normal</v>
      </c>
      <c r="AA1020" t="str">
        <f t="shared" si="183"/>
        <v>High</v>
      </c>
      <c r="AB1020" t="str">
        <f t="shared" si="187"/>
        <v>Low Profit</v>
      </c>
      <c r="AC1020" s="3">
        <f t="shared" si="188"/>
        <v>0.14658984028198974</v>
      </c>
      <c r="AD1020" s="3">
        <f t="shared" si="189"/>
        <v>568.81500000000005</v>
      </c>
      <c r="AE1020" s="3">
        <f t="shared" si="190"/>
        <v>83.382499999999993</v>
      </c>
      <c r="AF1020" t="str">
        <f t="shared" si="191"/>
        <v>Regular</v>
      </c>
    </row>
    <row r="1021" spans="1:32" x14ac:dyDescent="0.25">
      <c r="A1021" t="s">
        <v>4627</v>
      </c>
      <c r="B1021" s="1">
        <v>45423</v>
      </c>
      <c r="C1021" s="1">
        <v>45432</v>
      </c>
      <c r="D1021" s="4">
        <f t="shared" si="180"/>
        <v>9</v>
      </c>
      <c r="E1021" s="4" t="str">
        <f>TEXT(Table1[[#This Row],[Order_Date]],"dddd")</f>
        <v>Saturday</v>
      </c>
      <c r="F1021" s="4">
        <f t="shared" si="181"/>
        <v>5</v>
      </c>
      <c r="G1021" t="str">
        <f t="shared" si="184"/>
        <v>May</v>
      </c>
      <c r="H1021">
        <f t="shared" si="185"/>
        <v>2024</v>
      </c>
      <c r="I1021" t="str">
        <f t="shared" si="186"/>
        <v>2024-Q2</v>
      </c>
      <c r="J1021" t="s">
        <v>44</v>
      </c>
      <c r="K1021" t="s">
        <v>4628</v>
      </c>
      <c r="L1021" t="s">
        <v>4629</v>
      </c>
      <c r="M1021" t="s">
        <v>47</v>
      </c>
      <c r="N1021" t="s">
        <v>25</v>
      </c>
      <c r="O1021" t="s">
        <v>26</v>
      </c>
      <c r="P1021" t="s">
        <v>27</v>
      </c>
      <c r="Q1021" t="s">
        <v>28</v>
      </c>
      <c r="R1021" t="s">
        <v>4630</v>
      </c>
      <c r="S1021" t="s">
        <v>59</v>
      </c>
      <c r="T1021" t="s">
        <v>60</v>
      </c>
      <c r="U1021" t="s">
        <v>4631</v>
      </c>
      <c r="V1021" s="3">
        <v>4369.78</v>
      </c>
      <c r="W1021" s="4">
        <v>5</v>
      </c>
      <c r="X1021" s="2">
        <v>0.4</v>
      </c>
      <c r="Y1021" s="3">
        <v>320.70999999999998</v>
      </c>
      <c r="Z1021" t="str">
        <f t="shared" si="182"/>
        <v>Normal</v>
      </c>
      <c r="AA1021" t="str">
        <f t="shared" si="183"/>
        <v>High</v>
      </c>
      <c r="AB1021" t="str">
        <f t="shared" si="187"/>
        <v>Low Profit</v>
      </c>
      <c r="AC1021" s="3">
        <f t="shared" si="188"/>
        <v>7.3392710845854942E-2</v>
      </c>
      <c r="AD1021" s="3">
        <f t="shared" si="189"/>
        <v>873.9559999999999</v>
      </c>
      <c r="AE1021" s="3">
        <f t="shared" si="190"/>
        <v>64.141999999999996</v>
      </c>
      <c r="AF1021" t="str">
        <f t="shared" si="191"/>
        <v>Regular</v>
      </c>
    </row>
    <row r="1022" spans="1:32" x14ac:dyDescent="0.25">
      <c r="A1022" t="s">
        <v>1400</v>
      </c>
      <c r="B1022" s="1">
        <v>45423</v>
      </c>
      <c r="C1022" s="1">
        <v>45424</v>
      </c>
      <c r="D1022" s="4">
        <f t="shared" si="180"/>
        <v>1</v>
      </c>
      <c r="E1022" s="4" t="str">
        <f>TEXT(Table1[[#This Row],[Order_Date]],"dddd")</f>
        <v>Saturday</v>
      </c>
      <c r="F1022" s="4">
        <f t="shared" si="181"/>
        <v>5</v>
      </c>
      <c r="G1022" t="str">
        <f t="shared" si="184"/>
        <v>May</v>
      </c>
      <c r="H1022">
        <f t="shared" si="185"/>
        <v>2024</v>
      </c>
      <c r="I1022" t="str">
        <f t="shared" si="186"/>
        <v>2024-Q2</v>
      </c>
      <c r="J1022" t="s">
        <v>21</v>
      </c>
      <c r="K1022" t="s">
        <v>1401</v>
      </c>
      <c r="L1022" t="s">
        <v>1402</v>
      </c>
      <c r="M1022" t="s">
        <v>24</v>
      </c>
      <c r="N1022" t="s">
        <v>25</v>
      </c>
      <c r="O1022" t="s">
        <v>190</v>
      </c>
      <c r="P1022" t="s">
        <v>120</v>
      </c>
      <c r="Q1022" t="s">
        <v>39</v>
      </c>
      <c r="R1022" t="s">
        <v>7403</v>
      </c>
      <c r="S1022" t="s">
        <v>59</v>
      </c>
      <c r="T1022" t="s">
        <v>303</v>
      </c>
      <c r="U1022" t="s">
        <v>1403</v>
      </c>
      <c r="V1022" s="3">
        <v>1672.84</v>
      </c>
      <c r="W1022" s="4">
        <v>8</v>
      </c>
      <c r="X1022" s="2">
        <v>0.1</v>
      </c>
      <c r="Y1022" s="3">
        <v>-205.15</v>
      </c>
      <c r="Z1022" t="str">
        <f t="shared" si="182"/>
        <v>Normal</v>
      </c>
      <c r="AA1022" t="str">
        <f t="shared" si="183"/>
        <v>Medium</v>
      </c>
      <c r="AB1022" t="str">
        <f t="shared" si="187"/>
        <v>Loss</v>
      </c>
      <c r="AC1022" s="3">
        <f t="shared" si="188"/>
        <v>-0.12263575715549606</v>
      </c>
      <c r="AD1022" s="3">
        <f t="shared" si="189"/>
        <v>209.10499999999999</v>
      </c>
      <c r="AE1022" s="3">
        <f t="shared" si="190"/>
        <v>-25.643750000000001</v>
      </c>
      <c r="AF1022" t="str">
        <f t="shared" si="191"/>
        <v>Regular</v>
      </c>
    </row>
    <row r="1023" spans="1:32" x14ac:dyDescent="0.25">
      <c r="A1023" t="s">
        <v>2453</v>
      </c>
      <c r="B1023" s="1">
        <v>45423</v>
      </c>
      <c r="C1023" s="1">
        <v>45425</v>
      </c>
      <c r="D1023" s="4">
        <f t="shared" si="180"/>
        <v>2</v>
      </c>
      <c r="E1023" s="4" t="str">
        <f>TEXT(Table1[[#This Row],[Order_Date]],"dddd")</f>
        <v>Saturday</v>
      </c>
      <c r="F1023" s="4">
        <f t="shared" si="181"/>
        <v>5</v>
      </c>
      <c r="G1023" t="str">
        <f t="shared" si="184"/>
        <v>May</v>
      </c>
      <c r="H1023">
        <f t="shared" si="185"/>
        <v>2024</v>
      </c>
      <c r="I1023" t="str">
        <f t="shared" si="186"/>
        <v>2024-Q2</v>
      </c>
      <c r="J1023" t="s">
        <v>104</v>
      </c>
      <c r="K1023" t="s">
        <v>2454</v>
      </c>
      <c r="L1023" t="s">
        <v>2455</v>
      </c>
      <c r="M1023" t="s">
        <v>24</v>
      </c>
      <c r="N1023" t="s">
        <v>25</v>
      </c>
      <c r="O1023" t="s">
        <v>142</v>
      </c>
      <c r="P1023" t="s">
        <v>143</v>
      </c>
      <c r="Q1023" t="s">
        <v>28</v>
      </c>
      <c r="R1023" t="s">
        <v>2456</v>
      </c>
      <c r="S1023" t="s">
        <v>51</v>
      </c>
      <c r="T1023" t="s">
        <v>127</v>
      </c>
      <c r="U1023" t="s">
        <v>2457</v>
      </c>
      <c r="V1023" s="3">
        <v>3582.28</v>
      </c>
      <c r="W1023" s="4">
        <v>9</v>
      </c>
      <c r="X1023" s="2">
        <v>0.2</v>
      </c>
      <c r="Y1023" s="3">
        <v>-5.81</v>
      </c>
      <c r="Z1023" t="str">
        <f t="shared" si="182"/>
        <v>Normal</v>
      </c>
      <c r="AA1023" t="str">
        <f t="shared" si="183"/>
        <v>High</v>
      </c>
      <c r="AB1023" t="str">
        <f t="shared" si="187"/>
        <v>Loss</v>
      </c>
      <c r="AC1023" s="3">
        <f t="shared" si="188"/>
        <v>-1.6218721037998143E-3</v>
      </c>
      <c r="AD1023" s="3">
        <f t="shared" si="189"/>
        <v>398.03111111111116</v>
      </c>
      <c r="AE1023" s="3">
        <f t="shared" si="190"/>
        <v>-0.64555555555555555</v>
      </c>
      <c r="AF1023" t="str">
        <f t="shared" si="191"/>
        <v>Regular</v>
      </c>
    </row>
    <row r="1024" spans="1:32" x14ac:dyDescent="0.25">
      <c r="A1024" t="s">
        <v>7141</v>
      </c>
      <c r="B1024" s="1">
        <v>45424</v>
      </c>
      <c r="C1024" s="1">
        <v>45428</v>
      </c>
      <c r="D1024" s="4">
        <f t="shared" si="180"/>
        <v>4</v>
      </c>
      <c r="E1024" s="4" t="str">
        <f>TEXT(Table1[[#This Row],[Order_Date]],"dddd")</f>
        <v>Sunday</v>
      </c>
      <c r="F1024" s="4">
        <f t="shared" si="181"/>
        <v>5</v>
      </c>
      <c r="G1024" t="str">
        <f t="shared" si="184"/>
        <v>May</v>
      </c>
      <c r="H1024">
        <f t="shared" si="185"/>
        <v>2024</v>
      </c>
      <c r="I1024" t="str">
        <f t="shared" si="186"/>
        <v>2024-Q2</v>
      </c>
      <c r="J1024" t="s">
        <v>44</v>
      </c>
      <c r="K1024" t="s">
        <v>7142</v>
      </c>
      <c r="L1024" t="s">
        <v>7143</v>
      </c>
      <c r="M1024" t="s">
        <v>47</v>
      </c>
      <c r="N1024" t="s">
        <v>25</v>
      </c>
      <c r="O1024" t="s">
        <v>382</v>
      </c>
      <c r="P1024" t="s">
        <v>38</v>
      </c>
      <c r="Q1024" t="s">
        <v>87</v>
      </c>
      <c r="R1024" t="s">
        <v>7144</v>
      </c>
      <c r="S1024" t="s">
        <v>51</v>
      </c>
      <c r="T1024" t="s">
        <v>151</v>
      </c>
      <c r="U1024" t="s">
        <v>7145</v>
      </c>
      <c r="V1024" s="3">
        <v>2973.48</v>
      </c>
      <c r="W1024" s="4">
        <v>6</v>
      </c>
      <c r="X1024" s="2">
        <v>0.4</v>
      </c>
      <c r="Y1024" s="3">
        <v>-456.54</v>
      </c>
      <c r="Z1024" t="str">
        <f t="shared" si="182"/>
        <v>Normal</v>
      </c>
      <c r="AA1024" t="str">
        <f t="shared" si="183"/>
        <v>High</v>
      </c>
      <c r="AB1024" t="str">
        <f t="shared" si="187"/>
        <v>Loss</v>
      </c>
      <c r="AC1024" s="3">
        <f t="shared" si="188"/>
        <v>-0.15353726946204449</v>
      </c>
      <c r="AD1024" s="3">
        <f t="shared" si="189"/>
        <v>495.58</v>
      </c>
      <c r="AE1024" s="3">
        <f t="shared" si="190"/>
        <v>-76.09</v>
      </c>
      <c r="AF1024" t="str">
        <f t="shared" si="191"/>
        <v>Regular</v>
      </c>
    </row>
    <row r="1025" spans="1:32" x14ac:dyDescent="0.25">
      <c r="A1025" t="s">
        <v>2745</v>
      </c>
      <c r="B1025" s="1">
        <v>45425</v>
      </c>
      <c r="C1025" s="1">
        <v>45434</v>
      </c>
      <c r="D1025" s="4">
        <f t="shared" si="180"/>
        <v>9</v>
      </c>
      <c r="E1025" s="4" t="str">
        <f>TEXT(Table1[[#This Row],[Order_Date]],"dddd")</f>
        <v>Monday</v>
      </c>
      <c r="F1025" s="4">
        <f t="shared" si="181"/>
        <v>5</v>
      </c>
      <c r="G1025" t="str">
        <f t="shared" si="184"/>
        <v>May</v>
      </c>
      <c r="H1025">
        <f t="shared" si="185"/>
        <v>2024</v>
      </c>
      <c r="I1025" t="str">
        <f t="shared" si="186"/>
        <v>2024-Q2</v>
      </c>
      <c r="J1025" t="s">
        <v>104</v>
      </c>
      <c r="K1025" t="s">
        <v>2746</v>
      </c>
      <c r="L1025" t="s">
        <v>2747</v>
      </c>
      <c r="M1025" t="s">
        <v>24</v>
      </c>
      <c r="N1025" t="s">
        <v>25</v>
      </c>
      <c r="O1025" t="s">
        <v>190</v>
      </c>
      <c r="P1025" t="s">
        <v>120</v>
      </c>
      <c r="Q1025" t="s">
        <v>66</v>
      </c>
      <c r="R1025" t="s">
        <v>2748</v>
      </c>
      <c r="S1025" t="s">
        <v>51</v>
      </c>
      <c r="T1025" t="s">
        <v>94</v>
      </c>
      <c r="U1025" t="s">
        <v>2749</v>
      </c>
      <c r="V1025" s="3">
        <v>3851.24</v>
      </c>
      <c r="W1025" s="4">
        <v>7</v>
      </c>
      <c r="X1025" s="2">
        <v>0.4</v>
      </c>
      <c r="Y1025" s="3">
        <v>424.08</v>
      </c>
      <c r="Z1025" t="str">
        <f t="shared" si="182"/>
        <v>Normal</v>
      </c>
      <c r="AA1025" t="str">
        <f t="shared" si="183"/>
        <v>High</v>
      </c>
      <c r="AB1025" t="str">
        <f t="shared" si="187"/>
        <v>Low Profit</v>
      </c>
      <c r="AC1025" s="3">
        <f t="shared" si="188"/>
        <v>0.11011518368110011</v>
      </c>
      <c r="AD1025" s="3">
        <f t="shared" si="189"/>
        <v>550.17714285714283</v>
      </c>
      <c r="AE1025" s="3">
        <f t="shared" si="190"/>
        <v>60.582857142857144</v>
      </c>
      <c r="AF1025" t="str">
        <f t="shared" si="191"/>
        <v>Regular</v>
      </c>
    </row>
    <row r="1026" spans="1:32" x14ac:dyDescent="0.25">
      <c r="A1026" t="s">
        <v>2775</v>
      </c>
      <c r="B1026" s="1">
        <v>45425</v>
      </c>
      <c r="C1026" s="1">
        <v>45426</v>
      </c>
      <c r="D1026" s="4">
        <f t="shared" ref="D1026:D1089" si="192">C1026-B1026</f>
        <v>1</v>
      </c>
      <c r="E1026" s="4" t="str">
        <f>TEXT(Table1[[#This Row],[Order_Date]],"dddd")</f>
        <v>Monday</v>
      </c>
      <c r="F1026" s="4">
        <f t="shared" ref="F1026:F1089" si="193">MONTH(B1026)</f>
        <v>5</v>
      </c>
      <c r="G1026" t="str">
        <f t="shared" si="184"/>
        <v>May</v>
      </c>
      <c r="H1026">
        <f t="shared" si="185"/>
        <v>2024</v>
      </c>
      <c r="I1026" t="str">
        <f t="shared" si="186"/>
        <v>2024-Q2</v>
      </c>
      <c r="J1026" t="s">
        <v>104</v>
      </c>
      <c r="K1026" t="s">
        <v>2776</v>
      </c>
      <c r="L1026" t="s">
        <v>2777</v>
      </c>
      <c r="M1026" t="s">
        <v>24</v>
      </c>
      <c r="N1026" t="s">
        <v>25</v>
      </c>
      <c r="O1026" t="s">
        <v>227</v>
      </c>
      <c r="P1026" t="s">
        <v>49</v>
      </c>
      <c r="Q1026" t="s">
        <v>28</v>
      </c>
      <c r="R1026" t="s">
        <v>2778</v>
      </c>
      <c r="S1026" t="s">
        <v>51</v>
      </c>
      <c r="T1026" t="s">
        <v>108</v>
      </c>
      <c r="U1026" t="s">
        <v>2779</v>
      </c>
      <c r="V1026" s="3">
        <v>54.2</v>
      </c>
      <c r="W1026" s="4">
        <v>3</v>
      </c>
      <c r="X1026" s="2">
        <v>0.2</v>
      </c>
      <c r="Y1026" s="3">
        <v>14.11</v>
      </c>
      <c r="Z1026" t="str">
        <f t="shared" ref="Z1026:Z1089" si="194">IF(OR(Y1026&lt;-800.884,Y1026&gt;1030.126),"Outlier","Normal")</f>
        <v>Normal</v>
      </c>
      <c r="AA1026" t="str">
        <f t="shared" ref="AA1026:AA1089" si="195">IF(X1026&lt;10%,"Low",IF(X1026&lt;0.2,"Medium","High"))</f>
        <v>High</v>
      </c>
      <c r="AB1026" t="str">
        <f t="shared" si="187"/>
        <v>Low Profit</v>
      </c>
      <c r="AC1026" s="3">
        <f t="shared" si="188"/>
        <v>0.26033210332103318</v>
      </c>
      <c r="AD1026" s="3">
        <f t="shared" si="189"/>
        <v>18.066666666666666</v>
      </c>
      <c r="AE1026" s="3">
        <f t="shared" si="190"/>
        <v>4.7033333333333331</v>
      </c>
      <c r="AF1026" t="str">
        <f t="shared" si="191"/>
        <v>Regular</v>
      </c>
    </row>
    <row r="1027" spans="1:32" x14ac:dyDescent="0.25">
      <c r="A1027" t="s">
        <v>1056</v>
      </c>
      <c r="B1027" s="1">
        <v>45426</v>
      </c>
      <c r="C1027" s="1">
        <v>45435</v>
      </c>
      <c r="D1027" s="4">
        <f t="shared" si="192"/>
        <v>9</v>
      </c>
      <c r="E1027" s="4" t="str">
        <f>TEXT(Table1[[#This Row],[Order_Date]],"dddd")</f>
        <v>Tuesday</v>
      </c>
      <c r="F1027" s="4">
        <f t="shared" si="193"/>
        <v>5</v>
      </c>
      <c r="G1027" t="str">
        <f t="shared" ref="G1027:G1090" si="196">TEXT(B1027,"mmmm")</f>
        <v>May</v>
      </c>
      <c r="H1027">
        <f t="shared" ref="H1027:H1090" si="197">YEAR(B1027)</f>
        <v>2024</v>
      </c>
      <c r="I1027" t="str">
        <f t="shared" ref="I1027:I1090" si="198">H1027 &amp; "-Q" &amp; INT((MONTH(B1027)+2)/3)</f>
        <v>2024-Q2</v>
      </c>
      <c r="J1027" t="s">
        <v>21</v>
      </c>
      <c r="K1027" t="s">
        <v>1057</v>
      </c>
      <c r="L1027" t="s">
        <v>1058</v>
      </c>
      <c r="M1027" t="s">
        <v>36</v>
      </c>
      <c r="N1027" t="s">
        <v>25</v>
      </c>
      <c r="O1027" t="s">
        <v>65</v>
      </c>
      <c r="P1027" t="s">
        <v>27</v>
      </c>
      <c r="Q1027" t="s">
        <v>39</v>
      </c>
      <c r="R1027" t="s">
        <v>1059</v>
      </c>
      <c r="S1027" t="s">
        <v>59</v>
      </c>
      <c r="T1027" t="s">
        <v>60</v>
      </c>
      <c r="U1027" t="s">
        <v>1060</v>
      </c>
      <c r="V1027" s="3">
        <v>1670.98</v>
      </c>
      <c r="W1027" s="4">
        <v>4</v>
      </c>
      <c r="X1027" s="2">
        <v>0.3</v>
      </c>
      <c r="Y1027" s="3">
        <v>424.62</v>
      </c>
      <c r="Z1027" t="str">
        <f t="shared" si="194"/>
        <v>Normal</v>
      </c>
      <c r="AA1027" t="str">
        <f t="shared" si="195"/>
        <v>High</v>
      </c>
      <c r="AB1027" t="str">
        <f t="shared" ref="AB1027:AB1090" si="199">IF(Y1027&lt;0, "Loss", IF(Y1027&lt;500,"Low Profit", "High Profit"))</f>
        <v>Low Profit</v>
      </c>
      <c r="AC1027" s="3">
        <f t="shared" ref="AC1027:AC1090" si="200">Y1027/V1027</f>
        <v>0.25411435205687682</v>
      </c>
      <c r="AD1027" s="3">
        <f t="shared" ref="AD1027:AD1090" si="201">V1027/W1027</f>
        <v>417.745</v>
      </c>
      <c r="AE1027" s="3">
        <f t="shared" ref="AE1027:AE1090" si="202">Y1027/W1027</f>
        <v>106.155</v>
      </c>
      <c r="AF1027" t="str">
        <f t="shared" ref="AF1027:AF1090" si="203">IF(V1027&gt;5000,"High value", "Regular")</f>
        <v>Regular</v>
      </c>
    </row>
    <row r="1028" spans="1:32" x14ac:dyDescent="0.25">
      <c r="A1028" t="s">
        <v>7019</v>
      </c>
      <c r="B1028" s="1">
        <v>45426</v>
      </c>
      <c r="C1028" s="1">
        <v>45429</v>
      </c>
      <c r="D1028" s="4">
        <f t="shared" si="192"/>
        <v>3</v>
      </c>
      <c r="E1028" s="4" t="str">
        <f>TEXT(Table1[[#This Row],[Order_Date]],"dddd")</f>
        <v>Tuesday</v>
      </c>
      <c r="F1028" s="4">
        <f t="shared" si="193"/>
        <v>5</v>
      </c>
      <c r="G1028" t="str">
        <f t="shared" si="196"/>
        <v>May</v>
      </c>
      <c r="H1028">
        <f t="shared" si="197"/>
        <v>2024</v>
      </c>
      <c r="I1028" t="str">
        <f t="shared" si="198"/>
        <v>2024-Q2</v>
      </c>
      <c r="J1028" t="s">
        <v>21</v>
      </c>
      <c r="K1028" t="s">
        <v>7020</v>
      </c>
      <c r="L1028" t="s">
        <v>7021</v>
      </c>
      <c r="M1028" t="s">
        <v>47</v>
      </c>
      <c r="N1028" t="s">
        <v>25</v>
      </c>
      <c r="O1028" t="s">
        <v>26</v>
      </c>
      <c r="P1028" t="s">
        <v>27</v>
      </c>
      <c r="Q1028" t="s">
        <v>28</v>
      </c>
      <c r="R1028" t="s">
        <v>7022</v>
      </c>
      <c r="S1028" t="s">
        <v>30</v>
      </c>
      <c r="T1028" t="s">
        <v>31</v>
      </c>
      <c r="U1028" t="s">
        <v>7023</v>
      </c>
      <c r="V1028" s="3">
        <v>286.26</v>
      </c>
      <c r="W1028" s="4">
        <v>5</v>
      </c>
      <c r="X1028" s="2">
        <v>0</v>
      </c>
      <c r="Y1028" s="3">
        <v>-6.91</v>
      </c>
      <c r="Z1028" t="str">
        <f t="shared" si="194"/>
        <v>Normal</v>
      </c>
      <c r="AA1028" t="str">
        <f t="shared" si="195"/>
        <v>Low</v>
      </c>
      <c r="AB1028" t="str">
        <f t="shared" si="199"/>
        <v>Loss</v>
      </c>
      <c r="AC1028" s="3">
        <f t="shared" si="200"/>
        <v>-2.4138894711101797E-2</v>
      </c>
      <c r="AD1028" s="3">
        <f t="shared" si="201"/>
        <v>57.251999999999995</v>
      </c>
      <c r="AE1028" s="3">
        <f t="shared" si="202"/>
        <v>-1.3820000000000001</v>
      </c>
      <c r="AF1028" t="str">
        <f t="shared" si="203"/>
        <v>Regular</v>
      </c>
    </row>
    <row r="1029" spans="1:32" x14ac:dyDescent="0.25">
      <c r="A1029" t="s">
        <v>5707</v>
      </c>
      <c r="B1029" s="1">
        <v>45428</v>
      </c>
      <c r="C1029" s="1">
        <v>45433</v>
      </c>
      <c r="D1029" s="4">
        <f t="shared" si="192"/>
        <v>5</v>
      </c>
      <c r="E1029" s="4" t="str">
        <f>TEXT(Table1[[#This Row],[Order_Date]],"dddd")</f>
        <v>Thursday</v>
      </c>
      <c r="F1029" s="4">
        <f t="shared" si="193"/>
        <v>5</v>
      </c>
      <c r="G1029" t="str">
        <f t="shared" si="196"/>
        <v>May</v>
      </c>
      <c r="H1029">
        <f t="shared" si="197"/>
        <v>2024</v>
      </c>
      <c r="I1029" t="str">
        <f t="shared" si="198"/>
        <v>2024-Q2</v>
      </c>
      <c r="J1029" t="s">
        <v>44</v>
      </c>
      <c r="K1029" t="s">
        <v>5708</v>
      </c>
      <c r="L1029" t="s">
        <v>5709</v>
      </c>
      <c r="M1029" t="s">
        <v>36</v>
      </c>
      <c r="N1029" t="s">
        <v>25</v>
      </c>
      <c r="O1029" t="s">
        <v>255</v>
      </c>
      <c r="P1029" t="s">
        <v>143</v>
      </c>
      <c r="Q1029" t="s">
        <v>66</v>
      </c>
      <c r="R1029" t="s">
        <v>5710</v>
      </c>
      <c r="S1029" t="s">
        <v>59</v>
      </c>
      <c r="T1029" t="s">
        <v>60</v>
      </c>
      <c r="U1029" t="s">
        <v>1145</v>
      </c>
      <c r="V1029" s="3">
        <v>325.94</v>
      </c>
      <c r="W1029" s="4">
        <v>6</v>
      </c>
      <c r="X1029" s="2">
        <v>0.1</v>
      </c>
      <c r="Y1029" s="3">
        <v>11.76</v>
      </c>
      <c r="Z1029" t="str">
        <f t="shared" si="194"/>
        <v>Normal</v>
      </c>
      <c r="AA1029" t="str">
        <f t="shared" si="195"/>
        <v>Medium</v>
      </c>
      <c r="AB1029" t="str">
        <f t="shared" si="199"/>
        <v>Low Profit</v>
      </c>
      <c r="AC1029" s="3">
        <f t="shared" si="200"/>
        <v>3.6080260170583543E-2</v>
      </c>
      <c r="AD1029" s="3">
        <f t="shared" si="201"/>
        <v>54.323333333333331</v>
      </c>
      <c r="AE1029" s="3">
        <f t="shared" si="202"/>
        <v>1.96</v>
      </c>
      <c r="AF1029" t="str">
        <f t="shared" si="203"/>
        <v>Regular</v>
      </c>
    </row>
    <row r="1030" spans="1:32" x14ac:dyDescent="0.25">
      <c r="A1030" t="s">
        <v>4274</v>
      </c>
      <c r="B1030" s="1">
        <v>45428</v>
      </c>
      <c r="C1030" s="1">
        <v>45432</v>
      </c>
      <c r="D1030" s="4">
        <f t="shared" si="192"/>
        <v>4</v>
      </c>
      <c r="E1030" s="4" t="str">
        <f>TEXT(Table1[[#This Row],[Order_Date]],"dddd")</f>
        <v>Thursday</v>
      </c>
      <c r="F1030" s="4">
        <f t="shared" si="193"/>
        <v>5</v>
      </c>
      <c r="G1030" t="str">
        <f t="shared" si="196"/>
        <v>May</v>
      </c>
      <c r="H1030">
        <f t="shared" si="197"/>
        <v>2024</v>
      </c>
      <c r="I1030" t="str">
        <f t="shared" si="198"/>
        <v>2024-Q2</v>
      </c>
      <c r="J1030" t="s">
        <v>55</v>
      </c>
      <c r="K1030" t="s">
        <v>4275</v>
      </c>
      <c r="L1030" t="s">
        <v>4276</v>
      </c>
      <c r="M1030" t="s">
        <v>36</v>
      </c>
      <c r="N1030" t="s">
        <v>25</v>
      </c>
      <c r="O1030" t="s">
        <v>201</v>
      </c>
      <c r="P1030" t="s">
        <v>113</v>
      </c>
      <c r="Q1030" t="s">
        <v>28</v>
      </c>
      <c r="R1030" t="s">
        <v>4277</v>
      </c>
      <c r="S1030" t="s">
        <v>59</v>
      </c>
      <c r="T1030" t="s">
        <v>101</v>
      </c>
      <c r="U1030" t="s">
        <v>4278</v>
      </c>
      <c r="V1030" s="3">
        <v>3266.57</v>
      </c>
      <c r="W1030" s="4">
        <v>9</v>
      </c>
      <c r="X1030" s="2">
        <v>0.3</v>
      </c>
      <c r="Y1030" s="3">
        <v>320.88</v>
      </c>
      <c r="Z1030" t="str">
        <f t="shared" si="194"/>
        <v>Normal</v>
      </c>
      <c r="AA1030" t="str">
        <f t="shared" si="195"/>
        <v>High</v>
      </c>
      <c r="AB1030" t="str">
        <f t="shared" si="199"/>
        <v>Low Profit</v>
      </c>
      <c r="AC1030" s="3">
        <f t="shared" si="200"/>
        <v>9.8231478278438852E-2</v>
      </c>
      <c r="AD1030" s="3">
        <f t="shared" si="201"/>
        <v>362.95222222222225</v>
      </c>
      <c r="AE1030" s="3">
        <f t="shared" si="202"/>
        <v>35.653333333333336</v>
      </c>
      <c r="AF1030" t="str">
        <f t="shared" si="203"/>
        <v>Regular</v>
      </c>
    </row>
    <row r="1031" spans="1:32" x14ac:dyDescent="0.25">
      <c r="A1031" t="s">
        <v>2389</v>
      </c>
      <c r="B1031" s="1">
        <v>45428</v>
      </c>
      <c r="C1031" s="1">
        <f>B1031+5</f>
        <v>45433</v>
      </c>
      <c r="D1031" s="4">
        <f t="shared" si="192"/>
        <v>5</v>
      </c>
      <c r="E1031" s="4" t="str">
        <f>TEXT(Table1[[#This Row],[Order_Date]],"dddd")</f>
        <v>Thursday</v>
      </c>
      <c r="F1031" s="4">
        <f t="shared" si="193"/>
        <v>5</v>
      </c>
      <c r="G1031" t="str">
        <f t="shared" si="196"/>
        <v>May</v>
      </c>
      <c r="H1031">
        <f t="shared" si="197"/>
        <v>2024</v>
      </c>
      <c r="I1031" t="str">
        <f t="shared" si="198"/>
        <v>2024-Q2</v>
      </c>
      <c r="J1031" t="s">
        <v>104</v>
      </c>
      <c r="K1031" t="s">
        <v>2390</v>
      </c>
      <c r="L1031" t="s">
        <v>2391</v>
      </c>
      <c r="M1031" t="s">
        <v>24</v>
      </c>
      <c r="N1031" t="s">
        <v>25</v>
      </c>
      <c r="O1031" t="s">
        <v>80</v>
      </c>
      <c r="P1031" t="s">
        <v>49</v>
      </c>
      <c r="Q1031" t="s">
        <v>87</v>
      </c>
      <c r="R1031" t="s">
        <v>2392</v>
      </c>
      <c r="S1031" t="s">
        <v>30</v>
      </c>
      <c r="T1031" t="s">
        <v>68</v>
      </c>
      <c r="U1031" t="s">
        <v>69</v>
      </c>
      <c r="V1031" s="3">
        <v>1989.85</v>
      </c>
      <c r="W1031" s="4">
        <v>1</v>
      </c>
      <c r="X1031" s="2">
        <v>0.4</v>
      </c>
      <c r="Y1031" s="3">
        <v>80.37</v>
      </c>
      <c r="Z1031" t="str">
        <f t="shared" si="194"/>
        <v>Normal</v>
      </c>
      <c r="AA1031" t="str">
        <f t="shared" si="195"/>
        <v>High</v>
      </c>
      <c r="AB1031" t="str">
        <f t="shared" si="199"/>
        <v>Low Profit</v>
      </c>
      <c r="AC1031" s="3">
        <f t="shared" si="200"/>
        <v>4.0389979144156596E-2</v>
      </c>
      <c r="AD1031" s="3">
        <f t="shared" si="201"/>
        <v>1989.85</v>
      </c>
      <c r="AE1031" s="3">
        <f t="shared" si="202"/>
        <v>80.37</v>
      </c>
      <c r="AF1031" t="str">
        <f t="shared" si="203"/>
        <v>Regular</v>
      </c>
    </row>
    <row r="1032" spans="1:32" x14ac:dyDescent="0.25">
      <c r="A1032" t="s">
        <v>2143</v>
      </c>
      <c r="B1032" s="1">
        <v>45428</v>
      </c>
      <c r="C1032" s="1">
        <v>45435</v>
      </c>
      <c r="D1032" s="4">
        <f t="shared" si="192"/>
        <v>7</v>
      </c>
      <c r="E1032" s="4" t="str">
        <f>TEXT(Table1[[#This Row],[Order_Date]],"dddd")</f>
        <v>Thursday</v>
      </c>
      <c r="F1032" s="4">
        <f t="shared" si="193"/>
        <v>5</v>
      </c>
      <c r="G1032" t="str">
        <f t="shared" si="196"/>
        <v>May</v>
      </c>
      <c r="H1032">
        <f t="shared" si="197"/>
        <v>2024</v>
      </c>
      <c r="I1032" t="str">
        <f t="shared" si="198"/>
        <v>2024-Q2</v>
      </c>
      <c r="J1032" t="s">
        <v>55</v>
      </c>
      <c r="K1032" t="s">
        <v>2144</v>
      </c>
      <c r="L1032" t="s">
        <v>2145</v>
      </c>
      <c r="M1032" t="s">
        <v>24</v>
      </c>
      <c r="N1032" t="s">
        <v>25</v>
      </c>
      <c r="O1032" t="s">
        <v>244</v>
      </c>
      <c r="P1032" t="s">
        <v>163</v>
      </c>
      <c r="Q1032" t="s">
        <v>28</v>
      </c>
      <c r="R1032" t="s">
        <v>2146</v>
      </c>
      <c r="S1032" t="s">
        <v>59</v>
      </c>
      <c r="T1032" t="s">
        <v>101</v>
      </c>
      <c r="U1032" t="s">
        <v>2147</v>
      </c>
      <c r="V1032" s="3">
        <v>1559.33</v>
      </c>
      <c r="W1032" s="4">
        <v>7</v>
      </c>
      <c r="X1032" s="2">
        <v>0.2</v>
      </c>
      <c r="Y1032" s="3">
        <v>-173.08</v>
      </c>
      <c r="Z1032" t="str">
        <f t="shared" si="194"/>
        <v>Normal</v>
      </c>
      <c r="AA1032" t="str">
        <f t="shared" si="195"/>
        <v>High</v>
      </c>
      <c r="AB1032" t="str">
        <f t="shared" si="199"/>
        <v>Loss</v>
      </c>
      <c r="AC1032" s="3">
        <f t="shared" si="200"/>
        <v>-0.11099638947496683</v>
      </c>
      <c r="AD1032" s="3">
        <f t="shared" si="201"/>
        <v>222.76142857142855</v>
      </c>
      <c r="AE1032" s="3">
        <f t="shared" si="202"/>
        <v>-24.725714285714286</v>
      </c>
      <c r="AF1032" t="str">
        <f t="shared" si="203"/>
        <v>Regular</v>
      </c>
    </row>
    <row r="1033" spans="1:32" x14ac:dyDescent="0.25">
      <c r="A1033" t="s">
        <v>1277</v>
      </c>
      <c r="B1033" s="1">
        <v>45429</v>
      </c>
      <c r="C1033" s="1">
        <v>45431</v>
      </c>
      <c r="D1033" s="4">
        <f t="shared" si="192"/>
        <v>2</v>
      </c>
      <c r="E1033" s="4" t="str">
        <f>TEXT(Table1[[#This Row],[Order_Date]],"dddd")</f>
        <v>Friday</v>
      </c>
      <c r="F1033" s="4">
        <f t="shared" si="193"/>
        <v>5</v>
      </c>
      <c r="G1033" t="str">
        <f t="shared" si="196"/>
        <v>May</v>
      </c>
      <c r="H1033">
        <f t="shared" si="197"/>
        <v>2024</v>
      </c>
      <c r="I1033" t="str">
        <f t="shared" si="198"/>
        <v>2024-Q2</v>
      </c>
      <c r="J1033" t="s">
        <v>21</v>
      </c>
      <c r="K1033" t="s">
        <v>1278</v>
      </c>
      <c r="L1033" t="s">
        <v>1279</v>
      </c>
      <c r="M1033" t="s">
        <v>36</v>
      </c>
      <c r="N1033" t="s">
        <v>25</v>
      </c>
      <c r="O1033" t="s">
        <v>37</v>
      </c>
      <c r="P1033" t="s">
        <v>38</v>
      </c>
      <c r="Q1033" t="s">
        <v>39</v>
      </c>
      <c r="R1033" t="s">
        <v>1280</v>
      </c>
      <c r="S1033" t="s">
        <v>51</v>
      </c>
      <c r="T1033" t="s">
        <v>151</v>
      </c>
      <c r="U1033" t="s">
        <v>1281</v>
      </c>
      <c r="V1033" s="3">
        <v>1820.46</v>
      </c>
      <c r="W1033" s="4">
        <v>2</v>
      </c>
      <c r="X1033" s="2">
        <v>0.2</v>
      </c>
      <c r="Y1033" s="3">
        <v>-336.77</v>
      </c>
      <c r="Z1033" t="str">
        <f t="shared" si="194"/>
        <v>Normal</v>
      </c>
      <c r="AA1033" t="str">
        <f t="shared" si="195"/>
        <v>High</v>
      </c>
      <c r="AB1033" t="str">
        <f t="shared" si="199"/>
        <v>Loss</v>
      </c>
      <c r="AC1033" s="3">
        <f t="shared" si="200"/>
        <v>-0.18499170539314239</v>
      </c>
      <c r="AD1033" s="3">
        <f t="shared" si="201"/>
        <v>910.23</v>
      </c>
      <c r="AE1033" s="3">
        <f t="shared" si="202"/>
        <v>-168.38499999999999</v>
      </c>
      <c r="AF1033" t="str">
        <f t="shared" si="203"/>
        <v>Regular</v>
      </c>
    </row>
    <row r="1034" spans="1:32" x14ac:dyDescent="0.25">
      <c r="A1034" t="s">
        <v>2001</v>
      </c>
      <c r="B1034" s="1">
        <v>45429</v>
      </c>
      <c r="C1034" s="1">
        <v>45439</v>
      </c>
      <c r="D1034" s="4">
        <f t="shared" si="192"/>
        <v>10</v>
      </c>
      <c r="E1034" s="4" t="str">
        <f>TEXT(Table1[[#This Row],[Order_Date]],"dddd")</f>
        <v>Friday</v>
      </c>
      <c r="F1034" s="4">
        <f t="shared" si="193"/>
        <v>5</v>
      </c>
      <c r="G1034" t="str">
        <f t="shared" si="196"/>
        <v>May</v>
      </c>
      <c r="H1034">
        <f t="shared" si="197"/>
        <v>2024</v>
      </c>
      <c r="I1034" t="str">
        <f t="shared" si="198"/>
        <v>2024-Q2</v>
      </c>
      <c r="J1034" t="s">
        <v>21</v>
      </c>
      <c r="K1034" t="s">
        <v>2002</v>
      </c>
      <c r="L1034" t="s">
        <v>2003</v>
      </c>
      <c r="M1034" t="s">
        <v>24</v>
      </c>
      <c r="N1034" t="s">
        <v>25</v>
      </c>
      <c r="O1034" t="s">
        <v>113</v>
      </c>
      <c r="P1034" t="s">
        <v>113</v>
      </c>
      <c r="Q1034" t="s">
        <v>39</v>
      </c>
      <c r="R1034" t="s">
        <v>2004</v>
      </c>
      <c r="S1034" t="s">
        <v>51</v>
      </c>
      <c r="T1034" t="s">
        <v>52</v>
      </c>
      <c r="U1034" t="s">
        <v>2005</v>
      </c>
      <c r="V1034" s="3">
        <v>4348.6000000000004</v>
      </c>
      <c r="W1034" s="4">
        <v>7</v>
      </c>
      <c r="X1034" s="2">
        <v>0</v>
      </c>
      <c r="Y1034" s="3">
        <v>630.65</v>
      </c>
      <c r="Z1034" t="str">
        <f t="shared" si="194"/>
        <v>Normal</v>
      </c>
      <c r="AA1034" t="str">
        <f t="shared" si="195"/>
        <v>Low</v>
      </c>
      <c r="AB1034" t="str">
        <f t="shared" si="199"/>
        <v>High Profit</v>
      </c>
      <c r="AC1034" s="3">
        <f t="shared" si="200"/>
        <v>0.14502368578393043</v>
      </c>
      <c r="AD1034" s="3">
        <f t="shared" si="201"/>
        <v>621.22857142857151</v>
      </c>
      <c r="AE1034" s="3">
        <f t="shared" si="202"/>
        <v>90.092857142857142</v>
      </c>
      <c r="AF1034" t="str">
        <f t="shared" si="203"/>
        <v>Regular</v>
      </c>
    </row>
    <row r="1035" spans="1:32" x14ac:dyDescent="0.25">
      <c r="A1035" t="s">
        <v>2094</v>
      </c>
      <c r="B1035" s="1">
        <v>45430</v>
      </c>
      <c r="C1035" s="1">
        <v>45433</v>
      </c>
      <c r="D1035" s="4">
        <f t="shared" si="192"/>
        <v>3</v>
      </c>
      <c r="E1035" s="4" t="str">
        <f>TEXT(Table1[[#This Row],[Order_Date]],"dddd")</f>
        <v>Saturday</v>
      </c>
      <c r="F1035" s="4">
        <f t="shared" si="193"/>
        <v>5</v>
      </c>
      <c r="G1035" t="str">
        <f t="shared" si="196"/>
        <v>May</v>
      </c>
      <c r="H1035">
        <f t="shared" si="197"/>
        <v>2024</v>
      </c>
      <c r="I1035" t="str">
        <f t="shared" si="198"/>
        <v>2024-Q2</v>
      </c>
      <c r="J1035" t="s">
        <v>55</v>
      </c>
      <c r="K1035" t="s">
        <v>2095</v>
      </c>
      <c r="L1035" t="s">
        <v>2096</v>
      </c>
      <c r="M1035" t="s">
        <v>24</v>
      </c>
      <c r="N1035" t="s">
        <v>25</v>
      </c>
      <c r="O1035" t="s">
        <v>119</v>
      </c>
      <c r="P1035" t="s">
        <v>120</v>
      </c>
      <c r="Q1035" t="s">
        <v>66</v>
      </c>
      <c r="R1035" t="s">
        <v>7403</v>
      </c>
      <c r="S1035" t="s">
        <v>59</v>
      </c>
      <c r="T1035" t="s">
        <v>303</v>
      </c>
      <c r="U1035" t="s">
        <v>2097</v>
      </c>
      <c r="V1035" s="3">
        <v>1595.26</v>
      </c>
      <c r="W1035" s="4">
        <v>3</v>
      </c>
      <c r="X1035" s="2">
        <v>0.1</v>
      </c>
      <c r="Y1035" s="3">
        <v>56.23</v>
      </c>
      <c r="Z1035" t="str">
        <f t="shared" si="194"/>
        <v>Normal</v>
      </c>
      <c r="AA1035" t="str">
        <f t="shared" si="195"/>
        <v>Medium</v>
      </c>
      <c r="AB1035" t="str">
        <f t="shared" si="199"/>
        <v>Low Profit</v>
      </c>
      <c r="AC1035" s="3">
        <f t="shared" si="200"/>
        <v>3.5248172711658289E-2</v>
      </c>
      <c r="AD1035" s="3">
        <f t="shared" si="201"/>
        <v>531.75333333333333</v>
      </c>
      <c r="AE1035" s="3">
        <f t="shared" si="202"/>
        <v>18.743333333333332</v>
      </c>
      <c r="AF1035" t="str">
        <f t="shared" si="203"/>
        <v>Regular</v>
      </c>
    </row>
    <row r="1036" spans="1:32" x14ac:dyDescent="0.25">
      <c r="A1036" t="s">
        <v>644</v>
      </c>
      <c r="B1036" s="1">
        <v>45430</v>
      </c>
      <c r="C1036" s="1">
        <v>45439</v>
      </c>
      <c r="D1036" s="4">
        <f t="shared" si="192"/>
        <v>9</v>
      </c>
      <c r="E1036" s="4" t="str">
        <f>TEXT(Table1[[#This Row],[Order_Date]],"dddd")</f>
        <v>Saturday</v>
      </c>
      <c r="F1036" s="4">
        <f t="shared" si="193"/>
        <v>5</v>
      </c>
      <c r="G1036" t="str">
        <f t="shared" si="196"/>
        <v>May</v>
      </c>
      <c r="H1036">
        <f t="shared" si="197"/>
        <v>2024</v>
      </c>
      <c r="I1036" t="str">
        <f t="shared" si="198"/>
        <v>2024-Q2</v>
      </c>
      <c r="J1036" t="s">
        <v>104</v>
      </c>
      <c r="K1036" t="s">
        <v>645</v>
      </c>
      <c r="L1036" t="s">
        <v>646</v>
      </c>
      <c r="M1036" t="s">
        <v>47</v>
      </c>
      <c r="N1036" t="s">
        <v>25</v>
      </c>
      <c r="O1036" t="s">
        <v>37</v>
      </c>
      <c r="P1036" t="s">
        <v>38</v>
      </c>
      <c r="Q1036" t="s">
        <v>66</v>
      </c>
      <c r="R1036" t="s">
        <v>647</v>
      </c>
      <c r="S1036" t="s">
        <v>51</v>
      </c>
      <c r="T1036" t="s">
        <v>108</v>
      </c>
      <c r="U1036" t="s">
        <v>648</v>
      </c>
      <c r="V1036" s="3">
        <v>3043.84</v>
      </c>
      <c r="W1036" s="4">
        <v>8</v>
      </c>
      <c r="X1036" s="2">
        <v>0</v>
      </c>
      <c r="Y1036" s="3">
        <v>-278.7</v>
      </c>
      <c r="Z1036" t="str">
        <f t="shared" si="194"/>
        <v>Normal</v>
      </c>
      <c r="AA1036" t="str">
        <f t="shared" si="195"/>
        <v>Low</v>
      </c>
      <c r="AB1036" t="str">
        <f t="shared" si="199"/>
        <v>Loss</v>
      </c>
      <c r="AC1036" s="3">
        <f t="shared" si="200"/>
        <v>-9.1561974348191744E-2</v>
      </c>
      <c r="AD1036" s="3">
        <f t="shared" si="201"/>
        <v>380.48</v>
      </c>
      <c r="AE1036" s="3">
        <f t="shared" si="202"/>
        <v>-34.837499999999999</v>
      </c>
      <c r="AF1036" t="str">
        <f t="shared" si="203"/>
        <v>Regular</v>
      </c>
    </row>
    <row r="1037" spans="1:32" x14ac:dyDescent="0.25">
      <c r="A1037" t="s">
        <v>3248</v>
      </c>
      <c r="B1037" s="1">
        <v>45432</v>
      </c>
      <c r="C1037" s="1">
        <v>45433</v>
      </c>
      <c r="D1037" s="4">
        <f t="shared" si="192"/>
        <v>1</v>
      </c>
      <c r="E1037" s="4" t="str">
        <f>TEXT(Table1[[#This Row],[Order_Date]],"dddd")</f>
        <v>Monday</v>
      </c>
      <c r="F1037" s="4">
        <f t="shared" si="193"/>
        <v>5</v>
      </c>
      <c r="G1037" t="str">
        <f t="shared" si="196"/>
        <v>May</v>
      </c>
      <c r="H1037">
        <f t="shared" si="197"/>
        <v>2024</v>
      </c>
      <c r="I1037" t="str">
        <f t="shared" si="198"/>
        <v>2024-Q2</v>
      </c>
      <c r="J1037" t="s">
        <v>104</v>
      </c>
      <c r="K1037" t="s">
        <v>3249</v>
      </c>
      <c r="L1037" t="s">
        <v>3250</v>
      </c>
      <c r="M1037" t="s">
        <v>36</v>
      </c>
      <c r="N1037" t="s">
        <v>25</v>
      </c>
      <c r="O1037" t="s">
        <v>119</v>
      </c>
      <c r="P1037" t="s">
        <v>120</v>
      </c>
      <c r="Q1037" t="s">
        <v>39</v>
      </c>
      <c r="R1037" t="s">
        <v>3251</v>
      </c>
      <c r="S1037" t="s">
        <v>30</v>
      </c>
      <c r="T1037" t="s">
        <v>31</v>
      </c>
      <c r="U1037" t="s">
        <v>3252</v>
      </c>
      <c r="V1037" s="3">
        <v>1958.58</v>
      </c>
      <c r="W1037" s="4">
        <v>4</v>
      </c>
      <c r="X1037" s="2">
        <v>0.4</v>
      </c>
      <c r="Y1037" s="3">
        <v>361.46</v>
      </c>
      <c r="Z1037" t="str">
        <f t="shared" si="194"/>
        <v>Normal</v>
      </c>
      <c r="AA1037" t="str">
        <f t="shared" si="195"/>
        <v>High</v>
      </c>
      <c r="AB1037" t="str">
        <f t="shared" si="199"/>
        <v>Low Profit</v>
      </c>
      <c r="AC1037" s="3">
        <f t="shared" si="200"/>
        <v>0.18455207344096233</v>
      </c>
      <c r="AD1037" s="3">
        <f t="shared" si="201"/>
        <v>489.64499999999998</v>
      </c>
      <c r="AE1037" s="3">
        <f t="shared" si="202"/>
        <v>90.364999999999995</v>
      </c>
      <c r="AF1037" t="str">
        <f t="shared" si="203"/>
        <v>Regular</v>
      </c>
    </row>
    <row r="1038" spans="1:32" x14ac:dyDescent="0.25">
      <c r="A1038" t="s">
        <v>6552</v>
      </c>
      <c r="B1038" s="1">
        <v>45432</v>
      </c>
      <c r="C1038" s="1">
        <v>45435</v>
      </c>
      <c r="D1038" s="4">
        <f t="shared" si="192"/>
        <v>3</v>
      </c>
      <c r="E1038" s="4" t="str">
        <f>TEXT(Table1[[#This Row],[Order_Date]],"dddd")</f>
        <v>Monday</v>
      </c>
      <c r="F1038" s="4">
        <f t="shared" si="193"/>
        <v>5</v>
      </c>
      <c r="G1038" t="str">
        <f t="shared" si="196"/>
        <v>May</v>
      </c>
      <c r="H1038">
        <f t="shared" si="197"/>
        <v>2024</v>
      </c>
      <c r="I1038" t="str">
        <f t="shared" si="198"/>
        <v>2024-Q2</v>
      </c>
      <c r="J1038" t="s">
        <v>55</v>
      </c>
      <c r="K1038" t="s">
        <v>6553</v>
      </c>
      <c r="L1038" t="s">
        <v>6554</v>
      </c>
      <c r="M1038" t="s">
        <v>47</v>
      </c>
      <c r="N1038" t="s">
        <v>25</v>
      </c>
      <c r="O1038" t="s">
        <v>80</v>
      </c>
      <c r="P1038" t="s">
        <v>49</v>
      </c>
      <c r="Q1038" t="s">
        <v>66</v>
      </c>
      <c r="R1038" t="s">
        <v>6555</v>
      </c>
      <c r="S1038" t="s">
        <v>51</v>
      </c>
      <c r="T1038" t="s">
        <v>151</v>
      </c>
      <c r="U1038" t="s">
        <v>6556</v>
      </c>
      <c r="V1038" s="3">
        <v>2024.46</v>
      </c>
      <c r="W1038" s="4">
        <v>1</v>
      </c>
      <c r="X1038" s="2">
        <v>0.1</v>
      </c>
      <c r="Y1038" s="3">
        <v>238.77</v>
      </c>
      <c r="Z1038" t="str">
        <f t="shared" si="194"/>
        <v>Normal</v>
      </c>
      <c r="AA1038" t="str">
        <f t="shared" si="195"/>
        <v>Medium</v>
      </c>
      <c r="AB1038" t="str">
        <f t="shared" si="199"/>
        <v>Low Profit</v>
      </c>
      <c r="AC1038" s="3">
        <f t="shared" si="200"/>
        <v>0.11794256246110074</v>
      </c>
      <c r="AD1038" s="3">
        <f t="shared" si="201"/>
        <v>2024.46</v>
      </c>
      <c r="AE1038" s="3">
        <f t="shared" si="202"/>
        <v>238.77</v>
      </c>
      <c r="AF1038" t="str">
        <f t="shared" si="203"/>
        <v>Regular</v>
      </c>
    </row>
    <row r="1039" spans="1:32" x14ac:dyDescent="0.25">
      <c r="A1039" t="s">
        <v>1593</v>
      </c>
      <c r="B1039" s="1">
        <v>45432</v>
      </c>
      <c r="C1039" s="1">
        <v>45442</v>
      </c>
      <c r="D1039" s="4">
        <f t="shared" si="192"/>
        <v>10</v>
      </c>
      <c r="E1039" s="4" t="str">
        <f>TEXT(Table1[[#This Row],[Order_Date]],"dddd")</f>
        <v>Monday</v>
      </c>
      <c r="F1039" s="4">
        <f t="shared" si="193"/>
        <v>5</v>
      </c>
      <c r="G1039" t="str">
        <f t="shared" si="196"/>
        <v>May</v>
      </c>
      <c r="H1039">
        <f t="shared" si="197"/>
        <v>2024</v>
      </c>
      <c r="I1039" t="str">
        <f t="shared" si="198"/>
        <v>2024-Q2</v>
      </c>
      <c r="J1039" t="s">
        <v>44</v>
      </c>
      <c r="K1039" t="s">
        <v>1594</v>
      </c>
      <c r="L1039" t="s">
        <v>1595</v>
      </c>
      <c r="M1039" t="s">
        <v>24</v>
      </c>
      <c r="N1039" t="s">
        <v>25</v>
      </c>
      <c r="O1039" t="s">
        <v>382</v>
      </c>
      <c r="P1039" t="s">
        <v>38</v>
      </c>
      <c r="Q1039" t="s">
        <v>28</v>
      </c>
      <c r="R1039" t="s">
        <v>1596</v>
      </c>
      <c r="S1039" t="s">
        <v>59</v>
      </c>
      <c r="T1039" t="s">
        <v>277</v>
      </c>
      <c r="U1039" t="s">
        <v>1597</v>
      </c>
      <c r="V1039" s="3">
        <v>4263.8500000000004</v>
      </c>
      <c r="W1039" s="4">
        <v>5</v>
      </c>
      <c r="X1039" s="2">
        <v>0.2</v>
      </c>
      <c r="Y1039" s="3">
        <v>324.37</v>
      </c>
      <c r="Z1039" t="str">
        <f t="shared" si="194"/>
        <v>Normal</v>
      </c>
      <c r="AA1039" t="str">
        <f t="shared" si="195"/>
        <v>High</v>
      </c>
      <c r="AB1039" t="str">
        <f t="shared" si="199"/>
        <v>Low Profit</v>
      </c>
      <c r="AC1039" s="3">
        <f t="shared" si="200"/>
        <v>7.6074439766877347E-2</v>
      </c>
      <c r="AD1039" s="3">
        <f t="shared" si="201"/>
        <v>852.7700000000001</v>
      </c>
      <c r="AE1039" s="3">
        <f t="shared" si="202"/>
        <v>64.873999999999995</v>
      </c>
      <c r="AF1039" t="str">
        <f t="shared" si="203"/>
        <v>Regular</v>
      </c>
    </row>
    <row r="1040" spans="1:32" x14ac:dyDescent="0.25">
      <c r="A1040" t="s">
        <v>1534</v>
      </c>
      <c r="B1040" s="1">
        <v>45433</v>
      </c>
      <c r="C1040" s="1">
        <v>45435</v>
      </c>
      <c r="D1040" s="4">
        <f t="shared" si="192"/>
        <v>2</v>
      </c>
      <c r="E1040" s="4" t="str">
        <f>TEXT(Table1[[#This Row],[Order_Date]],"dddd")</f>
        <v>Tuesday</v>
      </c>
      <c r="F1040" s="4">
        <f t="shared" si="193"/>
        <v>5</v>
      </c>
      <c r="G1040" t="str">
        <f t="shared" si="196"/>
        <v>May</v>
      </c>
      <c r="H1040">
        <f t="shared" si="197"/>
        <v>2024</v>
      </c>
      <c r="I1040" t="str">
        <f t="shared" si="198"/>
        <v>2024-Q2</v>
      </c>
      <c r="J1040" t="s">
        <v>44</v>
      </c>
      <c r="K1040" t="s">
        <v>1535</v>
      </c>
      <c r="L1040" t="s">
        <v>1536</v>
      </c>
      <c r="M1040" t="s">
        <v>24</v>
      </c>
      <c r="N1040" t="s">
        <v>25</v>
      </c>
      <c r="O1040" t="s">
        <v>382</v>
      </c>
      <c r="P1040" t="s">
        <v>38</v>
      </c>
      <c r="Q1040" t="s">
        <v>28</v>
      </c>
      <c r="R1040" t="s">
        <v>1537</v>
      </c>
      <c r="S1040" t="s">
        <v>51</v>
      </c>
      <c r="T1040" t="s">
        <v>151</v>
      </c>
      <c r="U1040" t="s">
        <v>1538</v>
      </c>
      <c r="V1040" s="3">
        <v>4754.83</v>
      </c>
      <c r="W1040" s="4">
        <v>9</v>
      </c>
      <c r="X1040" s="2">
        <v>0.4</v>
      </c>
      <c r="Y1040" s="3">
        <v>-850.27</v>
      </c>
      <c r="Z1040" t="str">
        <f t="shared" si="194"/>
        <v>Outlier</v>
      </c>
      <c r="AA1040" t="str">
        <f t="shared" si="195"/>
        <v>High</v>
      </c>
      <c r="AB1040" t="str">
        <f t="shared" si="199"/>
        <v>Loss</v>
      </c>
      <c r="AC1040" s="3">
        <f t="shared" si="200"/>
        <v>-0.17882237640462434</v>
      </c>
      <c r="AD1040" s="3">
        <f t="shared" si="201"/>
        <v>528.31444444444446</v>
      </c>
      <c r="AE1040" s="3">
        <f t="shared" si="202"/>
        <v>-94.474444444444444</v>
      </c>
      <c r="AF1040" t="str">
        <f t="shared" si="203"/>
        <v>Regular</v>
      </c>
    </row>
    <row r="1041" spans="1:32" x14ac:dyDescent="0.25">
      <c r="A1041" t="s">
        <v>3959</v>
      </c>
      <c r="B1041" s="1">
        <v>45434</v>
      </c>
      <c r="C1041" s="1">
        <v>45437</v>
      </c>
      <c r="D1041" s="4">
        <f t="shared" si="192"/>
        <v>3</v>
      </c>
      <c r="E1041" s="4" t="str">
        <f>TEXT(Table1[[#This Row],[Order_Date]],"dddd")</f>
        <v>Wednesday</v>
      </c>
      <c r="F1041" s="4">
        <f t="shared" si="193"/>
        <v>5</v>
      </c>
      <c r="G1041" t="str">
        <f t="shared" si="196"/>
        <v>May</v>
      </c>
      <c r="H1041">
        <f t="shared" si="197"/>
        <v>2024</v>
      </c>
      <c r="I1041" t="str">
        <f t="shared" si="198"/>
        <v>2024-Q2</v>
      </c>
      <c r="J1041" t="s">
        <v>104</v>
      </c>
      <c r="K1041" t="s">
        <v>3960</v>
      </c>
      <c r="L1041" t="s">
        <v>3961</v>
      </c>
      <c r="M1041" t="s">
        <v>47</v>
      </c>
      <c r="N1041" t="s">
        <v>25</v>
      </c>
      <c r="O1041" t="s">
        <v>511</v>
      </c>
      <c r="P1041" t="s">
        <v>120</v>
      </c>
      <c r="Q1041" t="s">
        <v>66</v>
      </c>
      <c r="R1041" t="s">
        <v>3962</v>
      </c>
      <c r="S1041" t="s">
        <v>30</v>
      </c>
      <c r="T1041" t="s">
        <v>68</v>
      </c>
      <c r="U1041" t="s">
        <v>3963</v>
      </c>
      <c r="V1041" s="3">
        <v>4302.3100000000004</v>
      </c>
      <c r="W1041" s="4">
        <v>10</v>
      </c>
      <c r="X1041" s="2">
        <v>0.3</v>
      </c>
      <c r="Y1041" s="3">
        <v>787.23</v>
      </c>
      <c r="Z1041" t="str">
        <f t="shared" si="194"/>
        <v>Normal</v>
      </c>
      <c r="AA1041" t="str">
        <f t="shared" si="195"/>
        <v>High</v>
      </c>
      <c r="AB1041" t="str">
        <f t="shared" si="199"/>
        <v>High Profit</v>
      </c>
      <c r="AC1041" s="3">
        <f t="shared" si="200"/>
        <v>0.18297844646248176</v>
      </c>
      <c r="AD1041" s="3">
        <f t="shared" si="201"/>
        <v>430.23100000000005</v>
      </c>
      <c r="AE1041" s="3">
        <f t="shared" si="202"/>
        <v>78.722999999999999</v>
      </c>
      <c r="AF1041" t="str">
        <f t="shared" si="203"/>
        <v>Regular</v>
      </c>
    </row>
    <row r="1042" spans="1:32" x14ac:dyDescent="0.25">
      <c r="A1042" t="s">
        <v>479</v>
      </c>
      <c r="B1042" s="1">
        <v>45434</v>
      </c>
      <c r="C1042" s="1">
        <v>45443</v>
      </c>
      <c r="D1042" s="4">
        <f t="shared" si="192"/>
        <v>9</v>
      </c>
      <c r="E1042" s="4" t="str">
        <f>TEXT(Table1[[#This Row],[Order_Date]],"dddd")</f>
        <v>Wednesday</v>
      </c>
      <c r="F1042" s="4">
        <f t="shared" si="193"/>
        <v>5</v>
      </c>
      <c r="G1042" t="str">
        <f t="shared" si="196"/>
        <v>May</v>
      </c>
      <c r="H1042">
        <f t="shared" si="197"/>
        <v>2024</v>
      </c>
      <c r="I1042" t="str">
        <f t="shared" si="198"/>
        <v>2024-Q2</v>
      </c>
      <c r="J1042" t="s">
        <v>55</v>
      </c>
      <c r="K1042" t="s">
        <v>480</v>
      </c>
      <c r="L1042" t="s">
        <v>481</v>
      </c>
      <c r="M1042" t="s">
        <v>36</v>
      </c>
      <c r="N1042" t="s">
        <v>25</v>
      </c>
      <c r="O1042" t="s">
        <v>179</v>
      </c>
      <c r="P1042" t="s">
        <v>27</v>
      </c>
      <c r="Q1042" t="s">
        <v>28</v>
      </c>
      <c r="R1042" t="s">
        <v>482</v>
      </c>
      <c r="S1042" t="s">
        <v>51</v>
      </c>
      <c r="T1042" t="s">
        <v>127</v>
      </c>
      <c r="U1042" t="s">
        <v>483</v>
      </c>
      <c r="V1042" s="3">
        <v>1463.87</v>
      </c>
      <c r="W1042" s="4">
        <v>5</v>
      </c>
      <c r="X1042" s="2">
        <v>0.4</v>
      </c>
      <c r="Y1042" s="3">
        <v>179.06</v>
      </c>
      <c r="Z1042" t="str">
        <f t="shared" si="194"/>
        <v>Normal</v>
      </c>
      <c r="AA1042" t="str">
        <f t="shared" si="195"/>
        <v>High</v>
      </c>
      <c r="AB1042" t="str">
        <f t="shared" si="199"/>
        <v>Low Profit</v>
      </c>
      <c r="AC1042" s="3">
        <f t="shared" si="200"/>
        <v>0.12231960488294727</v>
      </c>
      <c r="AD1042" s="3">
        <f t="shared" si="201"/>
        <v>292.774</v>
      </c>
      <c r="AE1042" s="3">
        <f t="shared" si="202"/>
        <v>35.811999999999998</v>
      </c>
      <c r="AF1042" t="str">
        <f t="shared" si="203"/>
        <v>Regular</v>
      </c>
    </row>
    <row r="1043" spans="1:32" x14ac:dyDescent="0.25">
      <c r="A1043" t="s">
        <v>4657</v>
      </c>
      <c r="B1043" s="1">
        <v>45434</v>
      </c>
      <c r="C1043" s="1">
        <v>45441</v>
      </c>
      <c r="D1043" s="4">
        <f t="shared" si="192"/>
        <v>7</v>
      </c>
      <c r="E1043" s="4" t="str">
        <f>TEXT(Table1[[#This Row],[Order_Date]],"dddd")</f>
        <v>Wednesday</v>
      </c>
      <c r="F1043" s="4">
        <f t="shared" si="193"/>
        <v>5</v>
      </c>
      <c r="G1043" t="str">
        <f t="shared" si="196"/>
        <v>May</v>
      </c>
      <c r="H1043">
        <f t="shared" si="197"/>
        <v>2024</v>
      </c>
      <c r="I1043" t="str">
        <f t="shared" si="198"/>
        <v>2024-Q2</v>
      </c>
      <c r="J1043" t="s">
        <v>21</v>
      </c>
      <c r="K1043" t="s">
        <v>4658</v>
      </c>
      <c r="L1043" t="s">
        <v>4659</v>
      </c>
      <c r="M1043" t="s">
        <v>47</v>
      </c>
      <c r="N1043" t="s">
        <v>25</v>
      </c>
      <c r="O1043" t="s">
        <v>149</v>
      </c>
      <c r="P1043" t="s">
        <v>113</v>
      </c>
      <c r="Q1043" t="s">
        <v>87</v>
      </c>
      <c r="R1043" t="s">
        <v>4660</v>
      </c>
      <c r="S1043" t="s">
        <v>59</v>
      </c>
      <c r="T1043" t="s">
        <v>101</v>
      </c>
      <c r="U1043" t="s">
        <v>4661</v>
      </c>
      <c r="V1043" s="3">
        <v>2597.77</v>
      </c>
      <c r="W1043" s="4">
        <v>4</v>
      </c>
      <c r="X1043" s="2">
        <v>0.2</v>
      </c>
      <c r="Y1043" s="3">
        <v>560.66</v>
      </c>
      <c r="Z1043" t="str">
        <f t="shared" si="194"/>
        <v>Normal</v>
      </c>
      <c r="AA1043" t="str">
        <f t="shared" si="195"/>
        <v>High</v>
      </c>
      <c r="AB1043" t="str">
        <f t="shared" si="199"/>
        <v>High Profit</v>
      </c>
      <c r="AC1043" s="3">
        <f t="shared" si="200"/>
        <v>0.21582357175577513</v>
      </c>
      <c r="AD1043" s="3">
        <f t="shared" si="201"/>
        <v>649.4425</v>
      </c>
      <c r="AE1043" s="3">
        <f t="shared" si="202"/>
        <v>140.16499999999999</v>
      </c>
      <c r="AF1043" t="str">
        <f t="shared" si="203"/>
        <v>Regular</v>
      </c>
    </row>
    <row r="1044" spans="1:32" x14ac:dyDescent="0.25">
      <c r="A1044" t="s">
        <v>3273</v>
      </c>
      <c r="B1044" s="1">
        <v>45435</v>
      </c>
      <c r="C1044" s="1">
        <v>45439</v>
      </c>
      <c r="D1044" s="4">
        <f t="shared" si="192"/>
        <v>4</v>
      </c>
      <c r="E1044" s="4" t="str">
        <f>TEXT(Table1[[#This Row],[Order_Date]],"dddd")</f>
        <v>Thursday</v>
      </c>
      <c r="F1044" s="4">
        <f t="shared" si="193"/>
        <v>5</v>
      </c>
      <c r="G1044" t="str">
        <f t="shared" si="196"/>
        <v>May</v>
      </c>
      <c r="H1044">
        <f t="shared" si="197"/>
        <v>2024</v>
      </c>
      <c r="I1044" t="str">
        <f t="shared" si="198"/>
        <v>2024-Q2</v>
      </c>
      <c r="J1044" t="s">
        <v>21</v>
      </c>
      <c r="K1044" t="s">
        <v>3274</v>
      </c>
      <c r="L1044" t="s">
        <v>3275</v>
      </c>
      <c r="M1044" t="s">
        <v>36</v>
      </c>
      <c r="N1044" t="s">
        <v>25</v>
      </c>
      <c r="O1044" t="s">
        <v>255</v>
      </c>
      <c r="P1044" t="s">
        <v>143</v>
      </c>
      <c r="Q1044" t="s">
        <v>39</v>
      </c>
      <c r="R1044" t="s">
        <v>3276</v>
      </c>
      <c r="S1044" t="s">
        <v>59</v>
      </c>
      <c r="T1044" t="s">
        <v>303</v>
      </c>
      <c r="U1044" t="s">
        <v>3277</v>
      </c>
      <c r="V1044" s="3">
        <v>1321.62</v>
      </c>
      <c r="W1044" s="4">
        <v>7</v>
      </c>
      <c r="X1044" s="2">
        <v>0.4</v>
      </c>
      <c r="Y1044" s="3">
        <v>61.151357399999995</v>
      </c>
      <c r="Z1044" t="str">
        <f t="shared" si="194"/>
        <v>Normal</v>
      </c>
      <c r="AA1044" t="str">
        <f t="shared" si="195"/>
        <v>High</v>
      </c>
      <c r="AB1044" t="str">
        <f t="shared" si="199"/>
        <v>Low Profit</v>
      </c>
      <c r="AC1044" s="3">
        <f t="shared" si="200"/>
        <v>4.6269999999999999E-2</v>
      </c>
      <c r="AD1044" s="3">
        <f t="shared" si="201"/>
        <v>188.80285714285714</v>
      </c>
      <c r="AE1044" s="3">
        <f t="shared" si="202"/>
        <v>8.735908199999999</v>
      </c>
      <c r="AF1044" t="str">
        <f t="shared" si="203"/>
        <v>Regular</v>
      </c>
    </row>
    <row r="1045" spans="1:32" x14ac:dyDescent="0.25">
      <c r="A1045" t="s">
        <v>981</v>
      </c>
      <c r="B1045" s="1">
        <v>45435</v>
      </c>
      <c r="C1045" s="1">
        <v>45439</v>
      </c>
      <c r="D1045" s="4">
        <f t="shared" si="192"/>
        <v>4</v>
      </c>
      <c r="E1045" s="4" t="str">
        <f>TEXT(Table1[[#This Row],[Order_Date]],"dddd")</f>
        <v>Thursday</v>
      </c>
      <c r="F1045" s="4">
        <f t="shared" si="193"/>
        <v>5</v>
      </c>
      <c r="G1045" t="str">
        <f t="shared" si="196"/>
        <v>May</v>
      </c>
      <c r="H1045">
        <f t="shared" si="197"/>
        <v>2024</v>
      </c>
      <c r="I1045" t="str">
        <f t="shared" si="198"/>
        <v>2024-Q2</v>
      </c>
      <c r="J1045" t="s">
        <v>104</v>
      </c>
      <c r="K1045" t="s">
        <v>982</v>
      </c>
      <c r="L1045" t="s">
        <v>983</v>
      </c>
      <c r="M1045" t="s">
        <v>36</v>
      </c>
      <c r="N1045" t="s">
        <v>25</v>
      </c>
      <c r="O1045" t="s">
        <v>611</v>
      </c>
      <c r="P1045" t="s">
        <v>74</v>
      </c>
      <c r="Q1045" t="s">
        <v>28</v>
      </c>
      <c r="R1045" t="s">
        <v>984</v>
      </c>
      <c r="S1045" t="s">
        <v>51</v>
      </c>
      <c r="T1045" t="s">
        <v>151</v>
      </c>
      <c r="U1045" t="s">
        <v>985</v>
      </c>
      <c r="V1045" s="3">
        <v>2696.7</v>
      </c>
      <c r="W1045" s="4">
        <v>1</v>
      </c>
      <c r="X1045" s="2">
        <v>0.3</v>
      </c>
      <c r="Y1045" s="3">
        <v>347.56</v>
      </c>
      <c r="Z1045" t="str">
        <f t="shared" si="194"/>
        <v>Normal</v>
      </c>
      <c r="AA1045" t="str">
        <f t="shared" si="195"/>
        <v>High</v>
      </c>
      <c r="AB1045" t="str">
        <f t="shared" si="199"/>
        <v>Low Profit</v>
      </c>
      <c r="AC1045" s="3">
        <f t="shared" si="200"/>
        <v>0.12888345014276709</v>
      </c>
      <c r="AD1045" s="3">
        <f t="shared" si="201"/>
        <v>2696.7</v>
      </c>
      <c r="AE1045" s="3">
        <f t="shared" si="202"/>
        <v>347.56</v>
      </c>
      <c r="AF1045" t="str">
        <f t="shared" si="203"/>
        <v>Regular</v>
      </c>
    </row>
    <row r="1046" spans="1:32" x14ac:dyDescent="0.25">
      <c r="A1046" t="s">
        <v>3860</v>
      </c>
      <c r="B1046" s="1">
        <v>45436</v>
      </c>
      <c r="C1046" s="1">
        <v>45445</v>
      </c>
      <c r="D1046" s="4">
        <f t="shared" si="192"/>
        <v>9</v>
      </c>
      <c r="E1046" s="4" t="str">
        <f>TEXT(Table1[[#This Row],[Order_Date]],"dddd")</f>
        <v>Friday</v>
      </c>
      <c r="F1046" s="4">
        <f t="shared" si="193"/>
        <v>5</v>
      </c>
      <c r="G1046" t="str">
        <f t="shared" si="196"/>
        <v>May</v>
      </c>
      <c r="H1046">
        <f t="shared" si="197"/>
        <v>2024</v>
      </c>
      <c r="I1046" t="str">
        <f t="shared" si="198"/>
        <v>2024-Q2</v>
      </c>
      <c r="J1046" t="s">
        <v>21</v>
      </c>
      <c r="K1046" t="s">
        <v>3861</v>
      </c>
      <c r="L1046" t="s">
        <v>3862</v>
      </c>
      <c r="M1046" t="s">
        <v>47</v>
      </c>
      <c r="N1046" t="s">
        <v>25</v>
      </c>
      <c r="O1046" t="s">
        <v>113</v>
      </c>
      <c r="P1046" t="s">
        <v>113</v>
      </c>
      <c r="Q1046" t="s">
        <v>28</v>
      </c>
      <c r="R1046" t="s">
        <v>7403</v>
      </c>
      <c r="S1046" t="s">
        <v>51</v>
      </c>
      <c r="T1046" t="s">
        <v>94</v>
      </c>
      <c r="U1046" t="s">
        <v>3863</v>
      </c>
      <c r="V1046" s="3">
        <v>4966</v>
      </c>
      <c r="W1046" s="4">
        <v>10</v>
      </c>
      <c r="X1046" s="2">
        <v>0.3</v>
      </c>
      <c r="Y1046" s="3">
        <v>992.06</v>
      </c>
      <c r="Z1046" t="str">
        <f t="shared" si="194"/>
        <v>Normal</v>
      </c>
      <c r="AA1046" t="str">
        <f t="shared" si="195"/>
        <v>High</v>
      </c>
      <c r="AB1046" t="str">
        <f t="shared" si="199"/>
        <v>High Profit</v>
      </c>
      <c r="AC1046" s="3">
        <f t="shared" si="200"/>
        <v>0.19977043898509866</v>
      </c>
      <c r="AD1046" s="3">
        <f t="shared" si="201"/>
        <v>496.6</v>
      </c>
      <c r="AE1046" s="3">
        <f t="shared" si="202"/>
        <v>99.205999999999989</v>
      </c>
      <c r="AF1046" t="str">
        <f t="shared" si="203"/>
        <v>Regular</v>
      </c>
    </row>
    <row r="1047" spans="1:32" x14ac:dyDescent="0.25">
      <c r="A1047" t="s">
        <v>4789</v>
      </c>
      <c r="B1047" s="1">
        <v>45436</v>
      </c>
      <c r="C1047" s="1">
        <v>45438</v>
      </c>
      <c r="D1047" s="4">
        <f t="shared" si="192"/>
        <v>2</v>
      </c>
      <c r="E1047" s="4" t="str">
        <f>TEXT(Table1[[#This Row],[Order_Date]],"dddd")</f>
        <v>Friday</v>
      </c>
      <c r="F1047" s="4">
        <f t="shared" si="193"/>
        <v>5</v>
      </c>
      <c r="G1047" t="str">
        <f t="shared" si="196"/>
        <v>May</v>
      </c>
      <c r="H1047">
        <f t="shared" si="197"/>
        <v>2024</v>
      </c>
      <c r="I1047" t="str">
        <f t="shared" si="198"/>
        <v>2024-Q2</v>
      </c>
      <c r="J1047" t="s">
        <v>104</v>
      </c>
      <c r="K1047" t="s">
        <v>4790</v>
      </c>
      <c r="L1047" t="s">
        <v>4791</v>
      </c>
      <c r="M1047" t="s">
        <v>36</v>
      </c>
      <c r="N1047" t="s">
        <v>25</v>
      </c>
      <c r="O1047" t="s">
        <v>611</v>
      </c>
      <c r="P1047" t="s">
        <v>74</v>
      </c>
      <c r="Q1047" t="s">
        <v>39</v>
      </c>
      <c r="R1047" t="s">
        <v>4792</v>
      </c>
      <c r="S1047" t="s">
        <v>30</v>
      </c>
      <c r="T1047" t="s">
        <v>82</v>
      </c>
      <c r="U1047" t="s">
        <v>4793</v>
      </c>
      <c r="V1047" s="3">
        <v>1197.82</v>
      </c>
      <c r="W1047" s="4">
        <v>1</v>
      </c>
      <c r="X1047" s="2">
        <v>0.2</v>
      </c>
      <c r="Y1047" s="3">
        <v>128.38</v>
      </c>
      <c r="Z1047" t="str">
        <f t="shared" si="194"/>
        <v>Normal</v>
      </c>
      <c r="AA1047" t="str">
        <f t="shared" si="195"/>
        <v>High</v>
      </c>
      <c r="AB1047" t="str">
        <f t="shared" si="199"/>
        <v>Low Profit</v>
      </c>
      <c r="AC1047" s="3">
        <f t="shared" si="200"/>
        <v>0.10717804010619292</v>
      </c>
      <c r="AD1047" s="3">
        <f t="shared" si="201"/>
        <v>1197.82</v>
      </c>
      <c r="AE1047" s="3">
        <f t="shared" si="202"/>
        <v>128.38</v>
      </c>
      <c r="AF1047" t="str">
        <f t="shared" si="203"/>
        <v>Regular</v>
      </c>
    </row>
    <row r="1048" spans="1:32" x14ac:dyDescent="0.25">
      <c r="A1048" t="s">
        <v>5483</v>
      </c>
      <c r="B1048" s="1">
        <v>45436</v>
      </c>
      <c r="C1048" s="1">
        <v>45437</v>
      </c>
      <c r="D1048" s="4">
        <f t="shared" si="192"/>
        <v>1</v>
      </c>
      <c r="E1048" s="4" t="str">
        <f>TEXT(Table1[[#This Row],[Order_Date]],"dddd")</f>
        <v>Friday</v>
      </c>
      <c r="F1048" s="4">
        <f t="shared" si="193"/>
        <v>5</v>
      </c>
      <c r="G1048" t="str">
        <f t="shared" si="196"/>
        <v>May</v>
      </c>
      <c r="H1048">
        <f t="shared" si="197"/>
        <v>2024</v>
      </c>
      <c r="I1048" t="str">
        <f t="shared" si="198"/>
        <v>2024-Q2</v>
      </c>
      <c r="J1048" t="s">
        <v>44</v>
      </c>
      <c r="K1048" t="s">
        <v>5484</v>
      </c>
      <c r="L1048" t="s">
        <v>5485</v>
      </c>
      <c r="M1048" t="s">
        <v>36</v>
      </c>
      <c r="N1048" t="s">
        <v>25</v>
      </c>
      <c r="O1048" t="s">
        <v>611</v>
      </c>
      <c r="P1048" t="s">
        <v>74</v>
      </c>
      <c r="Q1048" t="s">
        <v>39</v>
      </c>
      <c r="R1048" t="s">
        <v>5486</v>
      </c>
      <c r="S1048" t="s">
        <v>30</v>
      </c>
      <c r="T1048" t="s">
        <v>41</v>
      </c>
      <c r="U1048" t="s">
        <v>5487</v>
      </c>
      <c r="V1048" s="3">
        <v>1774.41</v>
      </c>
      <c r="W1048" s="4">
        <v>5</v>
      </c>
      <c r="X1048" s="2">
        <v>0.2</v>
      </c>
      <c r="Y1048" s="3">
        <v>265.05</v>
      </c>
      <c r="Z1048" t="str">
        <f t="shared" si="194"/>
        <v>Normal</v>
      </c>
      <c r="AA1048" t="str">
        <f t="shared" si="195"/>
        <v>High</v>
      </c>
      <c r="AB1048" t="str">
        <f t="shared" si="199"/>
        <v>Low Profit</v>
      </c>
      <c r="AC1048" s="3">
        <f t="shared" si="200"/>
        <v>0.14937359460327659</v>
      </c>
      <c r="AD1048" s="3">
        <f t="shared" si="201"/>
        <v>354.88200000000001</v>
      </c>
      <c r="AE1048" s="3">
        <f t="shared" si="202"/>
        <v>53.010000000000005</v>
      </c>
      <c r="AF1048" t="str">
        <f t="shared" si="203"/>
        <v>Regular</v>
      </c>
    </row>
    <row r="1049" spans="1:32" x14ac:dyDescent="0.25">
      <c r="A1049" t="s">
        <v>2750</v>
      </c>
      <c r="B1049" s="1">
        <v>45437</v>
      </c>
      <c r="C1049" s="1">
        <v>45447</v>
      </c>
      <c r="D1049" s="4">
        <f t="shared" si="192"/>
        <v>10</v>
      </c>
      <c r="E1049" s="4" t="str">
        <f>TEXT(Table1[[#This Row],[Order_Date]],"dddd")</f>
        <v>Saturday</v>
      </c>
      <c r="F1049" s="4">
        <f t="shared" si="193"/>
        <v>5</v>
      </c>
      <c r="G1049" t="str">
        <f t="shared" si="196"/>
        <v>May</v>
      </c>
      <c r="H1049">
        <f t="shared" si="197"/>
        <v>2024</v>
      </c>
      <c r="I1049" t="str">
        <f t="shared" si="198"/>
        <v>2024-Q2</v>
      </c>
      <c r="J1049" t="s">
        <v>104</v>
      </c>
      <c r="K1049" t="s">
        <v>2751</v>
      </c>
      <c r="L1049" t="s">
        <v>2752</v>
      </c>
      <c r="M1049" t="s">
        <v>47</v>
      </c>
      <c r="N1049" t="s">
        <v>25</v>
      </c>
      <c r="O1049" t="s">
        <v>142</v>
      </c>
      <c r="P1049" t="s">
        <v>143</v>
      </c>
      <c r="Q1049" t="s">
        <v>87</v>
      </c>
      <c r="R1049" t="s">
        <v>2753</v>
      </c>
      <c r="S1049" t="s">
        <v>59</v>
      </c>
      <c r="T1049" t="s">
        <v>277</v>
      </c>
      <c r="U1049" t="s">
        <v>2754</v>
      </c>
      <c r="V1049" s="3">
        <v>3022.01</v>
      </c>
      <c r="W1049" s="4">
        <v>8</v>
      </c>
      <c r="X1049" s="2">
        <v>0</v>
      </c>
      <c r="Y1049" s="3">
        <v>-116.54</v>
      </c>
      <c r="Z1049" t="str">
        <f t="shared" si="194"/>
        <v>Normal</v>
      </c>
      <c r="AA1049" t="str">
        <f t="shared" si="195"/>
        <v>Low</v>
      </c>
      <c r="AB1049" t="str">
        <f t="shared" si="199"/>
        <v>Loss</v>
      </c>
      <c r="AC1049" s="3">
        <f t="shared" si="200"/>
        <v>-3.8563737380088087E-2</v>
      </c>
      <c r="AD1049" s="3">
        <f t="shared" si="201"/>
        <v>377.75125000000003</v>
      </c>
      <c r="AE1049" s="3">
        <f t="shared" si="202"/>
        <v>-14.567500000000001</v>
      </c>
      <c r="AF1049" t="str">
        <f t="shared" si="203"/>
        <v>Regular</v>
      </c>
    </row>
    <row r="1050" spans="1:32" x14ac:dyDescent="0.25">
      <c r="A1050" t="s">
        <v>3974</v>
      </c>
      <c r="B1050" s="1">
        <v>45437</v>
      </c>
      <c r="C1050" s="1">
        <v>45440</v>
      </c>
      <c r="D1050" s="4">
        <f t="shared" si="192"/>
        <v>3</v>
      </c>
      <c r="E1050" s="4" t="str">
        <f>TEXT(Table1[[#This Row],[Order_Date]],"dddd")</f>
        <v>Saturday</v>
      </c>
      <c r="F1050" s="4">
        <f t="shared" si="193"/>
        <v>5</v>
      </c>
      <c r="G1050" t="str">
        <f t="shared" si="196"/>
        <v>May</v>
      </c>
      <c r="H1050">
        <f t="shared" si="197"/>
        <v>2024</v>
      </c>
      <c r="I1050" t="str">
        <f t="shared" si="198"/>
        <v>2024-Q2</v>
      </c>
      <c r="J1050" t="s">
        <v>104</v>
      </c>
      <c r="K1050" t="s">
        <v>3975</v>
      </c>
      <c r="L1050" t="s">
        <v>3976</v>
      </c>
      <c r="M1050" t="s">
        <v>47</v>
      </c>
      <c r="N1050" t="s">
        <v>25</v>
      </c>
      <c r="O1050" t="s">
        <v>611</v>
      </c>
      <c r="P1050" t="s">
        <v>74</v>
      </c>
      <c r="Q1050" t="s">
        <v>87</v>
      </c>
      <c r="R1050" t="s">
        <v>3977</v>
      </c>
      <c r="S1050" t="s">
        <v>30</v>
      </c>
      <c r="T1050" t="s">
        <v>82</v>
      </c>
      <c r="U1050" t="s">
        <v>3978</v>
      </c>
      <c r="V1050" s="3">
        <v>1303.45</v>
      </c>
      <c r="W1050" s="4">
        <v>9</v>
      </c>
      <c r="X1050" s="2">
        <v>0</v>
      </c>
      <c r="Y1050" s="3">
        <v>160.52000000000001</v>
      </c>
      <c r="Z1050" t="str">
        <f t="shared" si="194"/>
        <v>Normal</v>
      </c>
      <c r="AA1050" t="str">
        <f t="shared" si="195"/>
        <v>Low</v>
      </c>
      <c r="AB1050" t="str">
        <f t="shared" si="199"/>
        <v>Low Profit</v>
      </c>
      <c r="AC1050" s="3">
        <f t="shared" si="200"/>
        <v>0.1231501016533047</v>
      </c>
      <c r="AD1050" s="3">
        <f t="shared" si="201"/>
        <v>144.82777777777778</v>
      </c>
      <c r="AE1050" s="3">
        <f t="shared" si="202"/>
        <v>17.835555555555558</v>
      </c>
      <c r="AF1050" t="str">
        <f t="shared" si="203"/>
        <v>Regular</v>
      </c>
    </row>
    <row r="1051" spans="1:32" x14ac:dyDescent="0.25">
      <c r="A1051" t="s">
        <v>1810</v>
      </c>
      <c r="B1051" s="1">
        <v>45439</v>
      </c>
      <c r="C1051" s="1">
        <v>45449</v>
      </c>
      <c r="D1051" s="4">
        <f t="shared" si="192"/>
        <v>10</v>
      </c>
      <c r="E1051" s="4" t="str">
        <f>TEXT(Table1[[#This Row],[Order_Date]],"dddd")</f>
        <v>Monday</v>
      </c>
      <c r="F1051" s="4">
        <f t="shared" si="193"/>
        <v>5</v>
      </c>
      <c r="G1051" t="str">
        <f t="shared" si="196"/>
        <v>May</v>
      </c>
      <c r="H1051">
        <f t="shared" si="197"/>
        <v>2024</v>
      </c>
      <c r="I1051" t="str">
        <f t="shared" si="198"/>
        <v>2024-Q2</v>
      </c>
      <c r="J1051" t="s">
        <v>44</v>
      </c>
      <c r="K1051" t="s">
        <v>1811</v>
      </c>
      <c r="L1051" t="s">
        <v>1812</v>
      </c>
      <c r="M1051" t="s">
        <v>36</v>
      </c>
      <c r="N1051" t="s">
        <v>25</v>
      </c>
      <c r="O1051" t="s">
        <v>26</v>
      </c>
      <c r="P1051" t="s">
        <v>27</v>
      </c>
      <c r="Q1051" t="s">
        <v>87</v>
      </c>
      <c r="R1051" t="s">
        <v>1813</v>
      </c>
      <c r="S1051" t="s">
        <v>51</v>
      </c>
      <c r="T1051" t="s">
        <v>94</v>
      </c>
      <c r="U1051" t="s">
        <v>1814</v>
      </c>
      <c r="V1051" s="3">
        <v>3434.47</v>
      </c>
      <c r="W1051" s="4">
        <v>10</v>
      </c>
      <c r="X1051" s="2">
        <v>0</v>
      </c>
      <c r="Y1051" s="3">
        <v>-433.96</v>
      </c>
      <c r="Z1051" t="str">
        <f t="shared" si="194"/>
        <v>Normal</v>
      </c>
      <c r="AA1051" t="str">
        <f t="shared" si="195"/>
        <v>Low</v>
      </c>
      <c r="AB1051" t="str">
        <f t="shared" si="199"/>
        <v>Loss</v>
      </c>
      <c r="AC1051" s="3">
        <f t="shared" si="200"/>
        <v>-0.126354284649451</v>
      </c>
      <c r="AD1051" s="3">
        <f t="shared" si="201"/>
        <v>343.447</v>
      </c>
      <c r="AE1051" s="3">
        <f t="shared" si="202"/>
        <v>-43.396000000000001</v>
      </c>
      <c r="AF1051" t="str">
        <f t="shared" si="203"/>
        <v>Regular</v>
      </c>
    </row>
    <row r="1052" spans="1:32" x14ac:dyDescent="0.25">
      <c r="A1052" t="s">
        <v>2158</v>
      </c>
      <c r="B1052" s="1">
        <v>45439</v>
      </c>
      <c r="C1052" s="1">
        <v>45445</v>
      </c>
      <c r="D1052" s="4">
        <f t="shared" si="192"/>
        <v>6</v>
      </c>
      <c r="E1052" s="4" t="str">
        <f>TEXT(Table1[[#This Row],[Order_Date]],"dddd")</f>
        <v>Monday</v>
      </c>
      <c r="F1052" s="4">
        <f t="shared" si="193"/>
        <v>5</v>
      </c>
      <c r="G1052" t="str">
        <f t="shared" si="196"/>
        <v>May</v>
      </c>
      <c r="H1052">
        <f t="shared" si="197"/>
        <v>2024</v>
      </c>
      <c r="I1052" t="str">
        <f t="shared" si="198"/>
        <v>2024-Q2</v>
      </c>
      <c r="J1052" t="s">
        <v>21</v>
      </c>
      <c r="K1052" t="s">
        <v>2159</v>
      </c>
      <c r="L1052" t="s">
        <v>2160</v>
      </c>
      <c r="M1052" t="s">
        <v>36</v>
      </c>
      <c r="N1052" t="s">
        <v>25</v>
      </c>
      <c r="O1052" t="s">
        <v>26</v>
      </c>
      <c r="P1052" t="s">
        <v>27</v>
      </c>
      <c r="Q1052" t="s">
        <v>66</v>
      </c>
      <c r="R1052" t="s">
        <v>2161</v>
      </c>
      <c r="S1052" t="s">
        <v>30</v>
      </c>
      <c r="T1052" t="s">
        <v>82</v>
      </c>
      <c r="U1052" t="s">
        <v>83</v>
      </c>
      <c r="V1052" s="3">
        <v>822.1</v>
      </c>
      <c r="W1052" s="4">
        <v>9</v>
      </c>
      <c r="X1052" s="2">
        <v>0.1</v>
      </c>
      <c r="Y1052" s="3">
        <v>144.71</v>
      </c>
      <c r="Z1052" t="str">
        <f t="shared" si="194"/>
        <v>Normal</v>
      </c>
      <c r="AA1052" t="str">
        <f t="shared" si="195"/>
        <v>Medium</v>
      </c>
      <c r="AB1052" t="str">
        <f t="shared" si="199"/>
        <v>Low Profit</v>
      </c>
      <c r="AC1052" s="3">
        <f t="shared" si="200"/>
        <v>0.17602481449945262</v>
      </c>
      <c r="AD1052" s="3">
        <f t="shared" si="201"/>
        <v>91.344444444444449</v>
      </c>
      <c r="AE1052" s="3">
        <f t="shared" si="202"/>
        <v>16.078888888888891</v>
      </c>
      <c r="AF1052" t="str">
        <f t="shared" si="203"/>
        <v>Regular</v>
      </c>
    </row>
    <row r="1053" spans="1:32" x14ac:dyDescent="0.25">
      <c r="A1053" t="s">
        <v>5840</v>
      </c>
      <c r="B1053" s="1">
        <v>45439</v>
      </c>
      <c r="C1053" s="1">
        <f>B1053+5</f>
        <v>45444</v>
      </c>
      <c r="D1053" s="4">
        <f t="shared" si="192"/>
        <v>5</v>
      </c>
      <c r="E1053" s="4" t="str">
        <f>TEXT(Table1[[#This Row],[Order_Date]],"dddd")</f>
        <v>Monday</v>
      </c>
      <c r="F1053" s="4">
        <f t="shared" si="193"/>
        <v>5</v>
      </c>
      <c r="G1053" t="str">
        <f t="shared" si="196"/>
        <v>May</v>
      </c>
      <c r="H1053">
        <f t="shared" si="197"/>
        <v>2024</v>
      </c>
      <c r="I1053" t="str">
        <f t="shared" si="198"/>
        <v>2024-Q2</v>
      </c>
      <c r="J1053" t="s">
        <v>44</v>
      </c>
      <c r="K1053" t="s">
        <v>5841</v>
      </c>
      <c r="L1053" t="s">
        <v>5842</v>
      </c>
      <c r="M1053" t="s">
        <v>47</v>
      </c>
      <c r="N1053" t="s">
        <v>25</v>
      </c>
      <c r="O1053" t="s">
        <v>382</v>
      </c>
      <c r="P1053" t="s">
        <v>38</v>
      </c>
      <c r="Q1053" t="s">
        <v>66</v>
      </c>
      <c r="R1053" t="s">
        <v>5843</v>
      </c>
      <c r="S1053" t="s">
        <v>30</v>
      </c>
      <c r="T1053" t="s">
        <v>31</v>
      </c>
      <c r="U1053" t="s">
        <v>5844</v>
      </c>
      <c r="V1053" s="3">
        <v>1265.5999999999999</v>
      </c>
      <c r="W1053" s="4">
        <v>10</v>
      </c>
      <c r="X1053" s="2">
        <v>0.3</v>
      </c>
      <c r="Y1053" s="3">
        <v>147.82</v>
      </c>
      <c r="Z1053" t="str">
        <f t="shared" si="194"/>
        <v>Normal</v>
      </c>
      <c r="AA1053" t="str">
        <f t="shared" si="195"/>
        <v>High</v>
      </c>
      <c r="AB1053" t="str">
        <f t="shared" si="199"/>
        <v>Low Profit</v>
      </c>
      <c r="AC1053" s="3">
        <f t="shared" si="200"/>
        <v>0.1167983565107459</v>
      </c>
      <c r="AD1053" s="3">
        <f t="shared" si="201"/>
        <v>126.55999999999999</v>
      </c>
      <c r="AE1053" s="3">
        <f t="shared" si="202"/>
        <v>14.782</v>
      </c>
      <c r="AF1053" t="str">
        <f t="shared" si="203"/>
        <v>Regular</v>
      </c>
    </row>
    <row r="1054" spans="1:32" x14ac:dyDescent="0.25">
      <c r="A1054" t="s">
        <v>4135</v>
      </c>
      <c r="B1054" s="1">
        <v>45440</v>
      </c>
      <c r="C1054" s="1">
        <v>45442</v>
      </c>
      <c r="D1054" s="4">
        <f t="shared" si="192"/>
        <v>2</v>
      </c>
      <c r="E1054" s="4" t="str">
        <f>TEXT(Table1[[#This Row],[Order_Date]],"dddd")</f>
        <v>Tuesday</v>
      </c>
      <c r="F1054" s="4">
        <f t="shared" si="193"/>
        <v>5</v>
      </c>
      <c r="G1054" t="str">
        <f t="shared" si="196"/>
        <v>May</v>
      </c>
      <c r="H1054">
        <f t="shared" si="197"/>
        <v>2024</v>
      </c>
      <c r="I1054" t="str">
        <f t="shared" si="198"/>
        <v>2024-Q2</v>
      </c>
      <c r="J1054" t="s">
        <v>44</v>
      </c>
      <c r="K1054" t="s">
        <v>4136</v>
      </c>
      <c r="L1054" t="s">
        <v>4137</v>
      </c>
      <c r="M1054" t="s">
        <v>36</v>
      </c>
      <c r="N1054" t="s">
        <v>25</v>
      </c>
      <c r="O1054" t="s">
        <v>113</v>
      </c>
      <c r="P1054" t="s">
        <v>113</v>
      </c>
      <c r="Q1054" t="s">
        <v>39</v>
      </c>
      <c r="R1054" t="s">
        <v>4138</v>
      </c>
      <c r="S1054" t="s">
        <v>51</v>
      </c>
      <c r="T1054" t="s">
        <v>127</v>
      </c>
      <c r="U1054" t="s">
        <v>4139</v>
      </c>
      <c r="V1054" s="3">
        <v>2805.77</v>
      </c>
      <c r="W1054" s="4">
        <v>7</v>
      </c>
      <c r="X1054" s="2">
        <v>0.3</v>
      </c>
      <c r="Y1054" s="3">
        <v>259.82</v>
      </c>
      <c r="Z1054" t="str">
        <f t="shared" si="194"/>
        <v>Normal</v>
      </c>
      <c r="AA1054" t="str">
        <f t="shared" si="195"/>
        <v>High</v>
      </c>
      <c r="AB1054" t="str">
        <f t="shared" si="199"/>
        <v>Low Profit</v>
      </c>
      <c r="AC1054" s="3">
        <f t="shared" si="200"/>
        <v>9.2602030815070374E-2</v>
      </c>
      <c r="AD1054" s="3">
        <f t="shared" si="201"/>
        <v>400.82428571428574</v>
      </c>
      <c r="AE1054" s="3">
        <f t="shared" si="202"/>
        <v>37.117142857142859</v>
      </c>
      <c r="AF1054" t="str">
        <f t="shared" si="203"/>
        <v>Regular</v>
      </c>
    </row>
    <row r="1055" spans="1:32" x14ac:dyDescent="0.25">
      <c r="A1055" t="s">
        <v>3302</v>
      </c>
      <c r="B1055" s="1">
        <v>45440</v>
      </c>
      <c r="C1055" s="1">
        <v>45441</v>
      </c>
      <c r="D1055" s="4">
        <f t="shared" si="192"/>
        <v>1</v>
      </c>
      <c r="E1055" s="4" t="str">
        <f>TEXT(Table1[[#This Row],[Order_Date]],"dddd")</f>
        <v>Tuesday</v>
      </c>
      <c r="F1055" s="4">
        <f t="shared" si="193"/>
        <v>5</v>
      </c>
      <c r="G1055" t="str">
        <f t="shared" si="196"/>
        <v>May</v>
      </c>
      <c r="H1055">
        <f t="shared" si="197"/>
        <v>2024</v>
      </c>
      <c r="I1055" t="str">
        <f t="shared" si="198"/>
        <v>2024-Q2</v>
      </c>
      <c r="J1055" t="s">
        <v>21</v>
      </c>
      <c r="K1055" t="s">
        <v>3303</v>
      </c>
      <c r="L1055" t="s">
        <v>3304</v>
      </c>
      <c r="M1055" t="s">
        <v>36</v>
      </c>
      <c r="N1055" t="s">
        <v>25</v>
      </c>
      <c r="O1055" t="s">
        <v>149</v>
      </c>
      <c r="P1055" t="s">
        <v>113</v>
      </c>
      <c r="Q1055" t="s">
        <v>28</v>
      </c>
      <c r="R1055" t="s">
        <v>3305</v>
      </c>
      <c r="S1055" t="s">
        <v>30</v>
      </c>
      <c r="T1055" t="s">
        <v>41</v>
      </c>
      <c r="U1055" t="s">
        <v>3306</v>
      </c>
      <c r="V1055" s="3">
        <v>1706.25</v>
      </c>
      <c r="W1055" s="4">
        <v>1</v>
      </c>
      <c r="X1055" s="2">
        <v>0.4</v>
      </c>
      <c r="Y1055" s="3">
        <v>-167.13</v>
      </c>
      <c r="Z1055" t="str">
        <f t="shared" si="194"/>
        <v>Normal</v>
      </c>
      <c r="AA1055" t="str">
        <f t="shared" si="195"/>
        <v>High</v>
      </c>
      <c r="AB1055" t="str">
        <f t="shared" si="199"/>
        <v>Loss</v>
      </c>
      <c r="AC1055" s="3">
        <f t="shared" si="200"/>
        <v>-9.7951648351648352E-2</v>
      </c>
      <c r="AD1055" s="3">
        <f t="shared" si="201"/>
        <v>1706.25</v>
      </c>
      <c r="AE1055" s="3">
        <f t="shared" si="202"/>
        <v>-167.13</v>
      </c>
      <c r="AF1055" t="str">
        <f t="shared" si="203"/>
        <v>Regular</v>
      </c>
    </row>
    <row r="1056" spans="1:32" x14ac:dyDescent="0.25">
      <c r="A1056" t="s">
        <v>359</v>
      </c>
      <c r="B1056" s="1">
        <v>45441</v>
      </c>
      <c r="C1056" s="1">
        <v>45450</v>
      </c>
      <c r="D1056" s="4">
        <f t="shared" si="192"/>
        <v>9</v>
      </c>
      <c r="E1056" s="4" t="str">
        <f>TEXT(Table1[[#This Row],[Order_Date]],"dddd")</f>
        <v>Wednesday</v>
      </c>
      <c r="F1056" s="4">
        <f t="shared" si="193"/>
        <v>5</v>
      </c>
      <c r="G1056" t="str">
        <f t="shared" si="196"/>
        <v>May</v>
      </c>
      <c r="H1056">
        <f t="shared" si="197"/>
        <v>2024</v>
      </c>
      <c r="I1056" t="str">
        <f t="shared" si="198"/>
        <v>2024-Q2</v>
      </c>
      <c r="J1056" t="s">
        <v>55</v>
      </c>
      <c r="K1056" t="s">
        <v>360</v>
      </c>
      <c r="L1056" t="s">
        <v>361</v>
      </c>
      <c r="M1056" t="s">
        <v>24</v>
      </c>
      <c r="N1056" t="s">
        <v>25</v>
      </c>
      <c r="O1056" t="s">
        <v>73</v>
      </c>
      <c r="P1056" t="s">
        <v>74</v>
      </c>
      <c r="Q1056" t="s">
        <v>28</v>
      </c>
      <c r="R1056" t="s">
        <v>362</v>
      </c>
      <c r="S1056" t="s">
        <v>30</v>
      </c>
      <c r="T1056" t="s">
        <v>31</v>
      </c>
      <c r="U1056" t="s">
        <v>363</v>
      </c>
      <c r="V1056" s="3">
        <v>2752.83</v>
      </c>
      <c r="W1056" s="4">
        <v>5</v>
      </c>
      <c r="X1056" s="2">
        <v>0</v>
      </c>
      <c r="Y1056" s="3">
        <v>-205.52</v>
      </c>
      <c r="Z1056" t="str">
        <f t="shared" si="194"/>
        <v>Normal</v>
      </c>
      <c r="AA1056" t="str">
        <f t="shared" si="195"/>
        <v>Low</v>
      </c>
      <c r="AB1056" t="str">
        <f t="shared" si="199"/>
        <v>Loss</v>
      </c>
      <c r="AC1056" s="3">
        <f t="shared" si="200"/>
        <v>-7.4657715877842076E-2</v>
      </c>
      <c r="AD1056" s="3">
        <f t="shared" si="201"/>
        <v>550.56600000000003</v>
      </c>
      <c r="AE1056" s="3">
        <f t="shared" si="202"/>
        <v>-41.103999999999999</v>
      </c>
      <c r="AF1056" t="str">
        <f t="shared" si="203"/>
        <v>Regular</v>
      </c>
    </row>
    <row r="1057" spans="1:32" x14ac:dyDescent="0.25">
      <c r="A1057" t="s">
        <v>33</v>
      </c>
      <c r="B1057" s="1">
        <v>45442</v>
      </c>
      <c r="C1057" s="1">
        <v>45446</v>
      </c>
      <c r="D1057" s="4">
        <f t="shared" si="192"/>
        <v>4</v>
      </c>
      <c r="E1057" s="4" t="str">
        <f>TEXT(Table1[[#This Row],[Order_Date]],"dddd")</f>
        <v>Thursday</v>
      </c>
      <c r="F1057" s="4">
        <f t="shared" si="193"/>
        <v>5</v>
      </c>
      <c r="G1057" t="str">
        <f t="shared" si="196"/>
        <v>May</v>
      </c>
      <c r="H1057">
        <f t="shared" si="197"/>
        <v>2024</v>
      </c>
      <c r="I1057" t="str">
        <f t="shared" si="198"/>
        <v>2024-Q2</v>
      </c>
      <c r="J1057" t="s">
        <v>21</v>
      </c>
      <c r="K1057" t="s">
        <v>34</v>
      </c>
      <c r="L1057" t="s">
        <v>35</v>
      </c>
      <c r="M1057" t="s">
        <v>36</v>
      </c>
      <c r="N1057" t="s">
        <v>25</v>
      </c>
      <c r="O1057" t="s">
        <v>37</v>
      </c>
      <c r="P1057" t="s">
        <v>38</v>
      </c>
      <c r="Q1057" t="s">
        <v>39</v>
      </c>
      <c r="R1057" t="s">
        <v>40</v>
      </c>
      <c r="S1057" t="s">
        <v>30</v>
      </c>
      <c r="T1057" t="s">
        <v>41</v>
      </c>
      <c r="U1057" t="s">
        <v>42</v>
      </c>
      <c r="V1057" s="3">
        <v>4017.55</v>
      </c>
      <c r="W1057" s="4">
        <v>7</v>
      </c>
      <c r="X1057" s="2">
        <v>0.1</v>
      </c>
      <c r="Y1057" s="3">
        <v>-157.08000000000001</v>
      </c>
      <c r="Z1057" t="str">
        <f t="shared" si="194"/>
        <v>Normal</v>
      </c>
      <c r="AA1057" t="str">
        <f t="shared" si="195"/>
        <v>Medium</v>
      </c>
      <c r="AB1057" t="str">
        <f t="shared" si="199"/>
        <v>Loss</v>
      </c>
      <c r="AC1057" s="3">
        <f t="shared" si="200"/>
        <v>-3.9098455526378015E-2</v>
      </c>
      <c r="AD1057" s="3">
        <f t="shared" si="201"/>
        <v>573.93571428571431</v>
      </c>
      <c r="AE1057" s="3">
        <f t="shared" si="202"/>
        <v>-22.44</v>
      </c>
      <c r="AF1057" t="str">
        <f t="shared" si="203"/>
        <v>Regular</v>
      </c>
    </row>
    <row r="1058" spans="1:32" x14ac:dyDescent="0.25">
      <c r="A1058" t="s">
        <v>2686</v>
      </c>
      <c r="B1058" s="1">
        <v>45442</v>
      </c>
      <c r="C1058" s="1">
        <v>45450</v>
      </c>
      <c r="D1058" s="4">
        <f t="shared" si="192"/>
        <v>8</v>
      </c>
      <c r="E1058" s="4" t="str">
        <f>TEXT(Table1[[#This Row],[Order_Date]],"dddd")</f>
        <v>Thursday</v>
      </c>
      <c r="F1058" s="4">
        <f t="shared" si="193"/>
        <v>5</v>
      </c>
      <c r="G1058" t="str">
        <f t="shared" si="196"/>
        <v>May</v>
      </c>
      <c r="H1058">
        <f t="shared" si="197"/>
        <v>2024</v>
      </c>
      <c r="I1058" t="str">
        <f t="shared" si="198"/>
        <v>2024-Q2</v>
      </c>
      <c r="J1058" t="s">
        <v>44</v>
      </c>
      <c r="K1058" t="s">
        <v>2687</v>
      </c>
      <c r="L1058" t="s">
        <v>2688</v>
      </c>
      <c r="M1058" t="s">
        <v>36</v>
      </c>
      <c r="N1058" t="s">
        <v>25</v>
      </c>
      <c r="O1058" t="s">
        <v>99</v>
      </c>
      <c r="P1058" t="s">
        <v>74</v>
      </c>
      <c r="Q1058" t="s">
        <v>66</v>
      </c>
      <c r="R1058" t="s">
        <v>2689</v>
      </c>
      <c r="S1058" t="s">
        <v>59</v>
      </c>
      <c r="T1058" t="s">
        <v>277</v>
      </c>
      <c r="U1058" t="s">
        <v>2690</v>
      </c>
      <c r="V1058" s="3">
        <v>986.9</v>
      </c>
      <c r="W1058" s="4">
        <v>5</v>
      </c>
      <c r="X1058" s="2">
        <v>0.3</v>
      </c>
      <c r="Y1058" s="3">
        <v>-138.58000000000001</v>
      </c>
      <c r="Z1058" t="str">
        <f t="shared" si="194"/>
        <v>Normal</v>
      </c>
      <c r="AA1058" t="str">
        <f t="shared" si="195"/>
        <v>High</v>
      </c>
      <c r="AB1058" t="str">
        <f t="shared" si="199"/>
        <v>Loss</v>
      </c>
      <c r="AC1058" s="3">
        <f t="shared" si="200"/>
        <v>-0.14041949538960383</v>
      </c>
      <c r="AD1058" s="3">
        <f t="shared" si="201"/>
        <v>197.38</v>
      </c>
      <c r="AE1058" s="3">
        <f t="shared" si="202"/>
        <v>-27.716000000000001</v>
      </c>
      <c r="AF1058" t="str">
        <f t="shared" si="203"/>
        <v>Regular</v>
      </c>
    </row>
    <row r="1059" spans="1:32" x14ac:dyDescent="0.25">
      <c r="A1059" t="s">
        <v>6738</v>
      </c>
      <c r="B1059" s="1">
        <v>45443</v>
      </c>
      <c r="C1059" s="1">
        <v>45447</v>
      </c>
      <c r="D1059" s="4">
        <f t="shared" si="192"/>
        <v>4</v>
      </c>
      <c r="E1059" s="4" t="str">
        <f>TEXT(Table1[[#This Row],[Order_Date]],"dddd")</f>
        <v>Friday</v>
      </c>
      <c r="F1059" s="4">
        <f t="shared" si="193"/>
        <v>5</v>
      </c>
      <c r="G1059" t="str">
        <f t="shared" si="196"/>
        <v>May</v>
      </c>
      <c r="H1059">
        <f t="shared" si="197"/>
        <v>2024</v>
      </c>
      <c r="I1059" t="str">
        <f t="shared" si="198"/>
        <v>2024-Q2</v>
      </c>
      <c r="J1059" t="s">
        <v>55</v>
      </c>
      <c r="K1059" t="s">
        <v>6739</v>
      </c>
      <c r="L1059" t="s">
        <v>6740</v>
      </c>
      <c r="M1059" t="s">
        <v>36</v>
      </c>
      <c r="N1059" t="s">
        <v>25</v>
      </c>
      <c r="O1059" t="s">
        <v>233</v>
      </c>
      <c r="P1059" t="s">
        <v>163</v>
      </c>
      <c r="Q1059" t="s">
        <v>39</v>
      </c>
      <c r="R1059" t="s">
        <v>6741</v>
      </c>
      <c r="S1059" t="s">
        <v>51</v>
      </c>
      <c r="T1059" t="s">
        <v>151</v>
      </c>
      <c r="U1059" t="s">
        <v>6742</v>
      </c>
      <c r="V1059" s="3">
        <v>2491.4899999999998</v>
      </c>
      <c r="W1059" s="4">
        <v>3</v>
      </c>
      <c r="X1059" s="2">
        <v>0.1</v>
      </c>
      <c r="Y1059" s="3">
        <v>-78.459999999999994</v>
      </c>
      <c r="Z1059" t="str">
        <f t="shared" si="194"/>
        <v>Normal</v>
      </c>
      <c r="AA1059" t="str">
        <f t="shared" si="195"/>
        <v>Medium</v>
      </c>
      <c r="AB1059" t="str">
        <f t="shared" si="199"/>
        <v>Loss</v>
      </c>
      <c r="AC1059" s="3">
        <f t="shared" si="200"/>
        <v>-3.1491196031290511E-2</v>
      </c>
      <c r="AD1059" s="3">
        <f t="shared" si="201"/>
        <v>830.49666666666656</v>
      </c>
      <c r="AE1059" s="3">
        <f t="shared" si="202"/>
        <v>-26.153333333333332</v>
      </c>
      <c r="AF1059" t="str">
        <f t="shared" si="203"/>
        <v>Regular</v>
      </c>
    </row>
    <row r="1060" spans="1:32" x14ac:dyDescent="0.25">
      <c r="A1060" t="s">
        <v>3450</v>
      </c>
      <c r="B1060" s="1">
        <v>45443</v>
      </c>
      <c r="C1060" s="1">
        <v>45446</v>
      </c>
      <c r="D1060" s="4">
        <f t="shared" si="192"/>
        <v>3</v>
      </c>
      <c r="E1060" s="4" t="str">
        <f>TEXT(Table1[[#This Row],[Order_Date]],"dddd")</f>
        <v>Friday</v>
      </c>
      <c r="F1060" s="4">
        <f t="shared" si="193"/>
        <v>5</v>
      </c>
      <c r="G1060" t="str">
        <f t="shared" si="196"/>
        <v>May</v>
      </c>
      <c r="H1060">
        <f t="shared" si="197"/>
        <v>2024</v>
      </c>
      <c r="I1060" t="str">
        <f t="shared" si="198"/>
        <v>2024-Q2</v>
      </c>
      <c r="J1060" t="s">
        <v>55</v>
      </c>
      <c r="K1060" t="s">
        <v>3451</v>
      </c>
      <c r="L1060" t="s">
        <v>3452</v>
      </c>
      <c r="M1060" t="s">
        <v>24</v>
      </c>
      <c r="N1060" t="s">
        <v>25</v>
      </c>
      <c r="O1060" t="s">
        <v>73</v>
      </c>
      <c r="P1060" t="s">
        <v>74</v>
      </c>
      <c r="Q1060" t="s">
        <v>39</v>
      </c>
      <c r="R1060" t="s">
        <v>3453</v>
      </c>
      <c r="S1060" t="s">
        <v>51</v>
      </c>
      <c r="T1060" t="s">
        <v>108</v>
      </c>
      <c r="U1060" t="s">
        <v>3454</v>
      </c>
      <c r="V1060" s="3">
        <v>4651.7700000000004</v>
      </c>
      <c r="W1060" s="4">
        <v>8</v>
      </c>
      <c r="X1060" s="2">
        <v>0</v>
      </c>
      <c r="Y1060" s="3">
        <v>-309.02999999999997</v>
      </c>
      <c r="Z1060" t="str">
        <f t="shared" si="194"/>
        <v>Normal</v>
      </c>
      <c r="AA1060" t="str">
        <f t="shared" si="195"/>
        <v>Low</v>
      </c>
      <c r="AB1060" t="str">
        <f t="shared" si="199"/>
        <v>Loss</v>
      </c>
      <c r="AC1060" s="3">
        <f t="shared" si="200"/>
        <v>-6.6432777200936405E-2</v>
      </c>
      <c r="AD1060" s="3">
        <f t="shared" si="201"/>
        <v>581.47125000000005</v>
      </c>
      <c r="AE1060" s="3">
        <f t="shared" si="202"/>
        <v>-38.628749999999997</v>
      </c>
      <c r="AF1060" t="str">
        <f t="shared" si="203"/>
        <v>Regular</v>
      </c>
    </row>
    <row r="1061" spans="1:32" x14ac:dyDescent="0.25">
      <c r="A1061" t="s">
        <v>6334</v>
      </c>
      <c r="B1061" s="1">
        <v>45443</v>
      </c>
      <c r="C1061" s="1">
        <v>45451</v>
      </c>
      <c r="D1061" s="4">
        <f t="shared" si="192"/>
        <v>8</v>
      </c>
      <c r="E1061" s="4" t="str">
        <f>TEXT(Table1[[#This Row],[Order_Date]],"dddd")</f>
        <v>Friday</v>
      </c>
      <c r="F1061" s="4">
        <f t="shared" si="193"/>
        <v>5</v>
      </c>
      <c r="G1061" t="str">
        <f t="shared" si="196"/>
        <v>May</v>
      </c>
      <c r="H1061">
        <f t="shared" si="197"/>
        <v>2024</v>
      </c>
      <c r="I1061" t="str">
        <f t="shared" si="198"/>
        <v>2024-Q2</v>
      </c>
      <c r="J1061" t="s">
        <v>104</v>
      </c>
      <c r="K1061" t="s">
        <v>6335</v>
      </c>
      <c r="L1061" t="s">
        <v>6336</v>
      </c>
      <c r="M1061" t="s">
        <v>24</v>
      </c>
      <c r="N1061" t="s">
        <v>25</v>
      </c>
      <c r="O1061" t="s">
        <v>190</v>
      </c>
      <c r="P1061" t="s">
        <v>120</v>
      </c>
      <c r="Q1061" t="s">
        <v>39</v>
      </c>
      <c r="R1061" t="s">
        <v>6337</v>
      </c>
      <c r="S1061" t="s">
        <v>30</v>
      </c>
      <c r="T1061" t="s">
        <v>31</v>
      </c>
      <c r="U1061" t="s">
        <v>2572</v>
      </c>
      <c r="V1061" s="3">
        <v>4420.45</v>
      </c>
      <c r="W1061" s="4">
        <v>10</v>
      </c>
      <c r="X1061" s="2">
        <v>0.1</v>
      </c>
      <c r="Y1061" s="3">
        <v>147.07</v>
      </c>
      <c r="Z1061" t="str">
        <f t="shared" si="194"/>
        <v>Normal</v>
      </c>
      <c r="AA1061" t="str">
        <f t="shared" si="195"/>
        <v>Medium</v>
      </c>
      <c r="AB1061" t="str">
        <f t="shared" si="199"/>
        <v>Low Profit</v>
      </c>
      <c r="AC1061" s="3">
        <f t="shared" si="200"/>
        <v>3.3270368401407097E-2</v>
      </c>
      <c r="AD1061" s="3">
        <f t="shared" si="201"/>
        <v>442.04499999999996</v>
      </c>
      <c r="AE1061" s="3">
        <f t="shared" si="202"/>
        <v>14.706999999999999</v>
      </c>
      <c r="AF1061" t="str">
        <f t="shared" si="203"/>
        <v>Regular</v>
      </c>
    </row>
    <row r="1062" spans="1:32" x14ac:dyDescent="0.25">
      <c r="A1062" t="s">
        <v>4222</v>
      </c>
      <c r="B1062" s="1">
        <v>45444</v>
      </c>
      <c r="C1062" s="1">
        <v>45454</v>
      </c>
      <c r="D1062" s="4">
        <f t="shared" si="192"/>
        <v>10</v>
      </c>
      <c r="E1062" s="4" t="str">
        <f>TEXT(Table1[[#This Row],[Order_Date]],"dddd")</f>
        <v>Saturday</v>
      </c>
      <c r="F1062" s="4">
        <f t="shared" si="193"/>
        <v>6</v>
      </c>
      <c r="G1062" t="str">
        <f t="shared" si="196"/>
        <v>June</v>
      </c>
      <c r="H1062">
        <f t="shared" si="197"/>
        <v>2024</v>
      </c>
      <c r="I1062" t="str">
        <f t="shared" si="198"/>
        <v>2024-Q2</v>
      </c>
      <c r="J1062" t="s">
        <v>55</v>
      </c>
      <c r="K1062" t="s">
        <v>4223</v>
      </c>
      <c r="L1062" t="s">
        <v>4224</v>
      </c>
      <c r="M1062" t="s">
        <v>47</v>
      </c>
      <c r="N1062" t="s">
        <v>25</v>
      </c>
      <c r="O1062" t="s">
        <v>451</v>
      </c>
      <c r="P1062" t="s">
        <v>38</v>
      </c>
      <c r="Q1062" t="s">
        <v>66</v>
      </c>
      <c r="R1062" t="s">
        <v>4225</v>
      </c>
      <c r="S1062" t="s">
        <v>30</v>
      </c>
      <c r="T1062" t="s">
        <v>41</v>
      </c>
      <c r="U1062" t="s">
        <v>4226</v>
      </c>
      <c r="V1062" s="3">
        <v>1992.58</v>
      </c>
      <c r="W1062" s="4">
        <v>3</v>
      </c>
      <c r="X1062" s="2">
        <v>0.2</v>
      </c>
      <c r="Y1062" s="3">
        <v>-218.1</v>
      </c>
      <c r="Z1062" t="str">
        <f t="shared" si="194"/>
        <v>Normal</v>
      </c>
      <c r="AA1062" t="str">
        <f t="shared" si="195"/>
        <v>High</v>
      </c>
      <c r="AB1062" t="str">
        <f t="shared" si="199"/>
        <v>Loss</v>
      </c>
      <c r="AC1062" s="3">
        <f t="shared" si="200"/>
        <v>-0.10945608206445914</v>
      </c>
      <c r="AD1062" s="3">
        <f t="shared" si="201"/>
        <v>664.19333333333327</v>
      </c>
      <c r="AE1062" s="3">
        <f t="shared" si="202"/>
        <v>-72.7</v>
      </c>
      <c r="AF1062" t="str">
        <f t="shared" si="203"/>
        <v>Regular</v>
      </c>
    </row>
    <row r="1063" spans="1:32" x14ac:dyDescent="0.25">
      <c r="A1063" t="s">
        <v>4377</v>
      </c>
      <c r="B1063" s="1">
        <v>45444</v>
      </c>
      <c r="C1063" s="1">
        <v>45446</v>
      </c>
      <c r="D1063" s="4">
        <f t="shared" si="192"/>
        <v>2</v>
      </c>
      <c r="E1063" s="4" t="str">
        <f>TEXT(Table1[[#This Row],[Order_Date]],"dddd")</f>
        <v>Saturday</v>
      </c>
      <c r="F1063" s="4">
        <f t="shared" si="193"/>
        <v>6</v>
      </c>
      <c r="G1063" t="str">
        <f t="shared" si="196"/>
        <v>June</v>
      </c>
      <c r="H1063">
        <f t="shared" si="197"/>
        <v>2024</v>
      </c>
      <c r="I1063" t="str">
        <f t="shared" si="198"/>
        <v>2024-Q2</v>
      </c>
      <c r="J1063" t="s">
        <v>21</v>
      </c>
      <c r="K1063" t="s">
        <v>4378</v>
      </c>
      <c r="L1063" t="s">
        <v>4379</v>
      </c>
      <c r="M1063" t="s">
        <v>36</v>
      </c>
      <c r="N1063" t="s">
        <v>25</v>
      </c>
      <c r="O1063" t="s">
        <v>382</v>
      </c>
      <c r="P1063" t="s">
        <v>38</v>
      </c>
      <c r="Q1063" t="s">
        <v>66</v>
      </c>
      <c r="R1063" t="s">
        <v>4380</v>
      </c>
      <c r="S1063" t="s">
        <v>59</v>
      </c>
      <c r="T1063" t="s">
        <v>60</v>
      </c>
      <c r="U1063" t="s">
        <v>4381</v>
      </c>
      <c r="V1063" s="3">
        <v>4538.96</v>
      </c>
      <c r="W1063" s="4">
        <v>6</v>
      </c>
      <c r="X1063" s="2">
        <v>0</v>
      </c>
      <c r="Y1063" s="3">
        <v>-603.71</v>
      </c>
      <c r="Z1063" t="str">
        <f t="shared" si="194"/>
        <v>Normal</v>
      </c>
      <c r="AA1063" t="str">
        <f t="shared" si="195"/>
        <v>Low</v>
      </c>
      <c r="AB1063" t="str">
        <f t="shared" si="199"/>
        <v>Loss</v>
      </c>
      <c r="AC1063" s="3">
        <f t="shared" si="200"/>
        <v>-0.1330062393147329</v>
      </c>
      <c r="AD1063" s="3">
        <f t="shared" si="201"/>
        <v>756.49333333333334</v>
      </c>
      <c r="AE1063" s="3">
        <f t="shared" si="202"/>
        <v>-100.61833333333334</v>
      </c>
      <c r="AF1063" t="str">
        <f t="shared" si="203"/>
        <v>Regular</v>
      </c>
    </row>
    <row r="1064" spans="1:32" x14ac:dyDescent="0.25">
      <c r="A1064" t="s">
        <v>4744</v>
      </c>
      <c r="B1064" s="1">
        <v>45446</v>
      </c>
      <c r="C1064" s="1">
        <v>45456</v>
      </c>
      <c r="D1064" s="4">
        <f t="shared" si="192"/>
        <v>10</v>
      </c>
      <c r="E1064" s="4" t="str">
        <f>TEXT(Table1[[#This Row],[Order_Date]],"dddd")</f>
        <v>Monday</v>
      </c>
      <c r="F1064" s="4">
        <f t="shared" si="193"/>
        <v>6</v>
      </c>
      <c r="G1064" t="str">
        <f t="shared" si="196"/>
        <v>June</v>
      </c>
      <c r="H1064">
        <f t="shared" si="197"/>
        <v>2024</v>
      </c>
      <c r="I1064" t="str">
        <f t="shared" si="198"/>
        <v>2024-Q2</v>
      </c>
      <c r="J1064" t="s">
        <v>55</v>
      </c>
      <c r="K1064" t="s">
        <v>4745</v>
      </c>
      <c r="L1064" t="s">
        <v>4746</v>
      </c>
      <c r="M1064" t="s">
        <v>36</v>
      </c>
      <c r="N1064" t="s">
        <v>25</v>
      </c>
      <c r="O1064" t="s">
        <v>26</v>
      </c>
      <c r="P1064" t="s">
        <v>27</v>
      </c>
      <c r="Q1064" t="s">
        <v>28</v>
      </c>
      <c r="R1064" t="s">
        <v>4747</v>
      </c>
      <c r="S1064" t="s">
        <v>51</v>
      </c>
      <c r="T1064" t="s">
        <v>151</v>
      </c>
      <c r="U1064" t="s">
        <v>4748</v>
      </c>
      <c r="V1064" s="3">
        <v>2713.39</v>
      </c>
      <c r="W1064" s="4">
        <v>1</v>
      </c>
      <c r="X1064" s="2">
        <v>0.3</v>
      </c>
      <c r="Y1064" s="3">
        <v>-528.45000000000005</v>
      </c>
      <c r="Z1064" t="str">
        <f t="shared" si="194"/>
        <v>Normal</v>
      </c>
      <c r="AA1064" t="str">
        <f t="shared" si="195"/>
        <v>High</v>
      </c>
      <c r="AB1064" t="str">
        <f t="shared" si="199"/>
        <v>Loss</v>
      </c>
      <c r="AC1064" s="3">
        <f t="shared" si="200"/>
        <v>-0.19475637486686398</v>
      </c>
      <c r="AD1064" s="3">
        <f t="shared" si="201"/>
        <v>2713.39</v>
      </c>
      <c r="AE1064" s="3">
        <f t="shared" si="202"/>
        <v>-528.45000000000005</v>
      </c>
      <c r="AF1064" t="str">
        <f t="shared" si="203"/>
        <v>Regular</v>
      </c>
    </row>
    <row r="1065" spans="1:32" x14ac:dyDescent="0.25">
      <c r="A1065" t="s">
        <v>6071</v>
      </c>
      <c r="B1065" s="1">
        <v>45446</v>
      </c>
      <c r="C1065" s="1">
        <v>45456</v>
      </c>
      <c r="D1065" s="4">
        <f t="shared" si="192"/>
        <v>10</v>
      </c>
      <c r="E1065" s="4" t="str">
        <f>TEXT(Table1[[#This Row],[Order_Date]],"dddd")</f>
        <v>Monday</v>
      </c>
      <c r="F1065" s="4">
        <f t="shared" si="193"/>
        <v>6</v>
      </c>
      <c r="G1065" t="str">
        <f t="shared" si="196"/>
        <v>June</v>
      </c>
      <c r="H1065">
        <f t="shared" si="197"/>
        <v>2024</v>
      </c>
      <c r="I1065" t="str">
        <f t="shared" si="198"/>
        <v>2024-Q2</v>
      </c>
      <c r="J1065" t="s">
        <v>104</v>
      </c>
      <c r="K1065" t="s">
        <v>6072</v>
      </c>
      <c r="L1065" t="s">
        <v>6073</v>
      </c>
      <c r="M1065" t="s">
        <v>24</v>
      </c>
      <c r="N1065" t="s">
        <v>25</v>
      </c>
      <c r="O1065" t="s">
        <v>26</v>
      </c>
      <c r="P1065" t="s">
        <v>27</v>
      </c>
      <c r="Q1065" t="s">
        <v>28</v>
      </c>
      <c r="R1065" t="s">
        <v>6074</v>
      </c>
      <c r="S1065" t="s">
        <v>30</v>
      </c>
      <c r="T1065" t="s">
        <v>82</v>
      </c>
      <c r="U1065" t="s">
        <v>6075</v>
      </c>
      <c r="V1065" s="3">
        <v>4280.7</v>
      </c>
      <c r="W1065" s="4">
        <v>3</v>
      </c>
      <c r="X1065" s="2">
        <v>0.2</v>
      </c>
      <c r="Y1065" s="3">
        <v>-358.36</v>
      </c>
      <c r="Z1065" t="str">
        <f t="shared" si="194"/>
        <v>Normal</v>
      </c>
      <c r="AA1065" t="str">
        <f t="shared" si="195"/>
        <v>High</v>
      </c>
      <c r="AB1065" t="str">
        <f t="shared" si="199"/>
        <v>Loss</v>
      </c>
      <c r="AC1065" s="3">
        <f t="shared" si="200"/>
        <v>-8.3715280211180423E-2</v>
      </c>
      <c r="AD1065" s="3">
        <f t="shared" si="201"/>
        <v>1426.8999999999999</v>
      </c>
      <c r="AE1065" s="3">
        <f t="shared" si="202"/>
        <v>-119.45333333333333</v>
      </c>
      <c r="AF1065" t="str">
        <f t="shared" si="203"/>
        <v>Regular</v>
      </c>
    </row>
    <row r="1066" spans="1:32" x14ac:dyDescent="0.25">
      <c r="A1066" t="s">
        <v>5273</v>
      </c>
      <c r="B1066" s="1">
        <v>45446</v>
      </c>
      <c r="C1066" s="1">
        <v>45456</v>
      </c>
      <c r="D1066" s="4">
        <f t="shared" si="192"/>
        <v>10</v>
      </c>
      <c r="E1066" s="4" t="str">
        <f>TEXT(Table1[[#This Row],[Order_Date]],"dddd")</f>
        <v>Monday</v>
      </c>
      <c r="F1066" s="4">
        <f t="shared" si="193"/>
        <v>6</v>
      </c>
      <c r="G1066" t="str">
        <f t="shared" si="196"/>
        <v>June</v>
      </c>
      <c r="H1066">
        <f t="shared" si="197"/>
        <v>2024</v>
      </c>
      <c r="I1066" t="str">
        <f t="shared" si="198"/>
        <v>2024-Q2</v>
      </c>
      <c r="J1066" t="s">
        <v>55</v>
      </c>
      <c r="K1066" t="s">
        <v>5274</v>
      </c>
      <c r="L1066" t="s">
        <v>5275</v>
      </c>
      <c r="M1066" t="s">
        <v>36</v>
      </c>
      <c r="N1066" t="s">
        <v>25</v>
      </c>
      <c r="O1066" t="s">
        <v>149</v>
      </c>
      <c r="P1066" t="s">
        <v>113</v>
      </c>
      <c r="Q1066" t="s">
        <v>66</v>
      </c>
      <c r="R1066" t="s">
        <v>5276</v>
      </c>
      <c r="S1066" t="s">
        <v>30</v>
      </c>
      <c r="T1066" t="s">
        <v>68</v>
      </c>
      <c r="U1066" t="s">
        <v>5277</v>
      </c>
      <c r="V1066" s="3">
        <v>804.52</v>
      </c>
      <c r="W1066" s="4">
        <v>7</v>
      </c>
      <c r="X1066" s="2">
        <v>0.1</v>
      </c>
      <c r="Y1066" s="3">
        <v>-122.99</v>
      </c>
      <c r="Z1066" t="str">
        <f t="shared" si="194"/>
        <v>Normal</v>
      </c>
      <c r="AA1066" t="str">
        <f t="shared" si="195"/>
        <v>Medium</v>
      </c>
      <c r="AB1066" t="str">
        <f t="shared" si="199"/>
        <v>Loss</v>
      </c>
      <c r="AC1066" s="3">
        <f t="shared" si="200"/>
        <v>-0.15287376323770696</v>
      </c>
      <c r="AD1066" s="3">
        <f t="shared" si="201"/>
        <v>114.93142857142857</v>
      </c>
      <c r="AE1066" s="3">
        <f t="shared" si="202"/>
        <v>-17.57</v>
      </c>
      <c r="AF1066" t="str">
        <f t="shared" si="203"/>
        <v>Regular</v>
      </c>
    </row>
    <row r="1067" spans="1:32" x14ac:dyDescent="0.25">
      <c r="A1067" t="s">
        <v>3243</v>
      </c>
      <c r="B1067" s="1">
        <v>45446</v>
      </c>
      <c r="C1067" s="1">
        <v>45456</v>
      </c>
      <c r="D1067" s="4">
        <f t="shared" si="192"/>
        <v>10</v>
      </c>
      <c r="E1067" s="4" t="str">
        <f>TEXT(Table1[[#This Row],[Order_Date]],"dddd")</f>
        <v>Monday</v>
      </c>
      <c r="F1067" s="4">
        <f t="shared" si="193"/>
        <v>6</v>
      </c>
      <c r="G1067" t="str">
        <f t="shared" si="196"/>
        <v>June</v>
      </c>
      <c r="H1067">
        <f t="shared" si="197"/>
        <v>2024</v>
      </c>
      <c r="I1067" t="str">
        <f t="shared" si="198"/>
        <v>2024-Q2</v>
      </c>
      <c r="J1067" t="s">
        <v>55</v>
      </c>
      <c r="K1067" t="s">
        <v>3244</v>
      </c>
      <c r="L1067" t="s">
        <v>3245</v>
      </c>
      <c r="M1067" t="s">
        <v>24</v>
      </c>
      <c r="N1067" t="s">
        <v>25</v>
      </c>
      <c r="O1067" t="s">
        <v>48</v>
      </c>
      <c r="P1067" t="s">
        <v>49</v>
      </c>
      <c r="Q1067" t="s">
        <v>28</v>
      </c>
      <c r="R1067" t="s">
        <v>3246</v>
      </c>
      <c r="S1067" t="s">
        <v>51</v>
      </c>
      <c r="T1067" t="s">
        <v>108</v>
      </c>
      <c r="U1067" t="s">
        <v>3247</v>
      </c>
      <c r="V1067" s="3">
        <v>2541.73</v>
      </c>
      <c r="W1067" s="4">
        <v>5</v>
      </c>
      <c r="X1067" s="2">
        <v>0.1</v>
      </c>
      <c r="Y1067" s="3">
        <v>-129.44999999999999</v>
      </c>
      <c r="Z1067" t="str">
        <f t="shared" si="194"/>
        <v>Normal</v>
      </c>
      <c r="AA1067" t="str">
        <f t="shared" si="195"/>
        <v>Medium</v>
      </c>
      <c r="AB1067" t="str">
        <f t="shared" si="199"/>
        <v>Loss</v>
      </c>
      <c r="AC1067" s="3">
        <f t="shared" si="200"/>
        <v>-5.0929878468602086E-2</v>
      </c>
      <c r="AD1067" s="3">
        <f t="shared" si="201"/>
        <v>508.346</v>
      </c>
      <c r="AE1067" s="3">
        <f t="shared" si="202"/>
        <v>-25.889999999999997</v>
      </c>
      <c r="AF1067" t="str">
        <f t="shared" si="203"/>
        <v>Regular</v>
      </c>
    </row>
    <row r="1068" spans="1:32" x14ac:dyDescent="0.25">
      <c r="A1068" t="s">
        <v>123</v>
      </c>
      <c r="B1068" s="1">
        <v>45447</v>
      </c>
      <c r="C1068" s="1">
        <v>45451</v>
      </c>
      <c r="D1068" s="4">
        <f t="shared" si="192"/>
        <v>4</v>
      </c>
      <c r="E1068" s="4" t="str">
        <f>TEXT(Table1[[#This Row],[Order_Date]],"dddd")</f>
        <v>Tuesday</v>
      </c>
      <c r="F1068" s="4">
        <f t="shared" si="193"/>
        <v>6</v>
      </c>
      <c r="G1068" t="str">
        <f t="shared" si="196"/>
        <v>June</v>
      </c>
      <c r="H1068">
        <f t="shared" si="197"/>
        <v>2024</v>
      </c>
      <c r="I1068" t="str">
        <f t="shared" si="198"/>
        <v>2024-Q2</v>
      </c>
      <c r="J1068" t="s">
        <v>55</v>
      </c>
      <c r="K1068" t="s">
        <v>124</v>
      </c>
      <c r="L1068" t="s">
        <v>125</v>
      </c>
      <c r="M1068" t="s">
        <v>24</v>
      </c>
      <c r="N1068" t="s">
        <v>25</v>
      </c>
      <c r="O1068" t="s">
        <v>99</v>
      </c>
      <c r="P1068" t="s">
        <v>74</v>
      </c>
      <c r="Q1068" t="s">
        <v>87</v>
      </c>
      <c r="R1068" t="s">
        <v>126</v>
      </c>
      <c r="S1068" t="s">
        <v>51</v>
      </c>
      <c r="T1068" t="s">
        <v>127</v>
      </c>
      <c r="U1068" t="s">
        <v>128</v>
      </c>
      <c r="V1068" s="3">
        <v>3538.84</v>
      </c>
      <c r="W1068" s="4">
        <v>9</v>
      </c>
      <c r="X1068" s="2">
        <v>0.4</v>
      </c>
      <c r="Y1068" s="3">
        <v>684.75</v>
      </c>
      <c r="Z1068" t="str">
        <f t="shared" si="194"/>
        <v>Normal</v>
      </c>
      <c r="AA1068" t="str">
        <f t="shared" si="195"/>
        <v>High</v>
      </c>
      <c r="AB1068" t="str">
        <f t="shared" si="199"/>
        <v>High Profit</v>
      </c>
      <c r="AC1068" s="3">
        <f t="shared" si="200"/>
        <v>0.19349560873054447</v>
      </c>
      <c r="AD1068" s="3">
        <f t="shared" si="201"/>
        <v>393.20444444444445</v>
      </c>
      <c r="AE1068" s="3">
        <f t="shared" si="202"/>
        <v>76.083333333333329</v>
      </c>
      <c r="AF1068" t="str">
        <f t="shared" si="203"/>
        <v>Regular</v>
      </c>
    </row>
    <row r="1069" spans="1:32" x14ac:dyDescent="0.25">
      <c r="A1069" t="s">
        <v>2113</v>
      </c>
      <c r="B1069" s="1">
        <v>45448</v>
      </c>
      <c r="C1069" s="1">
        <v>45456</v>
      </c>
      <c r="D1069" s="4">
        <f t="shared" si="192"/>
        <v>8</v>
      </c>
      <c r="E1069" s="4" t="str">
        <f>TEXT(Table1[[#This Row],[Order_Date]],"dddd")</f>
        <v>Wednesday</v>
      </c>
      <c r="F1069" s="4">
        <f t="shared" si="193"/>
        <v>6</v>
      </c>
      <c r="G1069" t="str">
        <f t="shared" si="196"/>
        <v>June</v>
      </c>
      <c r="H1069">
        <f t="shared" si="197"/>
        <v>2024</v>
      </c>
      <c r="I1069" t="str">
        <f t="shared" si="198"/>
        <v>2024-Q2</v>
      </c>
      <c r="J1069" t="s">
        <v>44</v>
      </c>
      <c r="K1069" t="s">
        <v>2114</v>
      </c>
      <c r="L1069" t="s">
        <v>2115</v>
      </c>
      <c r="M1069" t="s">
        <v>47</v>
      </c>
      <c r="N1069" t="s">
        <v>25</v>
      </c>
      <c r="O1069" t="s">
        <v>26</v>
      </c>
      <c r="P1069" t="s">
        <v>27</v>
      </c>
      <c r="Q1069" t="s">
        <v>39</v>
      </c>
      <c r="R1069" t="s">
        <v>2116</v>
      </c>
      <c r="S1069" t="s">
        <v>59</v>
      </c>
      <c r="T1069" t="s">
        <v>277</v>
      </c>
      <c r="U1069" t="s">
        <v>2117</v>
      </c>
      <c r="V1069" s="3">
        <v>400.22</v>
      </c>
      <c r="W1069" s="4">
        <v>10</v>
      </c>
      <c r="X1069" s="2">
        <v>0.1</v>
      </c>
      <c r="Y1069" s="3">
        <v>111.13</v>
      </c>
      <c r="Z1069" t="str">
        <f t="shared" si="194"/>
        <v>Normal</v>
      </c>
      <c r="AA1069" t="str">
        <f t="shared" si="195"/>
        <v>Medium</v>
      </c>
      <c r="AB1069" t="str">
        <f t="shared" si="199"/>
        <v>Low Profit</v>
      </c>
      <c r="AC1069" s="3">
        <f t="shared" si="200"/>
        <v>0.27767228024586477</v>
      </c>
      <c r="AD1069" s="3">
        <f t="shared" si="201"/>
        <v>40.022000000000006</v>
      </c>
      <c r="AE1069" s="3">
        <f t="shared" si="202"/>
        <v>11.113</v>
      </c>
      <c r="AF1069" t="str">
        <f t="shared" si="203"/>
        <v>Regular</v>
      </c>
    </row>
    <row r="1070" spans="1:32" x14ac:dyDescent="0.25">
      <c r="A1070" t="s">
        <v>573</v>
      </c>
      <c r="B1070" s="1">
        <v>45449</v>
      </c>
      <c r="C1070" s="1">
        <v>45453</v>
      </c>
      <c r="D1070" s="4">
        <f t="shared" si="192"/>
        <v>4</v>
      </c>
      <c r="E1070" s="4" t="str">
        <f>TEXT(Table1[[#This Row],[Order_Date]],"dddd")</f>
        <v>Thursday</v>
      </c>
      <c r="F1070" s="4">
        <f t="shared" si="193"/>
        <v>6</v>
      </c>
      <c r="G1070" t="str">
        <f t="shared" si="196"/>
        <v>June</v>
      </c>
      <c r="H1070">
        <f t="shared" si="197"/>
        <v>2024</v>
      </c>
      <c r="I1070" t="str">
        <f t="shared" si="198"/>
        <v>2024-Q2</v>
      </c>
      <c r="J1070" t="s">
        <v>55</v>
      </c>
      <c r="K1070" t="s">
        <v>574</v>
      </c>
      <c r="L1070" t="s">
        <v>575</v>
      </c>
      <c r="M1070" t="s">
        <v>47</v>
      </c>
      <c r="N1070" t="s">
        <v>25</v>
      </c>
      <c r="O1070" t="s">
        <v>26</v>
      </c>
      <c r="P1070" t="s">
        <v>27</v>
      </c>
      <c r="Q1070" t="s">
        <v>28</v>
      </c>
      <c r="R1070" t="s">
        <v>576</v>
      </c>
      <c r="S1070" t="s">
        <v>51</v>
      </c>
      <c r="T1070" t="s">
        <v>151</v>
      </c>
      <c r="U1070" t="s">
        <v>577</v>
      </c>
      <c r="V1070" s="3">
        <v>1687.48</v>
      </c>
      <c r="W1070" s="4">
        <v>8</v>
      </c>
      <c r="X1070" s="2">
        <v>0.4</v>
      </c>
      <c r="Y1070" s="3">
        <v>291.36</v>
      </c>
      <c r="Z1070" t="str">
        <f t="shared" si="194"/>
        <v>Normal</v>
      </c>
      <c r="AA1070" t="str">
        <f t="shared" si="195"/>
        <v>High</v>
      </c>
      <c r="AB1070" t="str">
        <f t="shared" si="199"/>
        <v>Low Profit</v>
      </c>
      <c r="AC1070" s="3">
        <f t="shared" si="200"/>
        <v>0.17265982411643399</v>
      </c>
      <c r="AD1070" s="3">
        <f t="shared" si="201"/>
        <v>210.935</v>
      </c>
      <c r="AE1070" s="3">
        <f t="shared" si="202"/>
        <v>36.42</v>
      </c>
      <c r="AF1070" t="str">
        <f t="shared" si="203"/>
        <v>Regular</v>
      </c>
    </row>
    <row r="1071" spans="1:32" x14ac:dyDescent="0.25">
      <c r="A1071" t="s">
        <v>3741</v>
      </c>
      <c r="B1071" s="1">
        <v>45449</v>
      </c>
      <c r="C1071" s="1">
        <v>45450</v>
      </c>
      <c r="D1071" s="4">
        <f t="shared" si="192"/>
        <v>1</v>
      </c>
      <c r="E1071" s="4" t="str">
        <f>TEXT(Table1[[#This Row],[Order_Date]],"dddd")</f>
        <v>Thursday</v>
      </c>
      <c r="F1071" s="4">
        <f t="shared" si="193"/>
        <v>6</v>
      </c>
      <c r="G1071" t="str">
        <f t="shared" si="196"/>
        <v>June</v>
      </c>
      <c r="H1071">
        <f t="shared" si="197"/>
        <v>2024</v>
      </c>
      <c r="I1071" t="str">
        <f t="shared" si="198"/>
        <v>2024-Q2</v>
      </c>
      <c r="J1071" t="s">
        <v>104</v>
      </c>
      <c r="K1071" t="s">
        <v>3742</v>
      </c>
      <c r="L1071" t="s">
        <v>3743</v>
      </c>
      <c r="M1071" t="s">
        <v>47</v>
      </c>
      <c r="N1071" t="s">
        <v>25</v>
      </c>
      <c r="O1071" t="s">
        <v>26</v>
      </c>
      <c r="P1071" t="s">
        <v>27</v>
      </c>
      <c r="Q1071" t="s">
        <v>28</v>
      </c>
      <c r="R1071" t="s">
        <v>3744</v>
      </c>
      <c r="S1071" t="s">
        <v>59</v>
      </c>
      <c r="T1071" t="s">
        <v>277</v>
      </c>
      <c r="U1071" t="s">
        <v>3745</v>
      </c>
      <c r="V1071" s="3">
        <v>4208.76</v>
      </c>
      <c r="W1071" s="4">
        <v>7</v>
      </c>
      <c r="X1071" s="2">
        <v>0.3</v>
      </c>
      <c r="Y1071" s="3">
        <v>1165.92</v>
      </c>
      <c r="Z1071" t="str">
        <f t="shared" si="194"/>
        <v>Outlier</v>
      </c>
      <c r="AA1071" t="str">
        <f t="shared" si="195"/>
        <v>High</v>
      </c>
      <c r="AB1071" t="str">
        <f t="shared" si="199"/>
        <v>High Profit</v>
      </c>
      <c r="AC1071" s="3">
        <f t="shared" si="200"/>
        <v>0.27702221081743794</v>
      </c>
      <c r="AD1071" s="3">
        <f t="shared" si="201"/>
        <v>601.25142857142862</v>
      </c>
      <c r="AE1071" s="3">
        <f t="shared" si="202"/>
        <v>166.56</v>
      </c>
      <c r="AF1071" t="str">
        <f t="shared" si="203"/>
        <v>Regular</v>
      </c>
    </row>
    <row r="1072" spans="1:32" x14ac:dyDescent="0.25">
      <c r="A1072" t="s">
        <v>1883</v>
      </c>
      <c r="B1072" s="1">
        <v>45449</v>
      </c>
      <c r="C1072" s="1">
        <v>45451</v>
      </c>
      <c r="D1072" s="4">
        <f t="shared" si="192"/>
        <v>2</v>
      </c>
      <c r="E1072" s="4" t="str">
        <f>TEXT(Table1[[#This Row],[Order_Date]],"dddd")</f>
        <v>Thursday</v>
      </c>
      <c r="F1072" s="4">
        <f t="shared" si="193"/>
        <v>6</v>
      </c>
      <c r="G1072" t="str">
        <f t="shared" si="196"/>
        <v>June</v>
      </c>
      <c r="H1072">
        <f t="shared" si="197"/>
        <v>2024</v>
      </c>
      <c r="I1072" t="str">
        <f t="shared" si="198"/>
        <v>2024-Q2</v>
      </c>
      <c r="J1072" t="s">
        <v>55</v>
      </c>
      <c r="K1072" t="s">
        <v>1884</v>
      </c>
      <c r="L1072" t="s">
        <v>1885</v>
      </c>
      <c r="M1072" t="s">
        <v>24</v>
      </c>
      <c r="N1072" t="s">
        <v>25</v>
      </c>
      <c r="O1072" t="s">
        <v>80</v>
      </c>
      <c r="P1072" t="s">
        <v>49</v>
      </c>
      <c r="Q1072" t="s">
        <v>87</v>
      </c>
      <c r="R1072" t="s">
        <v>1886</v>
      </c>
      <c r="S1072" t="s">
        <v>59</v>
      </c>
      <c r="T1072" t="s">
        <v>101</v>
      </c>
      <c r="U1072" t="s">
        <v>1887</v>
      </c>
      <c r="V1072" s="3">
        <v>2407.5300000000002</v>
      </c>
      <c r="W1072" s="4">
        <v>5</v>
      </c>
      <c r="X1072" s="2">
        <v>0</v>
      </c>
      <c r="Y1072" s="3">
        <v>673.01</v>
      </c>
      <c r="Z1072" t="str">
        <f t="shared" si="194"/>
        <v>Normal</v>
      </c>
      <c r="AA1072" t="str">
        <f t="shared" si="195"/>
        <v>Low</v>
      </c>
      <c r="AB1072" t="str">
        <f t="shared" si="199"/>
        <v>High Profit</v>
      </c>
      <c r="AC1072" s="3">
        <f t="shared" si="200"/>
        <v>0.27954376477136317</v>
      </c>
      <c r="AD1072" s="3">
        <f t="shared" si="201"/>
        <v>481.50600000000003</v>
      </c>
      <c r="AE1072" s="3">
        <f t="shared" si="202"/>
        <v>134.602</v>
      </c>
      <c r="AF1072" t="str">
        <f t="shared" si="203"/>
        <v>Regular</v>
      </c>
    </row>
    <row r="1073" spans="1:32" x14ac:dyDescent="0.25">
      <c r="A1073" t="s">
        <v>5879</v>
      </c>
      <c r="B1073" s="1">
        <v>45450</v>
      </c>
      <c r="C1073" s="1">
        <v>45455</v>
      </c>
      <c r="D1073" s="4">
        <f t="shared" si="192"/>
        <v>5</v>
      </c>
      <c r="E1073" s="4" t="str">
        <f>TEXT(Table1[[#This Row],[Order_Date]],"dddd")</f>
        <v>Friday</v>
      </c>
      <c r="F1073" s="4">
        <f t="shared" si="193"/>
        <v>6</v>
      </c>
      <c r="G1073" t="str">
        <f t="shared" si="196"/>
        <v>June</v>
      </c>
      <c r="H1073">
        <f t="shared" si="197"/>
        <v>2024</v>
      </c>
      <c r="I1073" t="str">
        <f t="shared" si="198"/>
        <v>2024-Q2</v>
      </c>
      <c r="J1073" t="s">
        <v>104</v>
      </c>
      <c r="K1073" t="s">
        <v>7402</v>
      </c>
      <c r="L1073" t="s">
        <v>5880</v>
      </c>
      <c r="M1073" t="s">
        <v>24</v>
      </c>
      <c r="N1073" t="s">
        <v>25</v>
      </c>
      <c r="O1073" t="s">
        <v>244</v>
      </c>
      <c r="P1073" t="s">
        <v>163</v>
      </c>
      <c r="Q1073" t="s">
        <v>66</v>
      </c>
      <c r="R1073" t="s">
        <v>5881</v>
      </c>
      <c r="S1073" t="s">
        <v>30</v>
      </c>
      <c r="T1073" t="s">
        <v>82</v>
      </c>
      <c r="U1073" t="s">
        <v>5882</v>
      </c>
      <c r="V1073" s="3">
        <v>1077.01</v>
      </c>
      <c r="W1073" s="4">
        <v>8</v>
      </c>
      <c r="X1073" s="2">
        <v>0.1</v>
      </c>
      <c r="Y1073" s="3">
        <v>59.89</v>
      </c>
      <c r="Z1073" t="str">
        <f t="shared" si="194"/>
        <v>Normal</v>
      </c>
      <c r="AA1073" t="str">
        <f t="shared" si="195"/>
        <v>Medium</v>
      </c>
      <c r="AB1073" t="str">
        <f t="shared" si="199"/>
        <v>Low Profit</v>
      </c>
      <c r="AC1073" s="3">
        <f t="shared" si="200"/>
        <v>5.5607654525027625E-2</v>
      </c>
      <c r="AD1073" s="3">
        <f t="shared" si="201"/>
        <v>134.62625</v>
      </c>
      <c r="AE1073" s="3">
        <f t="shared" si="202"/>
        <v>7.4862500000000001</v>
      </c>
      <c r="AF1073" t="str">
        <f t="shared" si="203"/>
        <v>Regular</v>
      </c>
    </row>
    <row r="1074" spans="1:32" x14ac:dyDescent="0.25">
      <c r="A1074" t="s">
        <v>3648</v>
      </c>
      <c r="B1074" s="1">
        <v>45452</v>
      </c>
      <c r="C1074" s="1">
        <v>45459</v>
      </c>
      <c r="D1074" s="4">
        <f t="shared" si="192"/>
        <v>7</v>
      </c>
      <c r="E1074" s="4" t="str">
        <f>TEXT(Table1[[#This Row],[Order_Date]],"dddd")</f>
        <v>Sunday</v>
      </c>
      <c r="F1074" s="4">
        <f t="shared" si="193"/>
        <v>6</v>
      </c>
      <c r="G1074" t="str">
        <f t="shared" si="196"/>
        <v>June</v>
      </c>
      <c r="H1074">
        <f t="shared" si="197"/>
        <v>2024</v>
      </c>
      <c r="I1074" t="str">
        <f t="shared" si="198"/>
        <v>2024-Q2</v>
      </c>
      <c r="J1074" t="s">
        <v>104</v>
      </c>
      <c r="K1074" t="s">
        <v>3649</v>
      </c>
      <c r="L1074" t="s">
        <v>3650</v>
      </c>
      <c r="M1074" t="s">
        <v>36</v>
      </c>
      <c r="N1074" t="s">
        <v>25</v>
      </c>
      <c r="O1074" t="s">
        <v>113</v>
      </c>
      <c r="P1074" t="s">
        <v>113</v>
      </c>
      <c r="Q1074" t="s">
        <v>87</v>
      </c>
      <c r="R1074" t="s">
        <v>3651</v>
      </c>
      <c r="S1074" t="s">
        <v>59</v>
      </c>
      <c r="T1074" t="s">
        <v>277</v>
      </c>
      <c r="U1074" t="s">
        <v>3652</v>
      </c>
      <c r="V1074" s="3">
        <v>544.63</v>
      </c>
      <c r="W1074" s="4">
        <v>8</v>
      </c>
      <c r="X1074" s="2">
        <v>0.2</v>
      </c>
      <c r="Y1074" s="3">
        <v>90.03</v>
      </c>
      <c r="Z1074" t="str">
        <f t="shared" si="194"/>
        <v>Normal</v>
      </c>
      <c r="AA1074" t="str">
        <f t="shared" si="195"/>
        <v>High</v>
      </c>
      <c r="AB1074" t="str">
        <f t="shared" si="199"/>
        <v>Low Profit</v>
      </c>
      <c r="AC1074" s="3">
        <f t="shared" si="200"/>
        <v>0.16530488588583075</v>
      </c>
      <c r="AD1074" s="3">
        <f t="shared" si="201"/>
        <v>68.078749999999999</v>
      </c>
      <c r="AE1074" s="3">
        <f t="shared" si="202"/>
        <v>11.25375</v>
      </c>
      <c r="AF1074" t="str">
        <f t="shared" si="203"/>
        <v>Regular</v>
      </c>
    </row>
    <row r="1075" spans="1:32" x14ac:dyDescent="0.25">
      <c r="A1075" t="s">
        <v>4510</v>
      </c>
      <c r="B1075" s="1">
        <v>45452</v>
      </c>
      <c r="C1075" s="1">
        <v>45457</v>
      </c>
      <c r="D1075" s="4">
        <f t="shared" si="192"/>
        <v>5</v>
      </c>
      <c r="E1075" s="4" t="str">
        <f>TEXT(Table1[[#This Row],[Order_Date]],"dddd")</f>
        <v>Sunday</v>
      </c>
      <c r="F1075" s="4">
        <f t="shared" si="193"/>
        <v>6</v>
      </c>
      <c r="G1075" t="str">
        <f t="shared" si="196"/>
        <v>June</v>
      </c>
      <c r="H1075">
        <f t="shared" si="197"/>
        <v>2024</v>
      </c>
      <c r="I1075" t="str">
        <f t="shared" si="198"/>
        <v>2024-Q2</v>
      </c>
      <c r="J1075" t="s">
        <v>55</v>
      </c>
      <c r="K1075" t="s">
        <v>4511</v>
      </c>
      <c r="L1075" t="s">
        <v>4512</v>
      </c>
      <c r="M1075" t="s">
        <v>47</v>
      </c>
      <c r="N1075" t="s">
        <v>25</v>
      </c>
      <c r="O1075" t="s">
        <v>244</v>
      </c>
      <c r="P1075" t="s">
        <v>163</v>
      </c>
      <c r="Q1075" t="s">
        <v>87</v>
      </c>
      <c r="R1075" t="s">
        <v>4513</v>
      </c>
      <c r="S1075" t="s">
        <v>51</v>
      </c>
      <c r="T1075" t="s">
        <v>52</v>
      </c>
      <c r="U1075" t="s">
        <v>4514</v>
      </c>
      <c r="V1075" s="3">
        <v>3588.71</v>
      </c>
      <c r="W1075" s="4">
        <v>10</v>
      </c>
      <c r="X1075" s="2">
        <v>0</v>
      </c>
      <c r="Y1075" s="3">
        <v>-628.20000000000005</v>
      </c>
      <c r="Z1075" t="str">
        <f t="shared" si="194"/>
        <v>Normal</v>
      </c>
      <c r="AA1075" t="str">
        <f t="shared" si="195"/>
        <v>Low</v>
      </c>
      <c r="AB1075" t="str">
        <f t="shared" si="199"/>
        <v>Loss</v>
      </c>
      <c r="AC1075" s="3">
        <f t="shared" si="200"/>
        <v>-0.1750489730293058</v>
      </c>
      <c r="AD1075" s="3">
        <f t="shared" si="201"/>
        <v>358.87099999999998</v>
      </c>
      <c r="AE1075" s="3">
        <f t="shared" si="202"/>
        <v>-62.820000000000007</v>
      </c>
      <c r="AF1075" t="str">
        <f t="shared" si="203"/>
        <v>Regular</v>
      </c>
    </row>
    <row r="1076" spans="1:32" x14ac:dyDescent="0.25">
      <c r="A1076" t="s">
        <v>5845</v>
      </c>
      <c r="B1076" s="1">
        <v>45453</v>
      </c>
      <c r="C1076" s="1">
        <v>45459</v>
      </c>
      <c r="D1076" s="4">
        <f t="shared" si="192"/>
        <v>6</v>
      </c>
      <c r="E1076" s="4" t="str">
        <f>TEXT(Table1[[#This Row],[Order_Date]],"dddd")</f>
        <v>Monday</v>
      </c>
      <c r="F1076" s="4">
        <f t="shared" si="193"/>
        <v>6</v>
      </c>
      <c r="G1076" t="str">
        <f t="shared" si="196"/>
        <v>June</v>
      </c>
      <c r="H1076">
        <f t="shared" si="197"/>
        <v>2024</v>
      </c>
      <c r="I1076" t="str">
        <f t="shared" si="198"/>
        <v>2024-Q2</v>
      </c>
      <c r="J1076" t="s">
        <v>21</v>
      </c>
      <c r="K1076" t="s">
        <v>5846</v>
      </c>
      <c r="L1076" t="s">
        <v>5847</v>
      </c>
      <c r="M1076" t="s">
        <v>24</v>
      </c>
      <c r="N1076" t="s">
        <v>25</v>
      </c>
      <c r="O1076" t="s">
        <v>233</v>
      </c>
      <c r="P1076" t="s">
        <v>163</v>
      </c>
      <c r="Q1076" t="s">
        <v>66</v>
      </c>
      <c r="R1076" t="s">
        <v>5848</v>
      </c>
      <c r="S1076" t="s">
        <v>59</v>
      </c>
      <c r="T1076" t="s">
        <v>101</v>
      </c>
      <c r="U1076" t="s">
        <v>5849</v>
      </c>
      <c r="V1076" s="3">
        <v>4694.76</v>
      </c>
      <c r="W1076" s="4">
        <v>6</v>
      </c>
      <c r="X1076" s="2">
        <v>0.3</v>
      </c>
      <c r="Y1076" s="3">
        <v>-851.91</v>
      </c>
      <c r="Z1076" t="str">
        <f t="shared" si="194"/>
        <v>Outlier</v>
      </c>
      <c r="AA1076" t="str">
        <f t="shared" si="195"/>
        <v>High</v>
      </c>
      <c r="AB1076" t="str">
        <f t="shared" si="199"/>
        <v>Loss</v>
      </c>
      <c r="AC1076" s="3">
        <f t="shared" si="200"/>
        <v>-0.1814597551312527</v>
      </c>
      <c r="AD1076" s="3">
        <f t="shared" si="201"/>
        <v>782.46</v>
      </c>
      <c r="AE1076" s="3">
        <f t="shared" si="202"/>
        <v>-141.98499999999999</v>
      </c>
      <c r="AF1076" t="str">
        <f t="shared" si="203"/>
        <v>Regular</v>
      </c>
    </row>
    <row r="1077" spans="1:32" x14ac:dyDescent="0.25">
      <c r="A1077" t="s">
        <v>6822</v>
      </c>
      <c r="B1077" s="1">
        <v>45453</v>
      </c>
      <c r="C1077" s="1">
        <v>45463</v>
      </c>
      <c r="D1077" s="4">
        <f t="shared" si="192"/>
        <v>10</v>
      </c>
      <c r="E1077" s="4" t="str">
        <f>TEXT(Table1[[#This Row],[Order_Date]],"dddd")</f>
        <v>Monday</v>
      </c>
      <c r="F1077" s="4">
        <f t="shared" si="193"/>
        <v>6</v>
      </c>
      <c r="G1077" t="str">
        <f t="shared" si="196"/>
        <v>June</v>
      </c>
      <c r="H1077">
        <f t="shared" si="197"/>
        <v>2024</v>
      </c>
      <c r="I1077" t="str">
        <f t="shared" si="198"/>
        <v>2024-Q2</v>
      </c>
      <c r="J1077" t="s">
        <v>104</v>
      </c>
      <c r="K1077" t="s">
        <v>6823</v>
      </c>
      <c r="L1077" t="s">
        <v>6824</v>
      </c>
      <c r="M1077" t="s">
        <v>36</v>
      </c>
      <c r="N1077" t="s">
        <v>25</v>
      </c>
      <c r="O1077" t="s">
        <v>65</v>
      </c>
      <c r="P1077" t="s">
        <v>27</v>
      </c>
      <c r="Q1077" t="s">
        <v>39</v>
      </c>
      <c r="R1077" t="s">
        <v>6825</v>
      </c>
      <c r="S1077" t="s">
        <v>59</v>
      </c>
      <c r="T1077" t="s">
        <v>277</v>
      </c>
      <c r="U1077" t="s">
        <v>6826</v>
      </c>
      <c r="V1077" s="3">
        <v>3748.55</v>
      </c>
      <c r="W1077" s="4">
        <v>1</v>
      </c>
      <c r="X1077" s="2">
        <v>0.1</v>
      </c>
      <c r="Y1077" s="3">
        <v>348.84</v>
      </c>
      <c r="Z1077" t="str">
        <f t="shared" si="194"/>
        <v>Normal</v>
      </c>
      <c r="AA1077" t="str">
        <f t="shared" si="195"/>
        <v>Medium</v>
      </c>
      <c r="AB1077" t="str">
        <f t="shared" si="199"/>
        <v>Low Profit</v>
      </c>
      <c r="AC1077" s="3">
        <f t="shared" si="200"/>
        <v>9.3059983193501478E-2</v>
      </c>
      <c r="AD1077" s="3">
        <f t="shared" si="201"/>
        <v>3748.55</v>
      </c>
      <c r="AE1077" s="3">
        <f t="shared" si="202"/>
        <v>348.84</v>
      </c>
      <c r="AF1077" t="str">
        <f t="shared" si="203"/>
        <v>Regular</v>
      </c>
    </row>
    <row r="1078" spans="1:32" x14ac:dyDescent="0.25">
      <c r="A1078" t="s">
        <v>4307</v>
      </c>
      <c r="B1078" s="1">
        <v>45453</v>
      </c>
      <c r="C1078" s="1">
        <v>45455</v>
      </c>
      <c r="D1078" s="4">
        <f t="shared" si="192"/>
        <v>2</v>
      </c>
      <c r="E1078" s="4" t="str">
        <f>TEXT(Table1[[#This Row],[Order_Date]],"dddd")</f>
        <v>Monday</v>
      </c>
      <c r="F1078" s="4">
        <f t="shared" si="193"/>
        <v>6</v>
      </c>
      <c r="G1078" t="str">
        <f t="shared" si="196"/>
        <v>June</v>
      </c>
      <c r="H1078">
        <f t="shared" si="197"/>
        <v>2024</v>
      </c>
      <c r="I1078" t="str">
        <f t="shared" si="198"/>
        <v>2024-Q2</v>
      </c>
      <c r="J1078" t="s">
        <v>104</v>
      </c>
      <c r="K1078" t="s">
        <v>4308</v>
      </c>
      <c r="L1078" t="s">
        <v>4309</v>
      </c>
      <c r="M1078" t="s">
        <v>36</v>
      </c>
      <c r="N1078" t="s">
        <v>25</v>
      </c>
      <c r="O1078" t="s">
        <v>119</v>
      </c>
      <c r="P1078" t="s">
        <v>120</v>
      </c>
      <c r="Q1078" t="s">
        <v>87</v>
      </c>
      <c r="R1078" t="s">
        <v>4310</v>
      </c>
      <c r="S1078" t="s">
        <v>51</v>
      </c>
      <c r="T1078" t="s">
        <v>52</v>
      </c>
      <c r="U1078" t="s">
        <v>4311</v>
      </c>
      <c r="V1078" s="3">
        <v>2069.7800000000002</v>
      </c>
      <c r="W1078" s="4">
        <v>2</v>
      </c>
      <c r="X1078" s="2">
        <v>0.4</v>
      </c>
      <c r="Y1078" s="3">
        <v>-100.07</v>
      </c>
      <c r="Z1078" t="str">
        <f t="shared" si="194"/>
        <v>Normal</v>
      </c>
      <c r="AA1078" t="str">
        <f t="shared" si="195"/>
        <v>High</v>
      </c>
      <c r="AB1078" t="str">
        <f t="shared" si="199"/>
        <v>Loss</v>
      </c>
      <c r="AC1078" s="3">
        <f t="shared" si="200"/>
        <v>-4.8348133618065683E-2</v>
      </c>
      <c r="AD1078" s="3">
        <f t="shared" si="201"/>
        <v>1034.8900000000001</v>
      </c>
      <c r="AE1078" s="3">
        <f t="shared" si="202"/>
        <v>-50.034999999999997</v>
      </c>
      <c r="AF1078" t="str">
        <f t="shared" si="203"/>
        <v>Regular</v>
      </c>
    </row>
    <row r="1079" spans="1:32" x14ac:dyDescent="0.25">
      <c r="A1079" t="s">
        <v>4950</v>
      </c>
      <c r="B1079" s="1">
        <v>45454</v>
      </c>
      <c r="C1079" s="1">
        <v>45461</v>
      </c>
      <c r="D1079" s="4">
        <f t="shared" si="192"/>
        <v>7</v>
      </c>
      <c r="E1079" s="4" t="str">
        <f>TEXT(Table1[[#This Row],[Order_Date]],"dddd")</f>
        <v>Tuesday</v>
      </c>
      <c r="F1079" s="4">
        <f t="shared" si="193"/>
        <v>6</v>
      </c>
      <c r="G1079" t="str">
        <f t="shared" si="196"/>
        <v>June</v>
      </c>
      <c r="H1079">
        <f t="shared" si="197"/>
        <v>2024</v>
      </c>
      <c r="I1079" t="str">
        <f t="shared" si="198"/>
        <v>2024-Q2</v>
      </c>
      <c r="J1079" t="s">
        <v>104</v>
      </c>
      <c r="K1079" t="s">
        <v>4951</v>
      </c>
      <c r="L1079" t="s">
        <v>4952</v>
      </c>
      <c r="M1079" t="s">
        <v>36</v>
      </c>
      <c r="N1079" t="s">
        <v>25</v>
      </c>
      <c r="O1079" t="s">
        <v>65</v>
      </c>
      <c r="P1079" t="s">
        <v>27</v>
      </c>
      <c r="Q1079" t="s">
        <v>87</v>
      </c>
      <c r="R1079" t="s">
        <v>4953</v>
      </c>
      <c r="S1079" t="s">
        <v>51</v>
      </c>
      <c r="T1079" t="s">
        <v>94</v>
      </c>
      <c r="U1079" t="s">
        <v>4954</v>
      </c>
      <c r="V1079" s="3">
        <v>2514.16</v>
      </c>
      <c r="W1079" s="4">
        <v>10</v>
      </c>
      <c r="X1079" s="2">
        <v>0.3</v>
      </c>
      <c r="Y1079" s="3">
        <v>679.56</v>
      </c>
      <c r="Z1079" t="str">
        <f t="shared" si="194"/>
        <v>Normal</v>
      </c>
      <c r="AA1079" t="str">
        <f t="shared" si="195"/>
        <v>High</v>
      </c>
      <c r="AB1079" t="str">
        <f t="shared" si="199"/>
        <v>High Profit</v>
      </c>
      <c r="AC1079" s="3">
        <f t="shared" si="200"/>
        <v>0.27029306010755083</v>
      </c>
      <c r="AD1079" s="3">
        <f t="shared" si="201"/>
        <v>251.416</v>
      </c>
      <c r="AE1079" s="3">
        <f t="shared" si="202"/>
        <v>67.955999999999989</v>
      </c>
      <c r="AF1079" t="str">
        <f t="shared" si="203"/>
        <v>Regular</v>
      </c>
    </row>
    <row r="1080" spans="1:32" x14ac:dyDescent="0.25">
      <c r="A1080" t="s">
        <v>1046</v>
      </c>
      <c r="B1080" s="1">
        <v>45454</v>
      </c>
      <c r="C1080" s="1">
        <v>45459</v>
      </c>
      <c r="D1080" s="4">
        <f t="shared" si="192"/>
        <v>5</v>
      </c>
      <c r="E1080" s="4" t="str">
        <f>TEXT(Table1[[#This Row],[Order_Date]],"dddd")</f>
        <v>Tuesday</v>
      </c>
      <c r="F1080" s="4">
        <f t="shared" si="193"/>
        <v>6</v>
      </c>
      <c r="G1080" t="str">
        <f t="shared" si="196"/>
        <v>June</v>
      </c>
      <c r="H1080">
        <f t="shared" si="197"/>
        <v>2024</v>
      </c>
      <c r="I1080" t="str">
        <f t="shared" si="198"/>
        <v>2024-Q2</v>
      </c>
      <c r="J1080" t="s">
        <v>104</v>
      </c>
      <c r="K1080" t="s">
        <v>1047</v>
      </c>
      <c r="L1080" t="s">
        <v>1048</v>
      </c>
      <c r="M1080" t="s">
        <v>24</v>
      </c>
      <c r="N1080" t="s">
        <v>25</v>
      </c>
      <c r="O1080" t="s">
        <v>156</v>
      </c>
      <c r="P1080" t="s">
        <v>143</v>
      </c>
      <c r="Q1080" t="s">
        <v>87</v>
      </c>
      <c r="R1080" t="s">
        <v>1049</v>
      </c>
      <c r="S1080" t="s">
        <v>59</v>
      </c>
      <c r="T1080" t="s">
        <v>303</v>
      </c>
      <c r="U1080" t="s">
        <v>1050</v>
      </c>
      <c r="V1080" s="3">
        <v>4138.01</v>
      </c>
      <c r="W1080" s="4">
        <v>8</v>
      </c>
      <c r="X1080" s="2">
        <v>0</v>
      </c>
      <c r="Y1080" s="3">
        <v>-363.14</v>
      </c>
      <c r="Z1080" t="str">
        <f t="shared" si="194"/>
        <v>Normal</v>
      </c>
      <c r="AA1080" t="str">
        <f t="shared" si="195"/>
        <v>Low</v>
      </c>
      <c r="AB1080" t="str">
        <f t="shared" si="199"/>
        <v>Loss</v>
      </c>
      <c r="AC1080" s="3">
        <f t="shared" si="200"/>
        <v>-8.7757158634222718E-2</v>
      </c>
      <c r="AD1080" s="3">
        <f t="shared" si="201"/>
        <v>517.25125000000003</v>
      </c>
      <c r="AE1080" s="3">
        <f t="shared" si="202"/>
        <v>-45.392499999999998</v>
      </c>
      <c r="AF1080" t="str">
        <f t="shared" si="203"/>
        <v>Regular</v>
      </c>
    </row>
    <row r="1081" spans="1:32" x14ac:dyDescent="0.25">
      <c r="A1081" t="s">
        <v>3600</v>
      </c>
      <c r="B1081" s="1">
        <v>45454</v>
      </c>
      <c r="C1081" s="1">
        <v>45455</v>
      </c>
      <c r="D1081" s="4">
        <f t="shared" si="192"/>
        <v>1</v>
      </c>
      <c r="E1081" s="4" t="str">
        <f>TEXT(Table1[[#This Row],[Order_Date]],"dddd")</f>
        <v>Tuesday</v>
      </c>
      <c r="F1081" s="4">
        <f t="shared" si="193"/>
        <v>6</v>
      </c>
      <c r="G1081" t="str">
        <f t="shared" si="196"/>
        <v>June</v>
      </c>
      <c r="H1081">
        <f t="shared" si="197"/>
        <v>2024</v>
      </c>
      <c r="I1081" t="str">
        <f t="shared" si="198"/>
        <v>2024-Q2</v>
      </c>
      <c r="J1081" t="s">
        <v>21</v>
      </c>
      <c r="K1081" t="s">
        <v>3601</v>
      </c>
      <c r="L1081" t="s">
        <v>3602</v>
      </c>
      <c r="M1081" t="s">
        <v>47</v>
      </c>
      <c r="N1081" t="s">
        <v>25</v>
      </c>
      <c r="O1081" t="s">
        <v>190</v>
      </c>
      <c r="P1081" t="s">
        <v>120</v>
      </c>
      <c r="Q1081" t="s">
        <v>66</v>
      </c>
      <c r="R1081" t="s">
        <v>3603</v>
      </c>
      <c r="S1081" t="s">
        <v>51</v>
      </c>
      <c r="T1081" t="s">
        <v>94</v>
      </c>
      <c r="U1081" t="s">
        <v>3604</v>
      </c>
      <c r="V1081" s="3">
        <v>3533.27</v>
      </c>
      <c r="W1081" s="4">
        <v>3</v>
      </c>
      <c r="X1081" s="2">
        <v>0.3</v>
      </c>
      <c r="Y1081" s="3">
        <v>-182.32</v>
      </c>
      <c r="Z1081" t="str">
        <f t="shared" si="194"/>
        <v>Normal</v>
      </c>
      <c r="AA1081" t="str">
        <f t="shared" si="195"/>
        <v>High</v>
      </c>
      <c r="AB1081" t="str">
        <f t="shared" si="199"/>
        <v>Loss</v>
      </c>
      <c r="AC1081" s="3">
        <f t="shared" si="200"/>
        <v>-5.1600924922239173E-2</v>
      </c>
      <c r="AD1081" s="3">
        <f t="shared" si="201"/>
        <v>1177.7566666666667</v>
      </c>
      <c r="AE1081" s="3">
        <f t="shared" si="202"/>
        <v>-60.773333333333333</v>
      </c>
      <c r="AF1081" t="str">
        <f t="shared" si="203"/>
        <v>Regular</v>
      </c>
    </row>
    <row r="1082" spans="1:32" x14ac:dyDescent="0.25">
      <c r="A1082" t="s">
        <v>3136</v>
      </c>
      <c r="B1082" s="1">
        <v>45454</v>
      </c>
      <c r="C1082" s="1">
        <v>45464</v>
      </c>
      <c r="D1082" s="4">
        <f t="shared" si="192"/>
        <v>10</v>
      </c>
      <c r="E1082" s="4" t="str">
        <f>TEXT(Table1[[#This Row],[Order_Date]],"dddd")</f>
        <v>Tuesday</v>
      </c>
      <c r="F1082" s="4">
        <f t="shared" si="193"/>
        <v>6</v>
      </c>
      <c r="G1082" t="str">
        <f t="shared" si="196"/>
        <v>June</v>
      </c>
      <c r="H1082">
        <f t="shared" si="197"/>
        <v>2024</v>
      </c>
      <c r="I1082" t="str">
        <f t="shared" si="198"/>
        <v>2024-Q2</v>
      </c>
      <c r="J1082" t="s">
        <v>21</v>
      </c>
      <c r="K1082" t="s">
        <v>3137</v>
      </c>
      <c r="L1082" t="s">
        <v>3138</v>
      </c>
      <c r="M1082" t="s">
        <v>36</v>
      </c>
      <c r="N1082" t="s">
        <v>25</v>
      </c>
      <c r="O1082" t="s">
        <v>451</v>
      </c>
      <c r="P1082" t="s">
        <v>38</v>
      </c>
      <c r="Q1082" t="s">
        <v>66</v>
      </c>
      <c r="R1082" t="s">
        <v>3139</v>
      </c>
      <c r="S1082" t="s">
        <v>30</v>
      </c>
      <c r="T1082" t="s">
        <v>82</v>
      </c>
      <c r="U1082" t="s">
        <v>3140</v>
      </c>
      <c r="V1082" s="3">
        <v>363.85</v>
      </c>
      <c r="W1082" s="4">
        <v>2</v>
      </c>
      <c r="X1082" s="2">
        <v>0.4</v>
      </c>
      <c r="Y1082" s="3">
        <v>43.53</v>
      </c>
      <c r="Z1082" t="str">
        <f t="shared" si="194"/>
        <v>Normal</v>
      </c>
      <c r="AA1082" t="str">
        <f t="shared" si="195"/>
        <v>High</v>
      </c>
      <c r="AB1082" t="str">
        <f t="shared" si="199"/>
        <v>Low Profit</v>
      </c>
      <c r="AC1082" s="3">
        <f t="shared" si="200"/>
        <v>0.11963721313728184</v>
      </c>
      <c r="AD1082" s="3">
        <f t="shared" si="201"/>
        <v>181.92500000000001</v>
      </c>
      <c r="AE1082" s="3">
        <f t="shared" si="202"/>
        <v>21.765000000000001</v>
      </c>
      <c r="AF1082" t="str">
        <f t="shared" si="203"/>
        <v>Regular</v>
      </c>
    </row>
    <row r="1083" spans="1:32" x14ac:dyDescent="0.25">
      <c r="A1083" t="s">
        <v>5802</v>
      </c>
      <c r="B1083" s="1">
        <v>45454</v>
      </c>
      <c r="C1083" s="1">
        <v>45463</v>
      </c>
      <c r="D1083" s="4">
        <f t="shared" si="192"/>
        <v>9</v>
      </c>
      <c r="E1083" s="4" t="str">
        <f>TEXT(Table1[[#This Row],[Order_Date]],"dddd")</f>
        <v>Tuesday</v>
      </c>
      <c r="F1083" s="4">
        <f t="shared" si="193"/>
        <v>6</v>
      </c>
      <c r="G1083" t="str">
        <f t="shared" si="196"/>
        <v>June</v>
      </c>
      <c r="H1083">
        <f t="shared" si="197"/>
        <v>2024</v>
      </c>
      <c r="I1083" t="str">
        <f t="shared" si="198"/>
        <v>2024-Q2</v>
      </c>
      <c r="J1083" t="s">
        <v>104</v>
      </c>
      <c r="K1083" t="s">
        <v>7402</v>
      </c>
      <c r="L1083" t="s">
        <v>5803</v>
      </c>
      <c r="M1083" t="s">
        <v>36</v>
      </c>
      <c r="N1083" t="s">
        <v>25</v>
      </c>
      <c r="O1083" t="s">
        <v>149</v>
      </c>
      <c r="P1083" t="s">
        <v>113</v>
      </c>
      <c r="Q1083" t="s">
        <v>66</v>
      </c>
      <c r="R1083" t="s">
        <v>5804</v>
      </c>
      <c r="S1083" t="s">
        <v>51</v>
      </c>
      <c r="T1083" t="s">
        <v>127</v>
      </c>
      <c r="U1083" t="s">
        <v>5805</v>
      </c>
      <c r="V1083" s="3">
        <v>4193.7700000000004</v>
      </c>
      <c r="W1083" s="4">
        <v>4</v>
      </c>
      <c r="X1083" s="2">
        <v>0.4</v>
      </c>
      <c r="Y1083" s="3">
        <v>-323.13</v>
      </c>
      <c r="Z1083" t="str">
        <f t="shared" si="194"/>
        <v>Normal</v>
      </c>
      <c r="AA1083" t="str">
        <f t="shared" si="195"/>
        <v>High</v>
      </c>
      <c r="AB1083" t="str">
        <f t="shared" si="199"/>
        <v>Loss</v>
      </c>
      <c r="AC1083" s="3">
        <f t="shared" si="200"/>
        <v>-7.7050005126652138E-2</v>
      </c>
      <c r="AD1083" s="3">
        <f t="shared" si="201"/>
        <v>1048.4425000000001</v>
      </c>
      <c r="AE1083" s="3">
        <f t="shared" si="202"/>
        <v>-80.782499999999999</v>
      </c>
      <c r="AF1083" t="str">
        <f t="shared" si="203"/>
        <v>Regular</v>
      </c>
    </row>
    <row r="1084" spans="1:32" x14ac:dyDescent="0.25">
      <c r="A1084" t="s">
        <v>4863</v>
      </c>
      <c r="B1084" s="1">
        <v>45454</v>
      </c>
      <c r="C1084" s="1">
        <v>45455</v>
      </c>
      <c r="D1084" s="4">
        <f t="shared" si="192"/>
        <v>1</v>
      </c>
      <c r="E1084" s="4" t="str">
        <f>TEXT(Table1[[#This Row],[Order_Date]],"dddd")</f>
        <v>Tuesday</v>
      </c>
      <c r="F1084" s="4">
        <f t="shared" si="193"/>
        <v>6</v>
      </c>
      <c r="G1084" t="str">
        <f t="shared" si="196"/>
        <v>June</v>
      </c>
      <c r="H1084">
        <f t="shared" si="197"/>
        <v>2024</v>
      </c>
      <c r="I1084" t="str">
        <f t="shared" si="198"/>
        <v>2024-Q2</v>
      </c>
      <c r="J1084" t="s">
        <v>44</v>
      </c>
      <c r="K1084" t="s">
        <v>4864</v>
      </c>
      <c r="L1084" t="s">
        <v>4865</v>
      </c>
      <c r="M1084" t="s">
        <v>24</v>
      </c>
      <c r="N1084" t="s">
        <v>25</v>
      </c>
      <c r="O1084" t="s">
        <v>611</v>
      </c>
      <c r="P1084" t="s">
        <v>74</v>
      </c>
      <c r="Q1084" t="s">
        <v>39</v>
      </c>
      <c r="R1084" t="s">
        <v>4866</v>
      </c>
      <c r="S1084" t="s">
        <v>51</v>
      </c>
      <c r="T1084" t="s">
        <v>52</v>
      </c>
      <c r="U1084" t="s">
        <v>4867</v>
      </c>
      <c r="V1084" s="3">
        <v>1550.73</v>
      </c>
      <c r="W1084" s="4">
        <v>9</v>
      </c>
      <c r="X1084" s="2">
        <v>0.3</v>
      </c>
      <c r="Y1084" s="3">
        <v>261.93</v>
      </c>
      <c r="Z1084" t="str">
        <f t="shared" si="194"/>
        <v>Normal</v>
      </c>
      <c r="AA1084" t="str">
        <f t="shared" si="195"/>
        <v>High</v>
      </c>
      <c r="AB1084" t="str">
        <f t="shared" si="199"/>
        <v>Low Profit</v>
      </c>
      <c r="AC1084" s="3">
        <f t="shared" si="200"/>
        <v>0.16890754676829622</v>
      </c>
      <c r="AD1084" s="3">
        <f t="shared" si="201"/>
        <v>172.30333333333334</v>
      </c>
      <c r="AE1084" s="3">
        <f t="shared" si="202"/>
        <v>29.103333333333335</v>
      </c>
      <c r="AF1084" t="str">
        <f t="shared" si="203"/>
        <v>Regular</v>
      </c>
    </row>
    <row r="1085" spans="1:32" x14ac:dyDescent="0.25">
      <c r="A1085" t="s">
        <v>2651</v>
      </c>
      <c r="B1085" s="1">
        <v>45455</v>
      </c>
      <c r="C1085" s="1">
        <v>45464</v>
      </c>
      <c r="D1085" s="4">
        <f t="shared" si="192"/>
        <v>9</v>
      </c>
      <c r="E1085" s="4" t="str">
        <f>TEXT(Table1[[#This Row],[Order_Date]],"dddd")</f>
        <v>Wednesday</v>
      </c>
      <c r="F1085" s="4">
        <f t="shared" si="193"/>
        <v>6</v>
      </c>
      <c r="G1085" t="str">
        <f t="shared" si="196"/>
        <v>June</v>
      </c>
      <c r="H1085">
        <f t="shared" si="197"/>
        <v>2024</v>
      </c>
      <c r="I1085" t="str">
        <f t="shared" si="198"/>
        <v>2024-Q2</v>
      </c>
      <c r="J1085" t="s">
        <v>104</v>
      </c>
      <c r="K1085" t="s">
        <v>2652</v>
      </c>
      <c r="L1085" t="s">
        <v>2653</v>
      </c>
      <c r="M1085" t="s">
        <v>47</v>
      </c>
      <c r="N1085" t="s">
        <v>25</v>
      </c>
      <c r="O1085" t="s">
        <v>190</v>
      </c>
      <c r="P1085" t="s">
        <v>120</v>
      </c>
      <c r="Q1085" t="s">
        <v>66</v>
      </c>
      <c r="R1085" t="s">
        <v>2654</v>
      </c>
      <c r="S1085" t="s">
        <v>30</v>
      </c>
      <c r="T1085" t="s">
        <v>82</v>
      </c>
      <c r="U1085" t="s">
        <v>2655</v>
      </c>
      <c r="V1085" s="3">
        <v>1825.27</v>
      </c>
      <c r="W1085" s="4">
        <v>1</v>
      </c>
      <c r="X1085" s="2">
        <v>0.3</v>
      </c>
      <c r="Y1085" s="3">
        <v>-140.01</v>
      </c>
      <c r="Z1085" t="str">
        <f t="shared" si="194"/>
        <v>Normal</v>
      </c>
      <c r="AA1085" t="str">
        <f t="shared" si="195"/>
        <v>High</v>
      </c>
      <c r="AB1085" t="str">
        <f t="shared" si="199"/>
        <v>Loss</v>
      </c>
      <c r="AC1085" s="3">
        <f t="shared" si="200"/>
        <v>-7.6706459866211565E-2</v>
      </c>
      <c r="AD1085" s="3">
        <f t="shared" si="201"/>
        <v>1825.27</v>
      </c>
      <c r="AE1085" s="3">
        <f t="shared" si="202"/>
        <v>-140.01</v>
      </c>
      <c r="AF1085" t="str">
        <f t="shared" si="203"/>
        <v>Regular</v>
      </c>
    </row>
    <row r="1086" spans="1:32" x14ac:dyDescent="0.25">
      <c r="A1086" t="s">
        <v>7270</v>
      </c>
      <c r="B1086" s="1">
        <v>45455</v>
      </c>
      <c r="C1086" s="1">
        <v>45460</v>
      </c>
      <c r="D1086" s="4">
        <f t="shared" si="192"/>
        <v>5</v>
      </c>
      <c r="E1086" s="4" t="str">
        <f>TEXT(Table1[[#This Row],[Order_Date]],"dddd")</f>
        <v>Wednesday</v>
      </c>
      <c r="F1086" s="4">
        <f t="shared" si="193"/>
        <v>6</v>
      </c>
      <c r="G1086" t="str">
        <f t="shared" si="196"/>
        <v>June</v>
      </c>
      <c r="H1086">
        <f t="shared" si="197"/>
        <v>2024</v>
      </c>
      <c r="I1086" t="str">
        <f t="shared" si="198"/>
        <v>2024-Q2</v>
      </c>
      <c r="J1086" t="s">
        <v>55</v>
      </c>
      <c r="K1086" t="s">
        <v>7271</v>
      </c>
      <c r="L1086" t="s">
        <v>7272</v>
      </c>
      <c r="M1086" t="s">
        <v>36</v>
      </c>
      <c r="N1086" t="s">
        <v>25</v>
      </c>
      <c r="O1086" t="s">
        <v>37</v>
      </c>
      <c r="P1086" t="s">
        <v>38</v>
      </c>
      <c r="Q1086" t="s">
        <v>66</v>
      </c>
      <c r="R1086" t="s">
        <v>7273</v>
      </c>
      <c r="S1086" t="s">
        <v>30</v>
      </c>
      <c r="T1086" t="s">
        <v>41</v>
      </c>
      <c r="U1086" t="s">
        <v>7274</v>
      </c>
      <c r="V1086" s="3">
        <v>3825.63</v>
      </c>
      <c r="W1086" s="4">
        <v>8</v>
      </c>
      <c r="X1086" s="2">
        <v>0.4</v>
      </c>
      <c r="Y1086" s="3">
        <v>-350.52</v>
      </c>
      <c r="Z1086" t="str">
        <f t="shared" si="194"/>
        <v>Normal</v>
      </c>
      <c r="AA1086" t="str">
        <f t="shared" si="195"/>
        <v>High</v>
      </c>
      <c r="AB1086" t="str">
        <f t="shared" si="199"/>
        <v>Loss</v>
      </c>
      <c r="AC1086" s="3">
        <f t="shared" si="200"/>
        <v>-9.1624124653978553E-2</v>
      </c>
      <c r="AD1086" s="3">
        <f t="shared" si="201"/>
        <v>478.20375000000001</v>
      </c>
      <c r="AE1086" s="3">
        <f t="shared" si="202"/>
        <v>-43.814999999999998</v>
      </c>
      <c r="AF1086" t="str">
        <f t="shared" si="203"/>
        <v>Regular</v>
      </c>
    </row>
    <row r="1087" spans="1:32" x14ac:dyDescent="0.25">
      <c r="A1087" t="s">
        <v>6500</v>
      </c>
      <c r="B1087" s="1">
        <v>45455</v>
      </c>
      <c r="C1087" s="1">
        <v>45463</v>
      </c>
      <c r="D1087" s="4">
        <f t="shared" si="192"/>
        <v>8</v>
      </c>
      <c r="E1087" s="4" t="str">
        <f>TEXT(Table1[[#This Row],[Order_Date]],"dddd")</f>
        <v>Wednesday</v>
      </c>
      <c r="F1087" s="4">
        <f t="shared" si="193"/>
        <v>6</v>
      </c>
      <c r="G1087" t="str">
        <f t="shared" si="196"/>
        <v>June</v>
      </c>
      <c r="H1087">
        <f t="shared" si="197"/>
        <v>2024</v>
      </c>
      <c r="I1087" t="str">
        <f t="shared" si="198"/>
        <v>2024-Q2</v>
      </c>
      <c r="J1087" t="s">
        <v>44</v>
      </c>
      <c r="K1087" t="s">
        <v>6501</v>
      </c>
      <c r="L1087" t="s">
        <v>6502</v>
      </c>
      <c r="M1087" t="s">
        <v>24</v>
      </c>
      <c r="N1087" t="s">
        <v>25</v>
      </c>
      <c r="O1087" t="s">
        <v>451</v>
      </c>
      <c r="P1087" t="s">
        <v>38</v>
      </c>
      <c r="Q1087" t="s">
        <v>87</v>
      </c>
      <c r="R1087" t="s">
        <v>6503</v>
      </c>
      <c r="S1087" t="s">
        <v>51</v>
      </c>
      <c r="T1087" t="s">
        <v>151</v>
      </c>
      <c r="U1087" t="s">
        <v>6504</v>
      </c>
      <c r="V1087" s="3">
        <v>1498.27</v>
      </c>
      <c r="W1087" s="4">
        <v>6</v>
      </c>
      <c r="X1087" s="2">
        <v>0.3</v>
      </c>
      <c r="Y1087" s="3">
        <v>-158.78</v>
      </c>
      <c r="Z1087" t="str">
        <f t="shared" si="194"/>
        <v>Normal</v>
      </c>
      <c r="AA1087" t="str">
        <f t="shared" si="195"/>
        <v>High</v>
      </c>
      <c r="AB1087" t="str">
        <f t="shared" si="199"/>
        <v>Loss</v>
      </c>
      <c r="AC1087" s="3">
        <f t="shared" si="200"/>
        <v>-0.10597555847744398</v>
      </c>
      <c r="AD1087" s="3">
        <f t="shared" si="201"/>
        <v>249.71166666666667</v>
      </c>
      <c r="AE1087" s="3">
        <f t="shared" si="202"/>
        <v>-26.463333333333335</v>
      </c>
      <c r="AF1087" t="str">
        <f t="shared" si="203"/>
        <v>Regular</v>
      </c>
    </row>
    <row r="1088" spans="1:32" x14ac:dyDescent="0.25">
      <c r="A1088" t="s">
        <v>159</v>
      </c>
      <c r="B1088" s="1">
        <v>45455</v>
      </c>
      <c r="C1088" s="1">
        <v>45462</v>
      </c>
      <c r="D1088" s="4">
        <f t="shared" si="192"/>
        <v>7</v>
      </c>
      <c r="E1088" s="4" t="str">
        <f>TEXT(Table1[[#This Row],[Order_Date]],"dddd")</f>
        <v>Wednesday</v>
      </c>
      <c r="F1088" s="4">
        <f t="shared" si="193"/>
        <v>6</v>
      </c>
      <c r="G1088" t="str">
        <f t="shared" si="196"/>
        <v>June</v>
      </c>
      <c r="H1088">
        <f t="shared" si="197"/>
        <v>2024</v>
      </c>
      <c r="I1088" t="str">
        <f t="shared" si="198"/>
        <v>2024-Q2</v>
      </c>
      <c r="J1088" t="s">
        <v>104</v>
      </c>
      <c r="K1088" t="s">
        <v>160</v>
      </c>
      <c r="L1088" t="s">
        <v>161</v>
      </c>
      <c r="M1088" t="s">
        <v>47</v>
      </c>
      <c r="N1088" t="s">
        <v>25</v>
      </c>
      <c r="O1088" t="s">
        <v>162</v>
      </c>
      <c r="P1088" t="s">
        <v>163</v>
      </c>
      <c r="Q1088" t="s">
        <v>39</v>
      </c>
      <c r="R1088" t="s">
        <v>164</v>
      </c>
      <c r="S1088" t="s">
        <v>51</v>
      </c>
      <c r="T1088" t="s">
        <v>127</v>
      </c>
      <c r="U1088" t="s">
        <v>165</v>
      </c>
      <c r="V1088" s="3">
        <v>4187.0200000000004</v>
      </c>
      <c r="W1088" s="4">
        <v>10</v>
      </c>
      <c r="X1088" s="2">
        <v>0</v>
      </c>
      <c r="Y1088" s="3">
        <v>-521.01</v>
      </c>
      <c r="Z1088" t="str">
        <f t="shared" si="194"/>
        <v>Normal</v>
      </c>
      <c r="AA1088" t="str">
        <f t="shared" si="195"/>
        <v>Low</v>
      </c>
      <c r="AB1088" t="str">
        <f t="shared" si="199"/>
        <v>Loss</v>
      </c>
      <c r="AC1088" s="3">
        <f t="shared" si="200"/>
        <v>-0.12443456205129183</v>
      </c>
      <c r="AD1088" s="3">
        <f t="shared" si="201"/>
        <v>418.70200000000006</v>
      </c>
      <c r="AE1088" s="3">
        <f t="shared" si="202"/>
        <v>-52.100999999999999</v>
      </c>
      <c r="AF1088" t="str">
        <f t="shared" si="203"/>
        <v>Regular</v>
      </c>
    </row>
    <row r="1089" spans="1:32" x14ac:dyDescent="0.25">
      <c r="A1089" t="s">
        <v>5243</v>
      </c>
      <c r="B1089" s="1">
        <v>45455</v>
      </c>
      <c r="C1089" s="1">
        <v>45458</v>
      </c>
      <c r="D1089" s="4">
        <f t="shared" si="192"/>
        <v>3</v>
      </c>
      <c r="E1089" s="4" t="str">
        <f>TEXT(Table1[[#This Row],[Order_Date]],"dddd")</f>
        <v>Wednesday</v>
      </c>
      <c r="F1089" s="4">
        <f t="shared" si="193"/>
        <v>6</v>
      </c>
      <c r="G1089" t="str">
        <f t="shared" si="196"/>
        <v>June</v>
      </c>
      <c r="H1089">
        <f t="shared" si="197"/>
        <v>2024</v>
      </c>
      <c r="I1089" t="str">
        <f t="shared" si="198"/>
        <v>2024-Q2</v>
      </c>
      <c r="J1089" t="s">
        <v>44</v>
      </c>
      <c r="K1089" t="s">
        <v>5244</v>
      </c>
      <c r="L1089" t="s">
        <v>5245</v>
      </c>
      <c r="M1089" t="s">
        <v>36</v>
      </c>
      <c r="N1089" t="s">
        <v>25</v>
      </c>
      <c r="O1089" t="s">
        <v>149</v>
      </c>
      <c r="P1089" t="s">
        <v>113</v>
      </c>
      <c r="Q1089" t="s">
        <v>39</v>
      </c>
      <c r="R1089" t="s">
        <v>5246</v>
      </c>
      <c r="S1089" t="s">
        <v>59</v>
      </c>
      <c r="T1089" t="s">
        <v>101</v>
      </c>
      <c r="U1089" t="s">
        <v>5247</v>
      </c>
      <c r="V1089" s="3">
        <v>53.55</v>
      </c>
      <c r="W1089" s="4">
        <v>6</v>
      </c>
      <c r="X1089" s="2">
        <v>0.2</v>
      </c>
      <c r="Y1089" s="3">
        <v>5.53</v>
      </c>
      <c r="Z1089" t="str">
        <f t="shared" si="194"/>
        <v>Normal</v>
      </c>
      <c r="AA1089" t="str">
        <f t="shared" si="195"/>
        <v>High</v>
      </c>
      <c r="AB1089" t="str">
        <f t="shared" si="199"/>
        <v>Low Profit</v>
      </c>
      <c r="AC1089" s="3">
        <f t="shared" si="200"/>
        <v>0.10326797385620916</v>
      </c>
      <c r="AD1089" s="3">
        <f t="shared" si="201"/>
        <v>8.9249999999999989</v>
      </c>
      <c r="AE1089" s="3">
        <f t="shared" si="202"/>
        <v>0.92166666666666675</v>
      </c>
      <c r="AF1089" t="str">
        <f t="shared" si="203"/>
        <v>Regular</v>
      </c>
    </row>
    <row r="1090" spans="1:32" x14ac:dyDescent="0.25">
      <c r="A1090" t="s">
        <v>2992</v>
      </c>
      <c r="B1090" s="1">
        <v>45456</v>
      </c>
      <c r="C1090" s="1">
        <v>45457</v>
      </c>
      <c r="D1090" s="4">
        <f t="shared" ref="D1090:D1153" si="204">C1090-B1090</f>
        <v>1</v>
      </c>
      <c r="E1090" s="4" t="str">
        <f>TEXT(Table1[[#This Row],[Order_Date]],"dddd")</f>
        <v>Thursday</v>
      </c>
      <c r="F1090" s="4">
        <f t="shared" ref="F1090:F1153" si="205">MONTH(B1090)</f>
        <v>6</v>
      </c>
      <c r="G1090" t="str">
        <f t="shared" si="196"/>
        <v>June</v>
      </c>
      <c r="H1090">
        <f t="shared" si="197"/>
        <v>2024</v>
      </c>
      <c r="I1090" t="str">
        <f t="shared" si="198"/>
        <v>2024-Q2</v>
      </c>
      <c r="J1090" t="s">
        <v>104</v>
      </c>
      <c r="K1090" t="s">
        <v>2993</v>
      </c>
      <c r="L1090" t="s">
        <v>2994</v>
      </c>
      <c r="M1090" t="s">
        <v>47</v>
      </c>
      <c r="N1090" t="s">
        <v>25</v>
      </c>
      <c r="O1090" t="s">
        <v>73</v>
      </c>
      <c r="P1090" t="s">
        <v>74</v>
      </c>
      <c r="Q1090" t="s">
        <v>39</v>
      </c>
      <c r="R1090" t="s">
        <v>7403</v>
      </c>
      <c r="S1090" t="s">
        <v>30</v>
      </c>
      <c r="T1090" t="s">
        <v>82</v>
      </c>
      <c r="U1090" t="s">
        <v>857</v>
      </c>
      <c r="V1090" s="3">
        <v>3708.06</v>
      </c>
      <c r="W1090" s="4">
        <v>3</v>
      </c>
      <c r="X1090" s="2">
        <v>0</v>
      </c>
      <c r="Y1090" s="3">
        <v>-566.75</v>
      </c>
      <c r="Z1090" t="str">
        <f t="shared" ref="Z1090:Z1153" si="206">IF(OR(Y1090&lt;-800.884,Y1090&gt;1030.126),"Outlier","Normal")</f>
        <v>Normal</v>
      </c>
      <c r="AA1090" t="str">
        <f t="shared" ref="AA1090:AA1153" si="207">IF(X1090&lt;10%,"Low",IF(X1090&lt;0.2,"Medium","High"))</f>
        <v>Low</v>
      </c>
      <c r="AB1090" t="str">
        <f t="shared" si="199"/>
        <v>Loss</v>
      </c>
      <c r="AC1090" s="3">
        <f t="shared" si="200"/>
        <v>-0.1528427263852257</v>
      </c>
      <c r="AD1090" s="3">
        <f t="shared" si="201"/>
        <v>1236.02</v>
      </c>
      <c r="AE1090" s="3">
        <f t="shared" si="202"/>
        <v>-188.91666666666666</v>
      </c>
      <c r="AF1090" t="str">
        <f t="shared" si="203"/>
        <v>Regular</v>
      </c>
    </row>
    <row r="1091" spans="1:32" x14ac:dyDescent="0.25">
      <c r="A1091" t="s">
        <v>1228</v>
      </c>
      <c r="B1091" s="1">
        <v>45457</v>
      </c>
      <c r="C1091" s="1">
        <v>45467</v>
      </c>
      <c r="D1091" s="4">
        <f t="shared" si="204"/>
        <v>10</v>
      </c>
      <c r="E1091" s="4" t="str">
        <f>TEXT(Table1[[#This Row],[Order_Date]],"dddd")</f>
        <v>Friday</v>
      </c>
      <c r="F1091" s="4">
        <f t="shared" si="205"/>
        <v>6</v>
      </c>
      <c r="G1091" t="str">
        <f t="shared" ref="G1091:G1154" si="208">TEXT(B1091,"mmmm")</f>
        <v>June</v>
      </c>
      <c r="H1091">
        <f t="shared" ref="H1091:H1154" si="209">YEAR(B1091)</f>
        <v>2024</v>
      </c>
      <c r="I1091" t="str">
        <f t="shared" ref="I1091:I1154" si="210">H1091 &amp; "-Q" &amp; INT((MONTH(B1091)+2)/3)</f>
        <v>2024-Q2</v>
      </c>
      <c r="J1091" t="s">
        <v>44</v>
      </c>
      <c r="K1091" t="s">
        <v>1229</v>
      </c>
      <c r="L1091" t="s">
        <v>1230</v>
      </c>
      <c r="M1091" t="s">
        <v>36</v>
      </c>
      <c r="N1091" t="s">
        <v>25</v>
      </c>
      <c r="O1091" t="s">
        <v>255</v>
      </c>
      <c r="P1091" t="s">
        <v>143</v>
      </c>
      <c r="Q1091" t="s">
        <v>28</v>
      </c>
      <c r="R1091" t="s">
        <v>1231</v>
      </c>
      <c r="S1091" t="s">
        <v>51</v>
      </c>
      <c r="T1091" t="s">
        <v>94</v>
      </c>
      <c r="U1091" t="s">
        <v>1232</v>
      </c>
      <c r="V1091" s="3">
        <v>2514.16</v>
      </c>
      <c r="W1091" s="4">
        <v>3</v>
      </c>
      <c r="X1091" s="2">
        <v>0</v>
      </c>
      <c r="Y1091" s="3">
        <v>-247.2</v>
      </c>
      <c r="Z1091" t="str">
        <f t="shared" si="206"/>
        <v>Normal</v>
      </c>
      <c r="AA1091" t="str">
        <f t="shared" si="207"/>
        <v>Low</v>
      </c>
      <c r="AB1091" t="str">
        <f t="shared" ref="AB1091:AB1154" si="211">IF(Y1091&lt;0, "Loss", IF(Y1091&lt;500,"Low Profit", "High Profit"))</f>
        <v>Loss</v>
      </c>
      <c r="AC1091" s="3">
        <f t="shared" ref="AC1091:AC1154" si="212">Y1091/V1091</f>
        <v>-9.8323097973080475E-2</v>
      </c>
      <c r="AD1091" s="3">
        <f t="shared" ref="AD1091:AD1154" si="213">V1091/W1091</f>
        <v>838.05333333333328</v>
      </c>
      <c r="AE1091" s="3">
        <f t="shared" ref="AE1091:AE1154" si="214">Y1091/W1091</f>
        <v>-82.399999999999991</v>
      </c>
      <c r="AF1091" t="str">
        <f t="shared" ref="AF1091:AF1154" si="215">IF(V1091&gt;5000,"High value", "Regular")</f>
        <v>Regular</v>
      </c>
    </row>
    <row r="1092" spans="1:32" x14ac:dyDescent="0.25">
      <c r="A1092" t="s">
        <v>5579</v>
      </c>
      <c r="B1092" s="1">
        <v>45457</v>
      </c>
      <c r="C1092" s="1">
        <v>45464</v>
      </c>
      <c r="D1092" s="4">
        <f t="shared" si="204"/>
        <v>7</v>
      </c>
      <c r="E1092" s="4" t="str">
        <f>TEXT(Table1[[#This Row],[Order_Date]],"dddd")</f>
        <v>Friday</v>
      </c>
      <c r="F1092" s="4">
        <f t="shared" si="205"/>
        <v>6</v>
      </c>
      <c r="G1092" t="str">
        <f t="shared" si="208"/>
        <v>June</v>
      </c>
      <c r="H1092">
        <f t="shared" si="209"/>
        <v>2024</v>
      </c>
      <c r="I1092" t="str">
        <f t="shared" si="210"/>
        <v>2024-Q2</v>
      </c>
      <c r="J1092" t="s">
        <v>104</v>
      </c>
      <c r="K1092" t="s">
        <v>5580</v>
      </c>
      <c r="L1092" t="s">
        <v>5581</v>
      </c>
      <c r="M1092" t="s">
        <v>36</v>
      </c>
      <c r="N1092" t="s">
        <v>25</v>
      </c>
      <c r="O1092" t="s">
        <v>255</v>
      </c>
      <c r="P1092" t="s">
        <v>143</v>
      </c>
      <c r="Q1092" t="s">
        <v>28</v>
      </c>
      <c r="R1092" t="s">
        <v>5582</v>
      </c>
      <c r="S1092" t="s">
        <v>51</v>
      </c>
      <c r="T1092" t="s">
        <v>94</v>
      </c>
      <c r="U1092" t="s">
        <v>5583</v>
      </c>
      <c r="V1092" s="3">
        <v>3086.35</v>
      </c>
      <c r="W1092" s="4">
        <v>3</v>
      </c>
      <c r="X1092" s="2">
        <v>0.4</v>
      </c>
      <c r="Y1092" s="3">
        <v>298.81</v>
      </c>
      <c r="Z1092" t="str">
        <f t="shared" si="206"/>
        <v>Normal</v>
      </c>
      <c r="AA1092" t="str">
        <f t="shared" si="207"/>
        <v>High</v>
      </c>
      <c r="AB1092" t="str">
        <f t="shared" si="211"/>
        <v>Low Profit</v>
      </c>
      <c r="AC1092" s="3">
        <f t="shared" si="212"/>
        <v>9.6816628055794066E-2</v>
      </c>
      <c r="AD1092" s="3">
        <f t="shared" si="213"/>
        <v>1028.7833333333333</v>
      </c>
      <c r="AE1092" s="3">
        <f t="shared" si="214"/>
        <v>99.603333333333339</v>
      </c>
      <c r="AF1092" t="str">
        <f t="shared" si="215"/>
        <v>Regular</v>
      </c>
    </row>
    <row r="1093" spans="1:32" x14ac:dyDescent="0.25">
      <c r="A1093" t="s">
        <v>7087</v>
      </c>
      <c r="B1093" s="1">
        <v>45457</v>
      </c>
      <c r="C1093" s="1">
        <v>45464</v>
      </c>
      <c r="D1093" s="4">
        <f t="shared" si="204"/>
        <v>7</v>
      </c>
      <c r="E1093" s="4" t="str">
        <f>TEXT(Table1[[#This Row],[Order_Date]],"dddd")</f>
        <v>Friday</v>
      </c>
      <c r="F1093" s="4">
        <f t="shared" si="205"/>
        <v>6</v>
      </c>
      <c r="G1093" t="str">
        <f t="shared" si="208"/>
        <v>June</v>
      </c>
      <c r="H1093">
        <f t="shared" si="209"/>
        <v>2024</v>
      </c>
      <c r="I1093" t="str">
        <f t="shared" si="210"/>
        <v>2024-Q2</v>
      </c>
      <c r="J1093" t="s">
        <v>21</v>
      </c>
      <c r="K1093" t="s">
        <v>7088</v>
      </c>
      <c r="L1093" t="s">
        <v>7089</v>
      </c>
      <c r="M1093" t="s">
        <v>24</v>
      </c>
      <c r="N1093" t="s">
        <v>25</v>
      </c>
      <c r="O1093" t="s">
        <v>190</v>
      </c>
      <c r="P1093" t="s">
        <v>120</v>
      </c>
      <c r="Q1093" t="s">
        <v>28</v>
      </c>
      <c r="R1093" t="s">
        <v>7090</v>
      </c>
      <c r="S1093" t="s">
        <v>51</v>
      </c>
      <c r="T1093" t="s">
        <v>108</v>
      </c>
      <c r="U1093" t="s">
        <v>7091</v>
      </c>
      <c r="V1093" s="3">
        <v>1415.81</v>
      </c>
      <c r="W1093" s="4">
        <v>2</v>
      </c>
      <c r="X1093" s="2">
        <v>0.2</v>
      </c>
      <c r="Y1093" s="3">
        <v>238.63</v>
      </c>
      <c r="Z1093" t="str">
        <f t="shared" si="206"/>
        <v>Normal</v>
      </c>
      <c r="AA1093" t="str">
        <f t="shared" si="207"/>
        <v>High</v>
      </c>
      <c r="AB1093" t="str">
        <f t="shared" si="211"/>
        <v>Low Profit</v>
      </c>
      <c r="AC1093" s="3">
        <f t="shared" si="212"/>
        <v>0.16854662701916218</v>
      </c>
      <c r="AD1093" s="3">
        <f t="shared" si="213"/>
        <v>707.90499999999997</v>
      </c>
      <c r="AE1093" s="3">
        <f t="shared" si="214"/>
        <v>119.315</v>
      </c>
      <c r="AF1093" t="str">
        <f t="shared" si="215"/>
        <v>Regular</v>
      </c>
    </row>
    <row r="1094" spans="1:32" x14ac:dyDescent="0.25">
      <c r="A1094" t="s">
        <v>5138</v>
      </c>
      <c r="B1094" s="1">
        <v>45458</v>
      </c>
      <c r="C1094" s="1">
        <v>45461</v>
      </c>
      <c r="D1094" s="4">
        <f t="shared" si="204"/>
        <v>3</v>
      </c>
      <c r="E1094" s="4" t="str">
        <f>TEXT(Table1[[#This Row],[Order_Date]],"dddd")</f>
        <v>Saturday</v>
      </c>
      <c r="F1094" s="4">
        <f t="shared" si="205"/>
        <v>6</v>
      </c>
      <c r="G1094" t="str">
        <f t="shared" si="208"/>
        <v>June</v>
      </c>
      <c r="H1094">
        <f t="shared" si="209"/>
        <v>2024</v>
      </c>
      <c r="I1094" t="str">
        <f t="shared" si="210"/>
        <v>2024-Q2</v>
      </c>
      <c r="J1094" t="s">
        <v>21</v>
      </c>
      <c r="K1094" t="s">
        <v>5139</v>
      </c>
      <c r="L1094" t="s">
        <v>5140</v>
      </c>
      <c r="M1094" t="s">
        <v>47</v>
      </c>
      <c r="N1094" t="s">
        <v>25</v>
      </c>
      <c r="O1094" t="s">
        <v>233</v>
      </c>
      <c r="P1094" t="s">
        <v>163</v>
      </c>
      <c r="Q1094" t="s">
        <v>66</v>
      </c>
      <c r="R1094" t="s">
        <v>5141</v>
      </c>
      <c r="S1094" t="s">
        <v>59</v>
      </c>
      <c r="T1094" t="s">
        <v>277</v>
      </c>
      <c r="U1094" t="s">
        <v>5142</v>
      </c>
      <c r="V1094" s="3">
        <v>2728.21</v>
      </c>
      <c r="W1094" s="4">
        <v>5</v>
      </c>
      <c r="X1094" s="2">
        <v>0.1</v>
      </c>
      <c r="Y1094" s="3">
        <v>239.96</v>
      </c>
      <c r="Z1094" t="str">
        <f t="shared" si="206"/>
        <v>Normal</v>
      </c>
      <c r="AA1094" t="str">
        <f t="shared" si="207"/>
        <v>Medium</v>
      </c>
      <c r="AB1094" t="str">
        <f t="shared" si="211"/>
        <v>Low Profit</v>
      </c>
      <c r="AC1094" s="3">
        <f t="shared" si="212"/>
        <v>8.7955106095205279E-2</v>
      </c>
      <c r="AD1094" s="3">
        <f t="shared" si="213"/>
        <v>545.64200000000005</v>
      </c>
      <c r="AE1094" s="3">
        <f t="shared" si="214"/>
        <v>47.992000000000004</v>
      </c>
      <c r="AF1094" t="str">
        <f t="shared" si="215"/>
        <v>Regular</v>
      </c>
    </row>
    <row r="1095" spans="1:32" x14ac:dyDescent="0.25">
      <c r="A1095" t="s">
        <v>4179</v>
      </c>
      <c r="B1095" s="1">
        <v>45458</v>
      </c>
      <c r="C1095" s="1">
        <v>45464</v>
      </c>
      <c r="D1095" s="4">
        <f t="shared" si="204"/>
        <v>6</v>
      </c>
      <c r="E1095" s="4" t="str">
        <f>TEXT(Table1[[#This Row],[Order_Date]],"dddd")</f>
        <v>Saturday</v>
      </c>
      <c r="F1095" s="4">
        <f t="shared" si="205"/>
        <v>6</v>
      </c>
      <c r="G1095" t="str">
        <f t="shared" si="208"/>
        <v>June</v>
      </c>
      <c r="H1095">
        <f t="shared" si="209"/>
        <v>2024</v>
      </c>
      <c r="I1095" t="str">
        <f t="shared" si="210"/>
        <v>2024-Q2</v>
      </c>
      <c r="J1095" t="s">
        <v>21</v>
      </c>
      <c r="K1095" t="s">
        <v>4180</v>
      </c>
      <c r="L1095" t="s">
        <v>4181</v>
      </c>
      <c r="M1095" t="s">
        <v>36</v>
      </c>
      <c r="N1095" t="s">
        <v>25</v>
      </c>
      <c r="O1095" t="s">
        <v>119</v>
      </c>
      <c r="P1095" t="s">
        <v>120</v>
      </c>
      <c r="Q1095" t="s">
        <v>39</v>
      </c>
      <c r="R1095" t="s">
        <v>4182</v>
      </c>
      <c r="S1095" t="s">
        <v>59</v>
      </c>
      <c r="T1095" t="s">
        <v>303</v>
      </c>
      <c r="U1095" t="s">
        <v>4183</v>
      </c>
      <c r="V1095" s="3">
        <v>4799.68</v>
      </c>
      <c r="W1095" s="4">
        <v>2</v>
      </c>
      <c r="X1095" s="2">
        <v>0</v>
      </c>
      <c r="Y1095" s="3">
        <v>858.08</v>
      </c>
      <c r="Z1095" t="str">
        <f t="shared" si="206"/>
        <v>Normal</v>
      </c>
      <c r="AA1095" t="str">
        <f t="shared" si="207"/>
        <v>Low</v>
      </c>
      <c r="AB1095" t="str">
        <f t="shared" si="211"/>
        <v>High Profit</v>
      </c>
      <c r="AC1095" s="3">
        <f t="shared" si="212"/>
        <v>0.17877858523901594</v>
      </c>
      <c r="AD1095" s="3">
        <f t="shared" si="213"/>
        <v>2399.84</v>
      </c>
      <c r="AE1095" s="3">
        <f t="shared" si="214"/>
        <v>429.04</v>
      </c>
      <c r="AF1095" t="str">
        <f t="shared" si="215"/>
        <v>Regular</v>
      </c>
    </row>
    <row r="1096" spans="1:32" x14ac:dyDescent="0.25">
      <c r="A1096" t="s">
        <v>753</v>
      </c>
      <c r="B1096" s="1">
        <v>45458</v>
      </c>
      <c r="C1096" s="1">
        <v>45460</v>
      </c>
      <c r="D1096" s="4">
        <f t="shared" si="204"/>
        <v>2</v>
      </c>
      <c r="E1096" s="4" t="str">
        <f>TEXT(Table1[[#This Row],[Order_Date]],"dddd")</f>
        <v>Saturday</v>
      </c>
      <c r="F1096" s="4">
        <f t="shared" si="205"/>
        <v>6</v>
      </c>
      <c r="G1096" t="str">
        <f t="shared" si="208"/>
        <v>June</v>
      </c>
      <c r="H1096">
        <f t="shared" si="209"/>
        <v>2024</v>
      </c>
      <c r="I1096" t="str">
        <f t="shared" si="210"/>
        <v>2024-Q2</v>
      </c>
      <c r="J1096" t="s">
        <v>104</v>
      </c>
      <c r="K1096" t="s">
        <v>754</v>
      </c>
      <c r="L1096" t="s">
        <v>755</v>
      </c>
      <c r="M1096" t="s">
        <v>36</v>
      </c>
      <c r="N1096" t="s">
        <v>25</v>
      </c>
      <c r="O1096" t="s">
        <v>451</v>
      </c>
      <c r="P1096" t="s">
        <v>38</v>
      </c>
      <c r="Q1096" t="s">
        <v>87</v>
      </c>
      <c r="R1096" t="s">
        <v>756</v>
      </c>
      <c r="S1096" t="s">
        <v>30</v>
      </c>
      <c r="T1096" t="s">
        <v>68</v>
      </c>
      <c r="U1096" t="s">
        <v>757</v>
      </c>
      <c r="V1096" s="3">
        <v>3766.28</v>
      </c>
      <c r="W1096" s="4">
        <v>7</v>
      </c>
      <c r="X1096" s="2">
        <v>0.3</v>
      </c>
      <c r="Y1096" s="3">
        <v>-305.17</v>
      </c>
      <c r="Z1096" t="str">
        <f t="shared" si="206"/>
        <v>Normal</v>
      </c>
      <c r="AA1096" t="str">
        <f t="shared" si="207"/>
        <v>High</v>
      </c>
      <c r="AB1096" t="str">
        <f t="shared" si="211"/>
        <v>Loss</v>
      </c>
      <c r="AC1096" s="3">
        <f t="shared" si="212"/>
        <v>-8.1026901876652818E-2</v>
      </c>
      <c r="AD1096" s="3">
        <f t="shared" si="213"/>
        <v>538.04000000000008</v>
      </c>
      <c r="AE1096" s="3">
        <f t="shared" si="214"/>
        <v>-43.595714285714287</v>
      </c>
      <c r="AF1096" t="str">
        <f t="shared" si="215"/>
        <v>Regular</v>
      </c>
    </row>
    <row r="1097" spans="1:32" x14ac:dyDescent="0.25">
      <c r="A1097" t="s">
        <v>6792</v>
      </c>
      <c r="B1097" s="1">
        <v>45459</v>
      </c>
      <c r="C1097" s="1">
        <v>45463</v>
      </c>
      <c r="D1097" s="4">
        <f t="shared" si="204"/>
        <v>4</v>
      </c>
      <c r="E1097" s="4" t="str">
        <f>TEXT(Table1[[#This Row],[Order_Date]],"dddd")</f>
        <v>Sunday</v>
      </c>
      <c r="F1097" s="4">
        <f t="shared" si="205"/>
        <v>6</v>
      </c>
      <c r="G1097" t="str">
        <f t="shared" si="208"/>
        <v>June</v>
      </c>
      <c r="H1097">
        <f t="shared" si="209"/>
        <v>2024</v>
      </c>
      <c r="I1097" t="str">
        <f t="shared" si="210"/>
        <v>2024-Q2</v>
      </c>
      <c r="J1097" t="s">
        <v>55</v>
      </c>
      <c r="K1097" t="s">
        <v>6793</v>
      </c>
      <c r="L1097" t="s">
        <v>6794</v>
      </c>
      <c r="M1097" t="s">
        <v>36</v>
      </c>
      <c r="N1097" t="s">
        <v>25</v>
      </c>
      <c r="O1097" t="s">
        <v>179</v>
      </c>
      <c r="P1097" t="s">
        <v>27</v>
      </c>
      <c r="Q1097" t="s">
        <v>28</v>
      </c>
      <c r="R1097" t="s">
        <v>6795</v>
      </c>
      <c r="S1097" t="s">
        <v>51</v>
      </c>
      <c r="T1097" t="s">
        <v>127</v>
      </c>
      <c r="U1097" t="s">
        <v>6796</v>
      </c>
      <c r="V1097" s="3">
        <v>3312.66</v>
      </c>
      <c r="W1097" s="4">
        <v>9</v>
      </c>
      <c r="X1097" s="2">
        <v>0</v>
      </c>
      <c r="Y1097" s="3">
        <v>-638.54999999999995</v>
      </c>
      <c r="Z1097" t="str">
        <f t="shared" si="206"/>
        <v>Normal</v>
      </c>
      <c r="AA1097" t="str">
        <f t="shared" si="207"/>
        <v>Low</v>
      </c>
      <c r="AB1097" t="str">
        <f t="shared" si="211"/>
        <v>Loss</v>
      </c>
      <c r="AC1097" s="3">
        <f t="shared" si="212"/>
        <v>-0.19276050062487549</v>
      </c>
      <c r="AD1097" s="3">
        <f t="shared" si="213"/>
        <v>368.07333333333332</v>
      </c>
      <c r="AE1097" s="3">
        <f t="shared" si="214"/>
        <v>-70.949999999999989</v>
      </c>
      <c r="AF1097" t="str">
        <f t="shared" si="215"/>
        <v>Regular</v>
      </c>
    </row>
    <row r="1098" spans="1:32" x14ac:dyDescent="0.25">
      <c r="A1098" t="s">
        <v>3495</v>
      </c>
      <c r="B1098" s="1">
        <v>45459</v>
      </c>
      <c r="C1098" s="1">
        <v>45464</v>
      </c>
      <c r="D1098" s="4">
        <f t="shared" si="204"/>
        <v>5</v>
      </c>
      <c r="E1098" s="4" t="str">
        <f>TEXT(Table1[[#This Row],[Order_Date]],"dddd")</f>
        <v>Sunday</v>
      </c>
      <c r="F1098" s="4">
        <f t="shared" si="205"/>
        <v>6</v>
      </c>
      <c r="G1098" t="str">
        <f t="shared" si="208"/>
        <v>June</v>
      </c>
      <c r="H1098">
        <f t="shared" si="209"/>
        <v>2024</v>
      </c>
      <c r="I1098" t="str">
        <f t="shared" si="210"/>
        <v>2024-Q2</v>
      </c>
      <c r="J1098" t="s">
        <v>104</v>
      </c>
      <c r="K1098" t="s">
        <v>3496</v>
      </c>
      <c r="L1098" t="s">
        <v>3497</v>
      </c>
      <c r="M1098" t="s">
        <v>36</v>
      </c>
      <c r="N1098" t="s">
        <v>25</v>
      </c>
      <c r="O1098" t="s">
        <v>48</v>
      </c>
      <c r="P1098" t="s">
        <v>49</v>
      </c>
      <c r="Q1098" t="s">
        <v>28</v>
      </c>
      <c r="R1098" t="s">
        <v>3498</v>
      </c>
      <c r="S1098" t="s">
        <v>51</v>
      </c>
      <c r="T1098" t="s">
        <v>52</v>
      </c>
      <c r="U1098" t="s">
        <v>3499</v>
      </c>
      <c r="V1098" s="3">
        <v>4164.29</v>
      </c>
      <c r="W1098" s="4">
        <v>9</v>
      </c>
      <c r="X1098" s="2">
        <v>0.4</v>
      </c>
      <c r="Y1098" s="3">
        <v>848.48</v>
      </c>
      <c r="Z1098" t="str">
        <f t="shared" si="206"/>
        <v>Normal</v>
      </c>
      <c r="AA1098" t="str">
        <f t="shared" si="207"/>
        <v>High</v>
      </c>
      <c r="AB1098" t="str">
        <f t="shared" si="211"/>
        <v>High Profit</v>
      </c>
      <c r="AC1098" s="3">
        <f t="shared" si="212"/>
        <v>0.20375141980985956</v>
      </c>
      <c r="AD1098" s="3">
        <f t="shared" si="213"/>
        <v>462.69888888888886</v>
      </c>
      <c r="AE1098" s="3">
        <f t="shared" si="214"/>
        <v>94.275555555555556</v>
      </c>
      <c r="AF1098" t="str">
        <f t="shared" si="215"/>
        <v>Regular</v>
      </c>
    </row>
    <row r="1099" spans="1:32" x14ac:dyDescent="0.25">
      <c r="A1099" t="s">
        <v>2197</v>
      </c>
      <c r="B1099" s="1">
        <v>45460</v>
      </c>
      <c r="C1099" s="1">
        <v>45469</v>
      </c>
      <c r="D1099" s="4">
        <f t="shared" si="204"/>
        <v>9</v>
      </c>
      <c r="E1099" s="4" t="str">
        <f>TEXT(Table1[[#This Row],[Order_Date]],"dddd")</f>
        <v>Monday</v>
      </c>
      <c r="F1099" s="4">
        <f t="shared" si="205"/>
        <v>6</v>
      </c>
      <c r="G1099" t="str">
        <f t="shared" si="208"/>
        <v>June</v>
      </c>
      <c r="H1099">
        <f t="shared" si="209"/>
        <v>2024</v>
      </c>
      <c r="I1099" t="str">
        <f t="shared" si="210"/>
        <v>2024-Q2</v>
      </c>
      <c r="J1099" t="s">
        <v>21</v>
      </c>
      <c r="K1099" t="s">
        <v>2198</v>
      </c>
      <c r="L1099" t="s">
        <v>2199</v>
      </c>
      <c r="M1099" t="s">
        <v>24</v>
      </c>
      <c r="N1099" t="s">
        <v>25</v>
      </c>
      <c r="O1099" t="s">
        <v>156</v>
      </c>
      <c r="P1099" t="s">
        <v>143</v>
      </c>
      <c r="Q1099" t="s">
        <v>39</v>
      </c>
      <c r="R1099" t="s">
        <v>2200</v>
      </c>
      <c r="S1099" t="s">
        <v>59</v>
      </c>
      <c r="T1099" t="s">
        <v>277</v>
      </c>
      <c r="U1099" t="s">
        <v>2201</v>
      </c>
      <c r="V1099" s="3">
        <v>2134.2600000000002</v>
      </c>
      <c r="W1099" s="4">
        <v>5</v>
      </c>
      <c r="X1099" s="2">
        <v>0</v>
      </c>
      <c r="Y1099" s="3">
        <v>152.33000000000001</v>
      </c>
      <c r="Z1099" t="str">
        <f t="shared" si="206"/>
        <v>Normal</v>
      </c>
      <c r="AA1099" t="str">
        <f t="shared" si="207"/>
        <v>Low</v>
      </c>
      <c r="AB1099" t="str">
        <f t="shared" si="211"/>
        <v>Low Profit</v>
      </c>
      <c r="AC1099" s="3">
        <f t="shared" si="212"/>
        <v>7.1373684555771089E-2</v>
      </c>
      <c r="AD1099" s="3">
        <f t="shared" si="213"/>
        <v>426.85200000000003</v>
      </c>
      <c r="AE1099" s="3">
        <f t="shared" si="214"/>
        <v>30.466000000000001</v>
      </c>
      <c r="AF1099" t="str">
        <f t="shared" si="215"/>
        <v>Regular</v>
      </c>
    </row>
    <row r="1100" spans="1:32" x14ac:dyDescent="0.25">
      <c r="A1100" t="s">
        <v>219</v>
      </c>
      <c r="B1100" s="1">
        <v>45461</v>
      </c>
      <c r="C1100" s="1">
        <v>45466</v>
      </c>
      <c r="D1100" s="4">
        <f t="shared" si="204"/>
        <v>5</v>
      </c>
      <c r="E1100" s="4" t="str">
        <f>TEXT(Table1[[#This Row],[Order_Date]],"dddd")</f>
        <v>Tuesday</v>
      </c>
      <c r="F1100" s="4">
        <f t="shared" si="205"/>
        <v>6</v>
      </c>
      <c r="G1100" t="str">
        <f t="shared" si="208"/>
        <v>June</v>
      </c>
      <c r="H1100">
        <f t="shared" si="209"/>
        <v>2024</v>
      </c>
      <c r="I1100" t="str">
        <f t="shared" si="210"/>
        <v>2024-Q2</v>
      </c>
      <c r="J1100" t="s">
        <v>44</v>
      </c>
      <c r="K1100" t="s">
        <v>220</v>
      </c>
      <c r="L1100" t="s">
        <v>221</v>
      </c>
      <c r="M1100" t="s">
        <v>24</v>
      </c>
      <c r="N1100" t="s">
        <v>25</v>
      </c>
      <c r="O1100" t="s">
        <v>201</v>
      </c>
      <c r="P1100" t="s">
        <v>113</v>
      </c>
      <c r="Q1100" t="s">
        <v>28</v>
      </c>
      <c r="R1100" t="s">
        <v>222</v>
      </c>
      <c r="S1100" t="s">
        <v>51</v>
      </c>
      <c r="T1100" t="s">
        <v>108</v>
      </c>
      <c r="U1100" t="s">
        <v>223</v>
      </c>
      <c r="V1100" s="3">
        <v>4735.1499999999996</v>
      </c>
      <c r="W1100" s="4">
        <v>6</v>
      </c>
      <c r="X1100" s="2">
        <v>0</v>
      </c>
      <c r="Y1100" s="3">
        <v>-420.83</v>
      </c>
      <c r="Z1100" t="str">
        <f t="shared" si="206"/>
        <v>Normal</v>
      </c>
      <c r="AA1100" t="str">
        <f t="shared" si="207"/>
        <v>Low</v>
      </c>
      <c r="AB1100" t="str">
        <f t="shared" si="211"/>
        <v>Loss</v>
      </c>
      <c r="AC1100" s="3">
        <f t="shared" si="212"/>
        <v>-8.8873636526825978E-2</v>
      </c>
      <c r="AD1100" s="3">
        <f t="shared" si="213"/>
        <v>789.19166666666661</v>
      </c>
      <c r="AE1100" s="3">
        <f t="shared" si="214"/>
        <v>-70.138333333333335</v>
      </c>
      <c r="AF1100" t="str">
        <f t="shared" si="215"/>
        <v>Regular</v>
      </c>
    </row>
    <row r="1101" spans="1:32" x14ac:dyDescent="0.25">
      <c r="A1101" t="s">
        <v>2919</v>
      </c>
      <c r="B1101" s="1">
        <v>45461</v>
      </c>
      <c r="C1101" s="1">
        <v>45464</v>
      </c>
      <c r="D1101" s="4">
        <f t="shared" si="204"/>
        <v>3</v>
      </c>
      <c r="E1101" s="4" t="str">
        <f>TEXT(Table1[[#This Row],[Order_Date]],"dddd")</f>
        <v>Tuesday</v>
      </c>
      <c r="F1101" s="4">
        <f t="shared" si="205"/>
        <v>6</v>
      </c>
      <c r="G1101" t="str">
        <f t="shared" si="208"/>
        <v>June</v>
      </c>
      <c r="H1101">
        <f t="shared" si="209"/>
        <v>2024</v>
      </c>
      <c r="I1101" t="str">
        <f t="shared" si="210"/>
        <v>2024-Q2</v>
      </c>
      <c r="J1101" t="s">
        <v>44</v>
      </c>
      <c r="K1101" t="s">
        <v>2920</v>
      </c>
      <c r="L1101" t="s">
        <v>2921</v>
      </c>
      <c r="M1101" t="s">
        <v>47</v>
      </c>
      <c r="N1101" t="s">
        <v>25</v>
      </c>
      <c r="O1101" t="s">
        <v>73</v>
      </c>
      <c r="P1101" t="s">
        <v>74</v>
      </c>
      <c r="Q1101" t="s">
        <v>28</v>
      </c>
      <c r="R1101" t="s">
        <v>2922</v>
      </c>
      <c r="S1101" t="s">
        <v>30</v>
      </c>
      <c r="T1101" t="s">
        <v>41</v>
      </c>
      <c r="U1101" t="s">
        <v>2923</v>
      </c>
      <c r="V1101" s="3">
        <v>3036.35</v>
      </c>
      <c r="W1101" s="4">
        <v>5</v>
      </c>
      <c r="X1101" s="2">
        <v>0</v>
      </c>
      <c r="Y1101" s="3">
        <v>-10.029999999999999</v>
      </c>
      <c r="Z1101" t="str">
        <f t="shared" si="206"/>
        <v>Normal</v>
      </c>
      <c r="AA1101" t="str">
        <f t="shared" si="207"/>
        <v>Low</v>
      </c>
      <c r="AB1101" t="str">
        <f t="shared" si="211"/>
        <v>Loss</v>
      </c>
      <c r="AC1101" s="3">
        <f t="shared" si="212"/>
        <v>-3.303308248390337E-3</v>
      </c>
      <c r="AD1101" s="3">
        <f t="shared" si="213"/>
        <v>607.27</v>
      </c>
      <c r="AE1101" s="3">
        <f t="shared" si="214"/>
        <v>-2.0059999999999998</v>
      </c>
      <c r="AF1101" t="str">
        <f t="shared" si="215"/>
        <v>Regular</v>
      </c>
    </row>
    <row r="1102" spans="1:32" x14ac:dyDescent="0.25">
      <c r="A1102" t="s">
        <v>305</v>
      </c>
      <c r="B1102" s="1">
        <v>45461</v>
      </c>
      <c r="C1102" s="1">
        <v>45470</v>
      </c>
      <c r="D1102" s="4">
        <f t="shared" si="204"/>
        <v>9</v>
      </c>
      <c r="E1102" s="4" t="str">
        <f>TEXT(Table1[[#This Row],[Order_Date]],"dddd")</f>
        <v>Tuesday</v>
      </c>
      <c r="F1102" s="4">
        <f t="shared" si="205"/>
        <v>6</v>
      </c>
      <c r="G1102" t="str">
        <f t="shared" si="208"/>
        <v>June</v>
      </c>
      <c r="H1102">
        <f t="shared" si="209"/>
        <v>2024</v>
      </c>
      <c r="I1102" t="str">
        <f t="shared" si="210"/>
        <v>2024-Q2</v>
      </c>
      <c r="J1102" t="s">
        <v>44</v>
      </c>
      <c r="K1102" t="s">
        <v>306</v>
      </c>
      <c r="L1102" t="s">
        <v>307</v>
      </c>
      <c r="M1102" t="s">
        <v>36</v>
      </c>
      <c r="N1102" t="s">
        <v>25</v>
      </c>
      <c r="O1102" t="s">
        <v>26</v>
      </c>
      <c r="P1102" t="s">
        <v>27</v>
      </c>
      <c r="Q1102" t="s">
        <v>66</v>
      </c>
      <c r="R1102" t="s">
        <v>308</v>
      </c>
      <c r="S1102" t="s">
        <v>51</v>
      </c>
      <c r="T1102" t="s">
        <v>108</v>
      </c>
      <c r="U1102" t="s">
        <v>309</v>
      </c>
      <c r="V1102" s="3">
        <v>1501.58</v>
      </c>
      <c r="W1102" s="4">
        <v>9</v>
      </c>
      <c r="X1102" s="2">
        <v>0.2</v>
      </c>
      <c r="Y1102" s="3">
        <v>234.15</v>
      </c>
      <c r="Z1102" t="str">
        <f t="shared" si="206"/>
        <v>Normal</v>
      </c>
      <c r="AA1102" t="str">
        <f t="shared" si="207"/>
        <v>High</v>
      </c>
      <c r="AB1102" t="str">
        <f t="shared" si="211"/>
        <v>Low Profit</v>
      </c>
      <c r="AC1102" s="3">
        <f t="shared" si="212"/>
        <v>0.15593574767911134</v>
      </c>
      <c r="AD1102" s="3">
        <f t="shared" si="213"/>
        <v>166.8422222222222</v>
      </c>
      <c r="AE1102" s="3">
        <f t="shared" si="214"/>
        <v>26.016666666666666</v>
      </c>
      <c r="AF1102" t="str">
        <f t="shared" si="215"/>
        <v>Regular</v>
      </c>
    </row>
    <row r="1103" spans="1:32" x14ac:dyDescent="0.25">
      <c r="A1103" t="s">
        <v>4212</v>
      </c>
      <c r="B1103" s="1">
        <v>45461</v>
      </c>
      <c r="C1103" s="1">
        <v>45463</v>
      </c>
      <c r="D1103" s="4">
        <f t="shared" si="204"/>
        <v>2</v>
      </c>
      <c r="E1103" s="4" t="str">
        <f>TEXT(Table1[[#This Row],[Order_Date]],"dddd")</f>
        <v>Tuesday</v>
      </c>
      <c r="F1103" s="4">
        <f t="shared" si="205"/>
        <v>6</v>
      </c>
      <c r="G1103" t="str">
        <f t="shared" si="208"/>
        <v>June</v>
      </c>
      <c r="H1103">
        <f t="shared" si="209"/>
        <v>2024</v>
      </c>
      <c r="I1103" t="str">
        <f t="shared" si="210"/>
        <v>2024-Q2</v>
      </c>
      <c r="J1103" t="s">
        <v>55</v>
      </c>
      <c r="K1103" t="s">
        <v>4213</v>
      </c>
      <c r="L1103" t="s">
        <v>4214</v>
      </c>
      <c r="M1103" t="s">
        <v>47</v>
      </c>
      <c r="N1103" t="s">
        <v>25</v>
      </c>
      <c r="O1103" t="s">
        <v>80</v>
      </c>
      <c r="P1103" t="s">
        <v>49</v>
      </c>
      <c r="Q1103" t="s">
        <v>39</v>
      </c>
      <c r="R1103" t="s">
        <v>4215</v>
      </c>
      <c r="S1103" t="s">
        <v>30</v>
      </c>
      <c r="T1103" t="s">
        <v>68</v>
      </c>
      <c r="U1103" t="s">
        <v>4216</v>
      </c>
      <c r="V1103" s="3">
        <v>3275.2</v>
      </c>
      <c r="W1103" s="4">
        <v>3</v>
      </c>
      <c r="X1103" s="2">
        <v>0.1</v>
      </c>
      <c r="Y1103" s="3">
        <v>-501.88</v>
      </c>
      <c r="Z1103" t="str">
        <f t="shared" si="206"/>
        <v>Normal</v>
      </c>
      <c r="AA1103" t="str">
        <f t="shared" si="207"/>
        <v>Medium</v>
      </c>
      <c r="AB1103" t="str">
        <f t="shared" si="211"/>
        <v>Loss</v>
      </c>
      <c r="AC1103" s="3">
        <f t="shared" si="212"/>
        <v>-0.15323644357596483</v>
      </c>
      <c r="AD1103" s="3">
        <f t="shared" si="213"/>
        <v>1091.7333333333333</v>
      </c>
      <c r="AE1103" s="3">
        <f t="shared" si="214"/>
        <v>-167.29333333333332</v>
      </c>
      <c r="AF1103" t="str">
        <f t="shared" si="215"/>
        <v>Regular</v>
      </c>
    </row>
    <row r="1104" spans="1:32" x14ac:dyDescent="0.25">
      <c r="A1104" t="s">
        <v>3141</v>
      </c>
      <c r="B1104" s="1">
        <v>45462</v>
      </c>
      <c r="C1104" s="1">
        <v>45464</v>
      </c>
      <c r="D1104" s="4">
        <f t="shared" si="204"/>
        <v>2</v>
      </c>
      <c r="E1104" s="4" t="str">
        <f>TEXT(Table1[[#This Row],[Order_Date]],"dddd")</f>
        <v>Wednesday</v>
      </c>
      <c r="F1104" s="4">
        <f t="shared" si="205"/>
        <v>6</v>
      </c>
      <c r="G1104" t="str">
        <f t="shared" si="208"/>
        <v>June</v>
      </c>
      <c r="H1104">
        <f t="shared" si="209"/>
        <v>2024</v>
      </c>
      <c r="I1104" t="str">
        <f t="shared" si="210"/>
        <v>2024-Q2</v>
      </c>
      <c r="J1104" t="s">
        <v>55</v>
      </c>
      <c r="K1104" t="s">
        <v>3142</v>
      </c>
      <c r="L1104" t="s">
        <v>3143</v>
      </c>
      <c r="M1104" t="s">
        <v>24</v>
      </c>
      <c r="N1104" t="s">
        <v>25</v>
      </c>
      <c r="O1104" t="s">
        <v>179</v>
      </c>
      <c r="P1104" t="s">
        <v>27</v>
      </c>
      <c r="Q1104" t="s">
        <v>87</v>
      </c>
      <c r="R1104" t="s">
        <v>3144</v>
      </c>
      <c r="S1104" t="s">
        <v>59</v>
      </c>
      <c r="T1104" t="s">
        <v>101</v>
      </c>
      <c r="U1104" t="s">
        <v>3145</v>
      </c>
      <c r="V1104" s="3">
        <v>1208.31</v>
      </c>
      <c r="W1104" s="4">
        <v>5</v>
      </c>
      <c r="X1104" s="2">
        <v>0.2</v>
      </c>
      <c r="Y1104" s="3">
        <v>-37.64</v>
      </c>
      <c r="Z1104" t="str">
        <f t="shared" si="206"/>
        <v>Normal</v>
      </c>
      <c r="AA1104" t="str">
        <f t="shared" si="207"/>
        <v>High</v>
      </c>
      <c r="AB1104" t="str">
        <f t="shared" si="211"/>
        <v>Loss</v>
      </c>
      <c r="AC1104" s="3">
        <f t="shared" si="212"/>
        <v>-3.1150946363102186E-2</v>
      </c>
      <c r="AD1104" s="3">
        <f t="shared" si="213"/>
        <v>241.66199999999998</v>
      </c>
      <c r="AE1104" s="3">
        <f t="shared" si="214"/>
        <v>-7.5280000000000005</v>
      </c>
      <c r="AF1104" t="str">
        <f t="shared" si="215"/>
        <v>Regular</v>
      </c>
    </row>
    <row r="1105" spans="1:32" x14ac:dyDescent="0.25">
      <c r="A1105" t="s">
        <v>4960</v>
      </c>
      <c r="B1105" s="1">
        <v>45463</v>
      </c>
      <c r="C1105" s="1">
        <v>45468</v>
      </c>
      <c r="D1105" s="4">
        <f t="shared" si="204"/>
        <v>5</v>
      </c>
      <c r="E1105" s="4" t="str">
        <f>TEXT(Table1[[#This Row],[Order_Date]],"dddd")</f>
        <v>Thursday</v>
      </c>
      <c r="F1105" s="4">
        <f t="shared" si="205"/>
        <v>6</v>
      </c>
      <c r="G1105" t="str">
        <f t="shared" si="208"/>
        <v>June</v>
      </c>
      <c r="H1105">
        <f t="shared" si="209"/>
        <v>2024</v>
      </c>
      <c r="I1105" t="str">
        <f t="shared" si="210"/>
        <v>2024-Q2</v>
      </c>
      <c r="J1105" t="s">
        <v>21</v>
      </c>
      <c r="K1105" t="s">
        <v>4961</v>
      </c>
      <c r="L1105" t="s">
        <v>4962</v>
      </c>
      <c r="M1105" t="s">
        <v>24</v>
      </c>
      <c r="N1105" t="s">
        <v>25</v>
      </c>
      <c r="O1105" t="s">
        <v>511</v>
      </c>
      <c r="P1105" t="s">
        <v>120</v>
      </c>
      <c r="Q1105" t="s">
        <v>28</v>
      </c>
      <c r="R1105" t="s">
        <v>4963</v>
      </c>
      <c r="S1105" t="s">
        <v>51</v>
      </c>
      <c r="T1105" t="s">
        <v>127</v>
      </c>
      <c r="U1105" t="s">
        <v>4964</v>
      </c>
      <c r="V1105" s="3">
        <v>610.29</v>
      </c>
      <c r="W1105" s="4">
        <v>5</v>
      </c>
      <c r="X1105" s="2">
        <v>0</v>
      </c>
      <c r="Y1105" s="3">
        <v>66.150000000000006</v>
      </c>
      <c r="Z1105" t="str">
        <f t="shared" si="206"/>
        <v>Normal</v>
      </c>
      <c r="AA1105" t="str">
        <f t="shared" si="207"/>
        <v>Low</v>
      </c>
      <c r="AB1105" t="str">
        <f t="shared" si="211"/>
        <v>Low Profit</v>
      </c>
      <c r="AC1105" s="3">
        <f t="shared" si="212"/>
        <v>0.10839109275918007</v>
      </c>
      <c r="AD1105" s="3">
        <f t="shared" si="213"/>
        <v>122.05799999999999</v>
      </c>
      <c r="AE1105" s="3">
        <f t="shared" si="214"/>
        <v>13.23</v>
      </c>
      <c r="AF1105" t="str">
        <f t="shared" si="215"/>
        <v>Regular</v>
      </c>
    </row>
    <row r="1106" spans="1:32" x14ac:dyDescent="0.25">
      <c r="A1106" t="s">
        <v>3766</v>
      </c>
      <c r="B1106" s="1">
        <v>45463</v>
      </c>
      <c r="C1106" s="1">
        <v>45471</v>
      </c>
      <c r="D1106" s="4">
        <f t="shared" si="204"/>
        <v>8</v>
      </c>
      <c r="E1106" s="4" t="str">
        <f>TEXT(Table1[[#This Row],[Order_Date]],"dddd")</f>
        <v>Thursday</v>
      </c>
      <c r="F1106" s="4">
        <f t="shared" si="205"/>
        <v>6</v>
      </c>
      <c r="G1106" t="str">
        <f t="shared" si="208"/>
        <v>June</v>
      </c>
      <c r="H1106">
        <f t="shared" si="209"/>
        <v>2024</v>
      </c>
      <c r="I1106" t="str">
        <f t="shared" si="210"/>
        <v>2024-Q2</v>
      </c>
      <c r="J1106" t="s">
        <v>21</v>
      </c>
      <c r="K1106" t="s">
        <v>3767</v>
      </c>
      <c r="L1106" t="s">
        <v>3768</v>
      </c>
      <c r="M1106" t="s">
        <v>47</v>
      </c>
      <c r="N1106" t="s">
        <v>25</v>
      </c>
      <c r="O1106" t="s">
        <v>190</v>
      </c>
      <c r="P1106" t="s">
        <v>120</v>
      </c>
      <c r="Q1106" t="s">
        <v>66</v>
      </c>
      <c r="R1106" t="s">
        <v>3769</v>
      </c>
      <c r="S1106" t="s">
        <v>30</v>
      </c>
      <c r="T1106" t="s">
        <v>31</v>
      </c>
      <c r="U1106" t="s">
        <v>3770</v>
      </c>
      <c r="V1106" s="3">
        <v>2825.95</v>
      </c>
      <c r="W1106" s="4">
        <v>5</v>
      </c>
      <c r="X1106" s="2">
        <v>0.3</v>
      </c>
      <c r="Y1106" s="3">
        <v>-18.850000000000001</v>
      </c>
      <c r="Z1106" t="str">
        <f t="shared" si="206"/>
        <v>Normal</v>
      </c>
      <c r="AA1106" t="str">
        <f t="shared" si="207"/>
        <v>High</v>
      </c>
      <c r="AB1106" t="str">
        <f t="shared" si="211"/>
        <v>Loss</v>
      </c>
      <c r="AC1106" s="3">
        <f t="shared" si="212"/>
        <v>-6.6703232541269319E-3</v>
      </c>
      <c r="AD1106" s="3">
        <f t="shared" si="213"/>
        <v>565.18999999999994</v>
      </c>
      <c r="AE1106" s="3">
        <f t="shared" si="214"/>
        <v>-3.7700000000000005</v>
      </c>
      <c r="AF1106" t="str">
        <f t="shared" si="215"/>
        <v>Regular</v>
      </c>
    </row>
    <row r="1107" spans="1:32" x14ac:dyDescent="0.25">
      <c r="A1107" t="s">
        <v>2953</v>
      </c>
      <c r="B1107" s="1">
        <v>45464</v>
      </c>
      <c r="C1107" s="1">
        <v>45465</v>
      </c>
      <c r="D1107" s="4">
        <f t="shared" si="204"/>
        <v>1</v>
      </c>
      <c r="E1107" s="4" t="str">
        <f>TEXT(Table1[[#This Row],[Order_Date]],"dddd")</f>
        <v>Friday</v>
      </c>
      <c r="F1107" s="4">
        <f t="shared" si="205"/>
        <v>6</v>
      </c>
      <c r="G1107" t="str">
        <f t="shared" si="208"/>
        <v>June</v>
      </c>
      <c r="H1107">
        <f t="shared" si="209"/>
        <v>2024</v>
      </c>
      <c r="I1107" t="str">
        <f t="shared" si="210"/>
        <v>2024-Q2</v>
      </c>
      <c r="J1107" t="s">
        <v>44</v>
      </c>
      <c r="K1107" t="s">
        <v>2954</v>
      </c>
      <c r="L1107" t="s">
        <v>2955</v>
      </c>
      <c r="M1107" t="s">
        <v>36</v>
      </c>
      <c r="N1107" t="s">
        <v>25</v>
      </c>
      <c r="O1107" t="s">
        <v>611</v>
      </c>
      <c r="P1107" t="s">
        <v>74</v>
      </c>
      <c r="Q1107" t="s">
        <v>28</v>
      </c>
      <c r="R1107" t="s">
        <v>2956</v>
      </c>
      <c r="S1107" t="s">
        <v>59</v>
      </c>
      <c r="T1107" t="s">
        <v>277</v>
      </c>
      <c r="U1107" t="s">
        <v>2957</v>
      </c>
      <c r="V1107" s="3">
        <v>4277.62</v>
      </c>
      <c r="W1107" s="4">
        <v>7</v>
      </c>
      <c r="X1107" s="2">
        <v>0.4</v>
      </c>
      <c r="Y1107" s="3">
        <v>696.66</v>
      </c>
      <c r="Z1107" t="str">
        <f t="shared" si="206"/>
        <v>Normal</v>
      </c>
      <c r="AA1107" t="str">
        <f t="shared" si="207"/>
        <v>High</v>
      </c>
      <c r="AB1107" t="str">
        <f t="shared" si="211"/>
        <v>High Profit</v>
      </c>
      <c r="AC1107" s="3">
        <f t="shared" si="212"/>
        <v>0.16286159125869057</v>
      </c>
      <c r="AD1107" s="3">
        <f t="shared" si="213"/>
        <v>611.08857142857141</v>
      </c>
      <c r="AE1107" s="3">
        <f t="shared" si="214"/>
        <v>99.522857142857134</v>
      </c>
      <c r="AF1107" t="str">
        <f t="shared" si="215"/>
        <v>Regular</v>
      </c>
    </row>
    <row r="1108" spans="1:32" x14ac:dyDescent="0.25">
      <c r="A1108" t="s">
        <v>1688</v>
      </c>
      <c r="B1108" s="1">
        <v>45465</v>
      </c>
      <c r="C1108" s="1">
        <v>45472</v>
      </c>
      <c r="D1108" s="4">
        <f t="shared" si="204"/>
        <v>7</v>
      </c>
      <c r="E1108" s="4" t="str">
        <f>TEXT(Table1[[#This Row],[Order_Date]],"dddd")</f>
        <v>Saturday</v>
      </c>
      <c r="F1108" s="4">
        <f t="shared" si="205"/>
        <v>6</v>
      </c>
      <c r="G1108" t="str">
        <f t="shared" si="208"/>
        <v>June</v>
      </c>
      <c r="H1108">
        <f t="shared" si="209"/>
        <v>2024</v>
      </c>
      <c r="I1108" t="str">
        <f t="shared" si="210"/>
        <v>2024-Q2</v>
      </c>
      <c r="J1108" t="s">
        <v>104</v>
      </c>
      <c r="K1108" t="s">
        <v>1689</v>
      </c>
      <c r="L1108" t="s">
        <v>1690</v>
      </c>
      <c r="M1108" t="s">
        <v>47</v>
      </c>
      <c r="N1108" t="s">
        <v>25</v>
      </c>
      <c r="O1108" t="s">
        <v>113</v>
      </c>
      <c r="P1108" t="s">
        <v>113</v>
      </c>
      <c r="Q1108" t="s">
        <v>39</v>
      </c>
      <c r="R1108" t="s">
        <v>1691</v>
      </c>
      <c r="S1108" t="s">
        <v>51</v>
      </c>
      <c r="T1108" t="s">
        <v>94</v>
      </c>
      <c r="U1108" t="s">
        <v>1692</v>
      </c>
      <c r="V1108" s="3">
        <v>4586.53</v>
      </c>
      <c r="W1108" s="4">
        <v>3</v>
      </c>
      <c r="X1108" s="2">
        <v>0.3</v>
      </c>
      <c r="Y1108" s="3">
        <v>-76.290000000000006</v>
      </c>
      <c r="Z1108" t="str">
        <f t="shared" si="206"/>
        <v>Normal</v>
      </c>
      <c r="AA1108" t="str">
        <f t="shared" si="207"/>
        <v>High</v>
      </c>
      <c r="AB1108" t="str">
        <f t="shared" si="211"/>
        <v>Loss</v>
      </c>
      <c r="AC1108" s="3">
        <f t="shared" si="212"/>
        <v>-1.663348980601893E-2</v>
      </c>
      <c r="AD1108" s="3">
        <f t="shared" si="213"/>
        <v>1528.8433333333332</v>
      </c>
      <c r="AE1108" s="3">
        <f t="shared" si="214"/>
        <v>-25.430000000000003</v>
      </c>
      <c r="AF1108" t="str">
        <f t="shared" si="215"/>
        <v>Regular</v>
      </c>
    </row>
    <row r="1109" spans="1:32" x14ac:dyDescent="0.25">
      <c r="A1109" t="s">
        <v>6032</v>
      </c>
      <c r="B1109" s="1">
        <v>45465</v>
      </c>
      <c r="C1109" s="1">
        <v>45469</v>
      </c>
      <c r="D1109" s="4">
        <f t="shared" si="204"/>
        <v>4</v>
      </c>
      <c r="E1109" s="4" t="str">
        <f>TEXT(Table1[[#This Row],[Order_Date]],"dddd")</f>
        <v>Saturday</v>
      </c>
      <c r="F1109" s="4">
        <f t="shared" si="205"/>
        <v>6</v>
      </c>
      <c r="G1109" t="str">
        <f t="shared" si="208"/>
        <v>June</v>
      </c>
      <c r="H1109">
        <f t="shared" si="209"/>
        <v>2024</v>
      </c>
      <c r="I1109" t="str">
        <f t="shared" si="210"/>
        <v>2024-Q2</v>
      </c>
      <c r="J1109" t="s">
        <v>104</v>
      </c>
      <c r="K1109" t="s">
        <v>6033</v>
      </c>
      <c r="L1109" t="s">
        <v>6034</v>
      </c>
      <c r="M1109" t="s">
        <v>36</v>
      </c>
      <c r="N1109" t="s">
        <v>25</v>
      </c>
      <c r="O1109" t="s">
        <v>451</v>
      </c>
      <c r="P1109" t="s">
        <v>38</v>
      </c>
      <c r="Q1109" t="s">
        <v>87</v>
      </c>
      <c r="R1109" t="s">
        <v>6035</v>
      </c>
      <c r="S1109" t="s">
        <v>59</v>
      </c>
      <c r="T1109" t="s">
        <v>277</v>
      </c>
      <c r="U1109" t="s">
        <v>6036</v>
      </c>
      <c r="V1109" s="3">
        <v>4872.97</v>
      </c>
      <c r="W1109" s="4">
        <v>2</v>
      </c>
      <c r="X1109" s="2">
        <v>0.2</v>
      </c>
      <c r="Y1109" s="3">
        <v>-613.24</v>
      </c>
      <c r="Z1109" t="str">
        <f t="shared" si="206"/>
        <v>Normal</v>
      </c>
      <c r="AA1109" t="str">
        <f t="shared" si="207"/>
        <v>High</v>
      </c>
      <c r="AB1109" t="str">
        <f t="shared" si="211"/>
        <v>Loss</v>
      </c>
      <c r="AC1109" s="3">
        <f t="shared" si="212"/>
        <v>-0.12584522375471222</v>
      </c>
      <c r="AD1109" s="3">
        <f t="shared" si="213"/>
        <v>2436.4850000000001</v>
      </c>
      <c r="AE1109" s="3">
        <f t="shared" si="214"/>
        <v>-306.62</v>
      </c>
      <c r="AF1109" t="str">
        <f t="shared" si="215"/>
        <v>Regular</v>
      </c>
    </row>
    <row r="1110" spans="1:32" x14ac:dyDescent="0.25">
      <c r="A1110" t="s">
        <v>669</v>
      </c>
      <c r="B1110" s="1">
        <v>45465</v>
      </c>
      <c r="C1110" s="1">
        <v>45468</v>
      </c>
      <c r="D1110" s="4">
        <f t="shared" si="204"/>
        <v>3</v>
      </c>
      <c r="E1110" s="4" t="str">
        <f>TEXT(Table1[[#This Row],[Order_Date]],"dddd")</f>
        <v>Saturday</v>
      </c>
      <c r="F1110" s="4">
        <f t="shared" si="205"/>
        <v>6</v>
      </c>
      <c r="G1110" t="str">
        <f t="shared" si="208"/>
        <v>June</v>
      </c>
      <c r="H1110">
        <f t="shared" si="209"/>
        <v>2024</v>
      </c>
      <c r="I1110" t="str">
        <f t="shared" si="210"/>
        <v>2024-Q2</v>
      </c>
      <c r="J1110" t="s">
        <v>104</v>
      </c>
      <c r="K1110" t="s">
        <v>670</v>
      </c>
      <c r="L1110" t="s">
        <v>671</v>
      </c>
      <c r="M1110" t="s">
        <v>36</v>
      </c>
      <c r="N1110" t="s">
        <v>25</v>
      </c>
      <c r="O1110" t="s">
        <v>244</v>
      </c>
      <c r="P1110" t="s">
        <v>163</v>
      </c>
      <c r="Q1110" t="s">
        <v>39</v>
      </c>
      <c r="R1110" t="s">
        <v>672</v>
      </c>
      <c r="S1110" t="s">
        <v>51</v>
      </c>
      <c r="T1110" t="s">
        <v>127</v>
      </c>
      <c r="U1110" t="s">
        <v>673</v>
      </c>
      <c r="V1110" s="3">
        <v>2400.75</v>
      </c>
      <c r="W1110" s="4">
        <v>8</v>
      </c>
      <c r="X1110" s="2">
        <v>0</v>
      </c>
      <c r="Y1110" s="3">
        <v>294.87</v>
      </c>
      <c r="Z1110" t="str">
        <f t="shared" si="206"/>
        <v>Normal</v>
      </c>
      <c r="AA1110" t="str">
        <f t="shared" si="207"/>
        <v>Low</v>
      </c>
      <c r="AB1110" t="str">
        <f t="shared" si="211"/>
        <v>Low Profit</v>
      </c>
      <c r="AC1110" s="3">
        <f t="shared" si="212"/>
        <v>0.12282411746329272</v>
      </c>
      <c r="AD1110" s="3">
        <f t="shared" si="213"/>
        <v>300.09375</v>
      </c>
      <c r="AE1110" s="3">
        <f t="shared" si="214"/>
        <v>36.858750000000001</v>
      </c>
      <c r="AF1110" t="str">
        <f t="shared" si="215"/>
        <v>Regular</v>
      </c>
    </row>
    <row r="1111" spans="1:32" x14ac:dyDescent="0.25">
      <c r="A1111" t="s">
        <v>4839</v>
      </c>
      <c r="B1111" s="1">
        <v>45466</v>
      </c>
      <c r="C1111" s="1">
        <v>45468</v>
      </c>
      <c r="D1111" s="4">
        <f t="shared" si="204"/>
        <v>2</v>
      </c>
      <c r="E1111" s="4" t="str">
        <f>TEXT(Table1[[#This Row],[Order_Date]],"dddd")</f>
        <v>Sunday</v>
      </c>
      <c r="F1111" s="4">
        <f t="shared" si="205"/>
        <v>6</v>
      </c>
      <c r="G1111" t="str">
        <f t="shared" si="208"/>
        <v>June</v>
      </c>
      <c r="H1111">
        <f t="shared" si="209"/>
        <v>2024</v>
      </c>
      <c r="I1111" t="str">
        <f t="shared" si="210"/>
        <v>2024-Q2</v>
      </c>
      <c r="J1111" t="s">
        <v>21</v>
      </c>
      <c r="K1111" t="s">
        <v>4840</v>
      </c>
      <c r="L1111" t="s">
        <v>4841</v>
      </c>
      <c r="M1111" t="s">
        <v>36</v>
      </c>
      <c r="N1111" t="s">
        <v>25</v>
      </c>
      <c r="O1111" t="s">
        <v>73</v>
      </c>
      <c r="P1111" t="s">
        <v>74</v>
      </c>
      <c r="Q1111" t="s">
        <v>39</v>
      </c>
      <c r="R1111" t="s">
        <v>4842</v>
      </c>
      <c r="S1111" t="s">
        <v>30</v>
      </c>
      <c r="T1111" t="s">
        <v>68</v>
      </c>
      <c r="U1111" t="s">
        <v>4843</v>
      </c>
      <c r="V1111" s="3">
        <v>2038.61</v>
      </c>
      <c r="W1111" s="4">
        <v>9</v>
      </c>
      <c r="X1111" s="2">
        <v>0.3</v>
      </c>
      <c r="Y1111" s="3">
        <v>-390.41</v>
      </c>
      <c r="Z1111" t="str">
        <f t="shared" si="206"/>
        <v>Normal</v>
      </c>
      <c r="AA1111" t="str">
        <f t="shared" si="207"/>
        <v>High</v>
      </c>
      <c r="AB1111" t="str">
        <f t="shared" si="211"/>
        <v>Loss</v>
      </c>
      <c r="AC1111" s="3">
        <f t="shared" si="212"/>
        <v>-0.19150793923310494</v>
      </c>
      <c r="AD1111" s="3">
        <f t="shared" si="213"/>
        <v>226.51222222222222</v>
      </c>
      <c r="AE1111" s="3">
        <f t="shared" si="214"/>
        <v>-43.378888888888895</v>
      </c>
      <c r="AF1111" t="str">
        <f t="shared" si="215"/>
        <v>Regular</v>
      </c>
    </row>
    <row r="1112" spans="1:32" x14ac:dyDescent="0.25">
      <c r="A1112" t="s">
        <v>5731</v>
      </c>
      <c r="B1112" s="1">
        <v>45466</v>
      </c>
      <c r="C1112" s="1">
        <v>45474</v>
      </c>
      <c r="D1112" s="4">
        <f t="shared" si="204"/>
        <v>8</v>
      </c>
      <c r="E1112" s="4" t="str">
        <f>TEXT(Table1[[#This Row],[Order_Date]],"dddd")</f>
        <v>Sunday</v>
      </c>
      <c r="F1112" s="4">
        <f t="shared" si="205"/>
        <v>6</v>
      </c>
      <c r="G1112" t="str">
        <f t="shared" si="208"/>
        <v>June</v>
      </c>
      <c r="H1112">
        <f t="shared" si="209"/>
        <v>2024</v>
      </c>
      <c r="I1112" t="str">
        <f t="shared" si="210"/>
        <v>2024-Q2</v>
      </c>
      <c r="J1112" t="s">
        <v>55</v>
      </c>
      <c r="K1112" t="s">
        <v>5732</v>
      </c>
      <c r="L1112" t="s">
        <v>5733</v>
      </c>
      <c r="M1112" t="s">
        <v>24</v>
      </c>
      <c r="N1112" t="s">
        <v>25</v>
      </c>
      <c r="O1112" t="s">
        <v>244</v>
      </c>
      <c r="P1112" t="s">
        <v>163</v>
      </c>
      <c r="Q1112" t="s">
        <v>87</v>
      </c>
      <c r="R1112" t="s">
        <v>5734</v>
      </c>
      <c r="S1112" t="s">
        <v>51</v>
      </c>
      <c r="T1112" t="s">
        <v>52</v>
      </c>
      <c r="U1112" t="s">
        <v>5735</v>
      </c>
      <c r="V1112" s="3">
        <v>797.92</v>
      </c>
      <c r="W1112" s="4">
        <v>1</v>
      </c>
      <c r="X1112" s="2">
        <v>0</v>
      </c>
      <c r="Y1112" s="3">
        <v>223.48</v>
      </c>
      <c r="Z1112" t="str">
        <f t="shared" si="206"/>
        <v>Normal</v>
      </c>
      <c r="AA1112" t="str">
        <f t="shared" si="207"/>
        <v>Low</v>
      </c>
      <c r="AB1112" t="str">
        <f t="shared" si="211"/>
        <v>Low Profit</v>
      </c>
      <c r="AC1112" s="3">
        <f t="shared" si="212"/>
        <v>0.28007820332865452</v>
      </c>
      <c r="AD1112" s="3">
        <f t="shared" si="213"/>
        <v>797.92</v>
      </c>
      <c r="AE1112" s="3">
        <f t="shared" si="214"/>
        <v>223.48</v>
      </c>
      <c r="AF1112" t="str">
        <f t="shared" si="215"/>
        <v>Regular</v>
      </c>
    </row>
    <row r="1113" spans="1:32" x14ac:dyDescent="0.25">
      <c r="A1113" t="s">
        <v>7186</v>
      </c>
      <c r="B1113" s="1">
        <v>45467</v>
      </c>
      <c r="C1113" s="1">
        <v>45469</v>
      </c>
      <c r="D1113" s="4">
        <f t="shared" si="204"/>
        <v>2</v>
      </c>
      <c r="E1113" s="4" t="str">
        <f>TEXT(Table1[[#This Row],[Order_Date]],"dddd")</f>
        <v>Monday</v>
      </c>
      <c r="F1113" s="4">
        <f t="shared" si="205"/>
        <v>6</v>
      </c>
      <c r="G1113" t="str">
        <f t="shared" si="208"/>
        <v>June</v>
      </c>
      <c r="H1113">
        <f t="shared" si="209"/>
        <v>2024</v>
      </c>
      <c r="I1113" t="str">
        <f t="shared" si="210"/>
        <v>2024-Q2</v>
      </c>
      <c r="J1113" t="s">
        <v>55</v>
      </c>
      <c r="K1113" t="s">
        <v>7187</v>
      </c>
      <c r="L1113" t="s">
        <v>7188</v>
      </c>
      <c r="M1113" t="s">
        <v>24</v>
      </c>
      <c r="N1113" t="s">
        <v>25</v>
      </c>
      <c r="O1113" t="s">
        <v>201</v>
      </c>
      <c r="P1113" t="s">
        <v>113</v>
      </c>
      <c r="Q1113" t="s">
        <v>28</v>
      </c>
      <c r="R1113" t="s">
        <v>7189</v>
      </c>
      <c r="S1113" t="s">
        <v>59</v>
      </c>
      <c r="T1113" t="s">
        <v>303</v>
      </c>
      <c r="U1113" t="s">
        <v>3233</v>
      </c>
      <c r="V1113" s="3">
        <v>4787.82</v>
      </c>
      <c r="W1113" s="4">
        <v>5</v>
      </c>
      <c r="X1113" s="2">
        <v>0</v>
      </c>
      <c r="Y1113" s="3">
        <v>-199.82</v>
      </c>
      <c r="Z1113" t="str">
        <f t="shared" si="206"/>
        <v>Normal</v>
      </c>
      <c r="AA1113" t="str">
        <f t="shared" si="207"/>
        <v>Low</v>
      </c>
      <c r="AB1113" t="str">
        <f t="shared" si="211"/>
        <v>Loss</v>
      </c>
      <c r="AC1113" s="3">
        <f t="shared" si="212"/>
        <v>-4.1735069405282571E-2</v>
      </c>
      <c r="AD1113" s="3">
        <f t="shared" si="213"/>
        <v>957.56399999999996</v>
      </c>
      <c r="AE1113" s="3">
        <f t="shared" si="214"/>
        <v>-39.963999999999999</v>
      </c>
      <c r="AF1113" t="str">
        <f t="shared" si="215"/>
        <v>Regular</v>
      </c>
    </row>
    <row r="1114" spans="1:32" x14ac:dyDescent="0.25">
      <c r="A1114" t="s">
        <v>3117</v>
      </c>
      <c r="B1114" s="1">
        <v>45468</v>
      </c>
      <c r="C1114" s="1">
        <v>45477</v>
      </c>
      <c r="D1114" s="4">
        <f t="shared" si="204"/>
        <v>9</v>
      </c>
      <c r="E1114" s="4" t="str">
        <f>TEXT(Table1[[#This Row],[Order_Date]],"dddd")</f>
        <v>Tuesday</v>
      </c>
      <c r="F1114" s="4">
        <f t="shared" si="205"/>
        <v>6</v>
      </c>
      <c r="G1114" t="str">
        <f t="shared" si="208"/>
        <v>June</v>
      </c>
      <c r="H1114">
        <f t="shared" si="209"/>
        <v>2024</v>
      </c>
      <c r="I1114" t="str">
        <f t="shared" si="210"/>
        <v>2024-Q2</v>
      </c>
      <c r="J1114" t="s">
        <v>55</v>
      </c>
      <c r="K1114" t="s">
        <v>3118</v>
      </c>
      <c r="L1114" t="s">
        <v>495</v>
      </c>
      <c r="M1114" t="s">
        <v>47</v>
      </c>
      <c r="N1114" t="s">
        <v>25</v>
      </c>
      <c r="O1114" t="s">
        <v>156</v>
      </c>
      <c r="P1114" t="s">
        <v>143</v>
      </c>
      <c r="Q1114" t="s">
        <v>87</v>
      </c>
      <c r="R1114" t="s">
        <v>3119</v>
      </c>
      <c r="S1114" t="s">
        <v>59</v>
      </c>
      <c r="T1114" t="s">
        <v>101</v>
      </c>
      <c r="U1114" t="s">
        <v>3120</v>
      </c>
      <c r="V1114" s="3">
        <v>3054.38</v>
      </c>
      <c r="W1114" s="4">
        <v>1</v>
      </c>
      <c r="X1114" s="2">
        <v>0.2</v>
      </c>
      <c r="Y1114" s="3">
        <v>-553.54</v>
      </c>
      <c r="Z1114" t="str">
        <f t="shared" si="206"/>
        <v>Normal</v>
      </c>
      <c r="AA1114" t="str">
        <f t="shared" si="207"/>
        <v>High</v>
      </c>
      <c r="AB1114" t="str">
        <f t="shared" si="211"/>
        <v>Loss</v>
      </c>
      <c r="AC1114" s="3">
        <f t="shared" si="212"/>
        <v>-0.1812282689121851</v>
      </c>
      <c r="AD1114" s="3">
        <f t="shared" si="213"/>
        <v>3054.38</v>
      </c>
      <c r="AE1114" s="3">
        <f t="shared" si="214"/>
        <v>-553.54</v>
      </c>
      <c r="AF1114" t="str">
        <f t="shared" si="215"/>
        <v>Regular</v>
      </c>
    </row>
    <row r="1115" spans="1:32" x14ac:dyDescent="0.25">
      <c r="A1115" t="s">
        <v>110</v>
      </c>
      <c r="B1115" s="1">
        <v>45468</v>
      </c>
      <c r="C1115" s="1">
        <v>45471</v>
      </c>
      <c r="D1115" s="4">
        <f t="shared" si="204"/>
        <v>3</v>
      </c>
      <c r="E1115" s="4" t="str">
        <f>TEXT(Table1[[#This Row],[Order_Date]],"dddd")</f>
        <v>Tuesday</v>
      </c>
      <c r="F1115" s="4">
        <f t="shared" si="205"/>
        <v>6</v>
      </c>
      <c r="G1115" t="str">
        <f t="shared" si="208"/>
        <v>June</v>
      </c>
      <c r="H1115">
        <f t="shared" si="209"/>
        <v>2024</v>
      </c>
      <c r="I1115" t="str">
        <f t="shared" si="210"/>
        <v>2024-Q2</v>
      </c>
      <c r="J1115" t="s">
        <v>21</v>
      </c>
      <c r="K1115" t="s">
        <v>111</v>
      </c>
      <c r="L1115" t="s">
        <v>112</v>
      </c>
      <c r="M1115" t="s">
        <v>24</v>
      </c>
      <c r="N1115" t="s">
        <v>25</v>
      </c>
      <c r="O1115" t="s">
        <v>113</v>
      </c>
      <c r="P1115" t="s">
        <v>113</v>
      </c>
      <c r="Q1115" t="s">
        <v>87</v>
      </c>
      <c r="R1115" t="s">
        <v>114</v>
      </c>
      <c r="S1115" t="s">
        <v>30</v>
      </c>
      <c r="T1115" t="s">
        <v>82</v>
      </c>
      <c r="U1115" t="s">
        <v>115</v>
      </c>
      <c r="V1115" s="3">
        <v>2822.4</v>
      </c>
      <c r="W1115" s="4">
        <v>10</v>
      </c>
      <c r="X1115" s="2">
        <v>0.1</v>
      </c>
      <c r="Y1115" s="3">
        <v>616.27</v>
      </c>
      <c r="Z1115" t="str">
        <f t="shared" si="206"/>
        <v>Normal</v>
      </c>
      <c r="AA1115" t="str">
        <f t="shared" si="207"/>
        <v>Medium</v>
      </c>
      <c r="AB1115" t="str">
        <f t="shared" si="211"/>
        <v>High Profit</v>
      </c>
      <c r="AC1115" s="3">
        <f t="shared" si="212"/>
        <v>0.21834963151927436</v>
      </c>
      <c r="AD1115" s="3">
        <f t="shared" si="213"/>
        <v>282.24</v>
      </c>
      <c r="AE1115" s="3">
        <f t="shared" si="214"/>
        <v>61.626999999999995</v>
      </c>
      <c r="AF1115" t="str">
        <f t="shared" si="215"/>
        <v>Regular</v>
      </c>
    </row>
    <row r="1116" spans="1:32" x14ac:dyDescent="0.25">
      <c r="A1116" t="s">
        <v>3756</v>
      </c>
      <c r="B1116" s="1">
        <v>45469</v>
      </c>
      <c r="C1116" s="1">
        <v>45477</v>
      </c>
      <c r="D1116" s="4">
        <f t="shared" si="204"/>
        <v>8</v>
      </c>
      <c r="E1116" s="4" t="str">
        <f>TEXT(Table1[[#This Row],[Order_Date]],"dddd")</f>
        <v>Wednesday</v>
      </c>
      <c r="F1116" s="4">
        <f t="shared" si="205"/>
        <v>6</v>
      </c>
      <c r="G1116" t="str">
        <f t="shared" si="208"/>
        <v>June</v>
      </c>
      <c r="H1116">
        <f t="shared" si="209"/>
        <v>2024</v>
      </c>
      <c r="I1116" t="str">
        <f t="shared" si="210"/>
        <v>2024-Q2</v>
      </c>
      <c r="J1116" t="s">
        <v>55</v>
      </c>
      <c r="K1116" t="s">
        <v>3757</v>
      </c>
      <c r="L1116" t="s">
        <v>3758</v>
      </c>
      <c r="M1116" t="s">
        <v>36</v>
      </c>
      <c r="N1116" t="s">
        <v>25</v>
      </c>
      <c r="O1116" t="s">
        <v>255</v>
      </c>
      <c r="P1116" t="s">
        <v>143</v>
      </c>
      <c r="Q1116" t="s">
        <v>39</v>
      </c>
      <c r="R1116" t="s">
        <v>3759</v>
      </c>
      <c r="S1116" t="s">
        <v>59</v>
      </c>
      <c r="T1116" t="s">
        <v>277</v>
      </c>
      <c r="U1116" t="s">
        <v>3760</v>
      </c>
      <c r="V1116" s="3">
        <v>3293.49</v>
      </c>
      <c r="W1116" s="4">
        <v>10</v>
      </c>
      <c r="X1116" s="2">
        <v>0.3</v>
      </c>
      <c r="Y1116" s="3">
        <v>-224.5</v>
      </c>
      <c r="Z1116" t="str">
        <f t="shared" si="206"/>
        <v>Normal</v>
      </c>
      <c r="AA1116" t="str">
        <f t="shared" si="207"/>
        <v>High</v>
      </c>
      <c r="AB1116" t="str">
        <f t="shared" si="211"/>
        <v>Loss</v>
      </c>
      <c r="AC1116" s="3">
        <f t="shared" si="212"/>
        <v>-6.8164773538100923E-2</v>
      </c>
      <c r="AD1116" s="3">
        <f t="shared" si="213"/>
        <v>329.34899999999999</v>
      </c>
      <c r="AE1116" s="3">
        <f t="shared" si="214"/>
        <v>-22.45</v>
      </c>
      <c r="AF1116" t="str">
        <f t="shared" si="215"/>
        <v>Regular</v>
      </c>
    </row>
    <row r="1117" spans="1:32" x14ac:dyDescent="0.25">
      <c r="A1117" t="s">
        <v>2559</v>
      </c>
      <c r="B1117" s="1">
        <v>45469</v>
      </c>
      <c r="C1117" s="1">
        <v>45477</v>
      </c>
      <c r="D1117" s="4">
        <f t="shared" si="204"/>
        <v>8</v>
      </c>
      <c r="E1117" s="4" t="str">
        <f>TEXT(Table1[[#This Row],[Order_Date]],"dddd")</f>
        <v>Wednesday</v>
      </c>
      <c r="F1117" s="4">
        <f t="shared" si="205"/>
        <v>6</v>
      </c>
      <c r="G1117" t="str">
        <f t="shared" si="208"/>
        <v>June</v>
      </c>
      <c r="H1117">
        <f t="shared" si="209"/>
        <v>2024</v>
      </c>
      <c r="I1117" t="str">
        <f t="shared" si="210"/>
        <v>2024-Q2</v>
      </c>
      <c r="J1117" t="s">
        <v>44</v>
      </c>
      <c r="K1117" t="s">
        <v>2560</v>
      </c>
      <c r="L1117" t="s">
        <v>2561</v>
      </c>
      <c r="M1117" t="s">
        <v>47</v>
      </c>
      <c r="N1117" t="s">
        <v>25</v>
      </c>
      <c r="O1117" t="s">
        <v>162</v>
      </c>
      <c r="P1117" t="s">
        <v>163</v>
      </c>
      <c r="Q1117" t="s">
        <v>39</v>
      </c>
      <c r="R1117" t="s">
        <v>2562</v>
      </c>
      <c r="S1117" t="s">
        <v>59</v>
      </c>
      <c r="T1117" t="s">
        <v>303</v>
      </c>
      <c r="U1117" t="s">
        <v>2563</v>
      </c>
      <c r="V1117" s="3">
        <v>4762.3500000000004</v>
      </c>
      <c r="W1117" s="4">
        <v>8</v>
      </c>
      <c r="X1117" s="2">
        <v>0.2</v>
      </c>
      <c r="Y1117" s="3">
        <v>-148.11000000000001</v>
      </c>
      <c r="Z1117" t="str">
        <f t="shared" si="206"/>
        <v>Normal</v>
      </c>
      <c r="AA1117" t="str">
        <f t="shared" si="207"/>
        <v>High</v>
      </c>
      <c r="AB1117" t="str">
        <f t="shared" si="211"/>
        <v>Loss</v>
      </c>
      <c r="AC1117" s="3">
        <f t="shared" si="212"/>
        <v>-3.1100192132035655E-2</v>
      </c>
      <c r="AD1117" s="3">
        <f t="shared" si="213"/>
        <v>595.29375000000005</v>
      </c>
      <c r="AE1117" s="3">
        <f t="shared" si="214"/>
        <v>-18.513750000000002</v>
      </c>
      <c r="AF1117" t="str">
        <f t="shared" si="215"/>
        <v>Regular</v>
      </c>
    </row>
    <row r="1118" spans="1:32" x14ac:dyDescent="0.25">
      <c r="A1118" t="s">
        <v>7078</v>
      </c>
      <c r="B1118" s="1">
        <v>45471</v>
      </c>
      <c r="C1118" s="1">
        <f>B1118+5</f>
        <v>45476</v>
      </c>
      <c r="D1118" s="4">
        <f t="shared" si="204"/>
        <v>5</v>
      </c>
      <c r="E1118" s="4" t="str">
        <f>TEXT(Table1[[#This Row],[Order_Date]],"dddd")</f>
        <v>Friday</v>
      </c>
      <c r="F1118" s="4">
        <f t="shared" si="205"/>
        <v>6</v>
      </c>
      <c r="G1118" t="str">
        <f t="shared" si="208"/>
        <v>June</v>
      </c>
      <c r="H1118">
        <f t="shared" si="209"/>
        <v>2024</v>
      </c>
      <c r="I1118" t="str">
        <f t="shared" si="210"/>
        <v>2024-Q2</v>
      </c>
      <c r="J1118" t="s">
        <v>55</v>
      </c>
      <c r="K1118" t="s">
        <v>7079</v>
      </c>
      <c r="L1118" t="s">
        <v>7080</v>
      </c>
      <c r="M1118" t="s">
        <v>36</v>
      </c>
      <c r="N1118" t="s">
        <v>25</v>
      </c>
      <c r="O1118" t="s">
        <v>233</v>
      </c>
      <c r="P1118" t="s">
        <v>163</v>
      </c>
      <c r="Q1118" t="s">
        <v>66</v>
      </c>
      <c r="R1118" t="s">
        <v>7081</v>
      </c>
      <c r="S1118" t="s">
        <v>51</v>
      </c>
      <c r="T1118" t="s">
        <v>52</v>
      </c>
      <c r="U1118" t="s">
        <v>7082</v>
      </c>
      <c r="V1118" s="3">
        <v>792.5</v>
      </c>
      <c r="W1118" s="4">
        <v>3</v>
      </c>
      <c r="X1118" s="2">
        <v>0.1</v>
      </c>
      <c r="Y1118" s="3">
        <v>144.51</v>
      </c>
      <c r="Z1118" t="str">
        <f t="shared" si="206"/>
        <v>Normal</v>
      </c>
      <c r="AA1118" t="str">
        <f t="shared" si="207"/>
        <v>Medium</v>
      </c>
      <c r="AB1118" t="str">
        <f t="shared" si="211"/>
        <v>Low Profit</v>
      </c>
      <c r="AC1118" s="3">
        <f t="shared" si="212"/>
        <v>0.18234700315457411</v>
      </c>
      <c r="AD1118" s="3">
        <f t="shared" si="213"/>
        <v>264.16666666666669</v>
      </c>
      <c r="AE1118" s="3">
        <f t="shared" si="214"/>
        <v>48.169999999999995</v>
      </c>
      <c r="AF1118" t="str">
        <f t="shared" si="215"/>
        <v>Regular</v>
      </c>
    </row>
    <row r="1119" spans="1:32" x14ac:dyDescent="0.25">
      <c r="A1119" t="s">
        <v>1086</v>
      </c>
      <c r="B1119" s="1">
        <v>45471</v>
      </c>
      <c r="C1119" s="1">
        <v>45480</v>
      </c>
      <c r="D1119" s="4">
        <f t="shared" si="204"/>
        <v>9</v>
      </c>
      <c r="E1119" s="4" t="str">
        <f>TEXT(Table1[[#This Row],[Order_Date]],"dddd")</f>
        <v>Friday</v>
      </c>
      <c r="F1119" s="4">
        <f t="shared" si="205"/>
        <v>6</v>
      </c>
      <c r="G1119" t="str">
        <f t="shared" si="208"/>
        <v>June</v>
      </c>
      <c r="H1119">
        <f t="shared" si="209"/>
        <v>2024</v>
      </c>
      <c r="I1119" t="str">
        <f t="shared" si="210"/>
        <v>2024-Q2</v>
      </c>
      <c r="J1119" t="s">
        <v>104</v>
      </c>
      <c r="K1119" t="s">
        <v>1087</v>
      </c>
      <c r="L1119" t="s">
        <v>1088</v>
      </c>
      <c r="M1119" t="s">
        <v>24</v>
      </c>
      <c r="N1119" t="s">
        <v>25</v>
      </c>
      <c r="O1119" t="s">
        <v>99</v>
      </c>
      <c r="P1119" t="s">
        <v>74</v>
      </c>
      <c r="Q1119" t="s">
        <v>28</v>
      </c>
      <c r="R1119" t="s">
        <v>1089</v>
      </c>
      <c r="S1119" t="s">
        <v>51</v>
      </c>
      <c r="T1119" t="s">
        <v>52</v>
      </c>
      <c r="U1119" t="s">
        <v>1090</v>
      </c>
      <c r="V1119" s="3">
        <v>1283.27</v>
      </c>
      <c r="W1119" s="4">
        <v>4</v>
      </c>
      <c r="X1119" s="2">
        <v>0.3</v>
      </c>
      <c r="Y1119" s="3">
        <v>-199.43</v>
      </c>
      <c r="Z1119" t="str">
        <f t="shared" si="206"/>
        <v>Normal</v>
      </c>
      <c r="AA1119" t="str">
        <f t="shared" si="207"/>
        <v>High</v>
      </c>
      <c r="AB1119" t="str">
        <f t="shared" si="211"/>
        <v>Loss</v>
      </c>
      <c r="AC1119" s="3">
        <f t="shared" si="212"/>
        <v>-0.1554076694694024</v>
      </c>
      <c r="AD1119" s="3">
        <f t="shared" si="213"/>
        <v>320.8175</v>
      </c>
      <c r="AE1119" s="3">
        <f t="shared" si="214"/>
        <v>-49.857500000000002</v>
      </c>
      <c r="AF1119" t="str">
        <f t="shared" si="215"/>
        <v>Regular</v>
      </c>
    </row>
    <row r="1120" spans="1:32" x14ac:dyDescent="0.25">
      <c r="A1120" t="s">
        <v>2486</v>
      </c>
      <c r="B1120" s="1">
        <v>45471</v>
      </c>
      <c r="C1120" s="1">
        <v>45474</v>
      </c>
      <c r="D1120" s="4">
        <f t="shared" si="204"/>
        <v>3</v>
      </c>
      <c r="E1120" s="4" t="str">
        <f>TEXT(Table1[[#This Row],[Order_Date]],"dddd")</f>
        <v>Friday</v>
      </c>
      <c r="F1120" s="4">
        <f t="shared" si="205"/>
        <v>6</v>
      </c>
      <c r="G1120" t="str">
        <f t="shared" si="208"/>
        <v>June</v>
      </c>
      <c r="H1120">
        <f t="shared" si="209"/>
        <v>2024</v>
      </c>
      <c r="I1120" t="str">
        <f t="shared" si="210"/>
        <v>2024-Q2</v>
      </c>
      <c r="J1120" t="s">
        <v>55</v>
      </c>
      <c r="K1120" t="s">
        <v>2487</v>
      </c>
      <c r="L1120" t="s">
        <v>2488</v>
      </c>
      <c r="M1120" t="s">
        <v>24</v>
      </c>
      <c r="N1120" t="s">
        <v>25</v>
      </c>
      <c r="O1120" t="s">
        <v>99</v>
      </c>
      <c r="P1120" t="s">
        <v>74</v>
      </c>
      <c r="Q1120" t="s">
        <v>87</v>
      </c>
      <c r="R1120" t="s">
        <v>2489</v>
      </c>
      <c r="S1120" t="s">
        <v>59</v>
      </c>
      <c r="T1120" t="s">
        <v>60</v>
      </c>
      <c r="U1120" t="s">
        <v>2490</v>
      </c>
      <c r="V1120" s="3">
        <v>2264.12</v>
      </c>
      <c r="W1120" s="4">
        <v>2</v>
      </c>
      <c r="X1120" s="2">
        <v>0.4</v>
      </c>
      <c r="Y1120" s="3">
        <v>104.7608324</v>
      </c>
      <c r="Z1120" t="str">
        <f t="shared" si="206"/>
        <v>Normal</v>
      </c>
      <c r="AA1120" t="str">
        <f t="shared" si="207"/>
        <v>High</v>
      </c>
      <c r="AB1120" t="str">
        <f t="shared" si="211"/>
        <v>Low Profit</v>
      </c>
      <c r="AC1120" s="3">
        <f t="shared" si="212"/>
        <v>4.6269999999999999E-2</v>
      </c>
      <c r="AD1120" s="3">
        <f t="shared" si="213"/>
        <v>1132.06</v>
      </c>
      <c r="AE1120" s="3">
        <f t="shared" si="214"/>
        <v>52.380416199999999</v>
      </c>
      <c r="AF1120" t="str">
        <f t="shared" si="215"/>
        <v>Regular</v>
      </c>
    </row>
    <row r="1121" spans="1:32" x14ac:dyDescent="0.25">
      <c r="A1121" t="s">
        <v>1514</v>
      </c>
      <c r="B1121" s="1">
        <v>45471</v>
      </c>
      <c r="C1121" s="1">
        <v>45472</v>
      </c>
      <c r="D1121" s="4">
        <f t="shared" si="204"/>
        <v>1</v>
      </c>
      <c r="E1121" s="4" t="str">
        <f>TEXT(Table1[[#This Row],[Order_Date]],"dddd")</f>
        <v>Friday</v>
      </c>
      <c r="F1121" s="4">
        <f t="shared" si="205"/>
        <v>6</v>
      </c>
      <c r="G1121" t="str">
        <f t="shared" si="208"/>
        <v>June</v>
      </c>
      <c r="H1121">
        <f t="shared" si="209"/>
        <v>2024</v>
      </c>
      <c r="I1121" t="str">
        <f t="shared" si="210"/>
        <v>2024-Q2</v>
      </c>
      <c r="J1121" t="s">
        <v>55</v>
      </c>
      <c r="K1121" t="s">
        <v>1515</v>
      </c>
      <c r="L1121" t="s">
        <v>1516</v>
      </c>
      <c r="M1121" t="s">
        <v>36</v>
      </c>
      <c r="N1121" t="s">
        <v>25</v>
      </c>
      <c r="O1121" t="s">
        <v>244</v>
      </c>
      <c r="P1121" t="s">
        <v>163</v>
      </c>
      <c r="Q1121" t="s">
        <v>87</v>
      </c>
      <c r="R1121" t="s">
        <v>1517</v>
      </c>
      <c r="S1121" t="s">
        <v>30</v>
      </c>
      <c r="T1121" t="s">
        <v>31</v>
      </c>
      <c r="U1121" t="s">
        <v>1518</v>
      </c>
      <c r="V1121" s="3">
        <v>1899.38</v>
      </c>
      <c r="W1121" s="4">
        <v>2</v>
      </c>
      <c r="X1121" s="2">
        <v>0</v>
      </c>
      <c r="Y1121" s="3">
        <v>-212.99</v>
      </c>
      <c r="Z1121" t="str">
        <f t="shared" si="206"/>
        <v>Normal</v>
      </c>
      <c r="AA1121" t="str">
        <f t="shared" si="207"/>
        <v>Low</v>
      </c>
      <c r="AB1121" t="str">
        <f t="shared" si="211"/>
        <v>Loss</v>
      </c>
      <c r="AC1121" s="3">
        <f t="shared" si="212"/>
        <v>-0.11213659194052795</v>
      </c>
      <c r="AD1121" s="3">
        <f t="shared" si="213"/>
        <v>949.69</v>
      </c>
      <c r="AE1121" s="3">
        <f t="shared" si="214"/>
        <v>-106.495</v>
      </c>
      <c r="AF1121" t="str">
        <f t="shared" si="215"/>
        <v>Regular</v>
      </c>
    </row>
    <row r="1122" spans="1:32" x14ac:dyDescent="0.25">
      <c r="A1122" t="s">
        <v>4322</v>
      </c>
      <c r="B1122" s="1">
        <v>45471</v>
      </c>
      <c r="C1122" s="1">
        <v>45474</v>
      </c>
      <c r="D1122" s="4">
        <f t="shared" si="204"/>
        <v>3</v>
      </c>
      <c r="E1122" s="4" t="str">
        <f>TEXT(Table1[[#This Row],[Order_Date]],"dddd")</f>
        <v>Friday</v>
      </c>
      <c r="F1122" s="4">
        <f t="shared" si="205"/>
        <v>6</v>
      </c>
      <c r="G1122" t="str">
        <f t="shared" si="208"/>
        <v>June</v>
      </c>
      <c r="H1122">
        <f t="shared" si="209"/>
        <v>2024</v>
      </c>
      <c r="I1122" t="str">
        <f t="shared" si="210"/>
        <v>2024-Q2</v>
      </c>
      <c r="J1122" t="s">
        <v>104</v>
      </c>
      <c r="K1122" t="s">
        <v>4323</v>
      </c>
      <c r="L1122" t="s">
        <v>4324</v>
      </c>
      <c r="M1122" t="s">
        <v>47</v>
      </c>
      <c r="N1122" t="s">
        <v>25</v>
      </c>
      <c r="O1122" t="s">
        <v>611</v>
      </c>
      <c r="P1122" t="s">
        <v>74</v>
      </c>
      <c r="Q1122" t="s">
        <v>39</v>
      </c>
      <c r="R1122" t="s">
        <v>4325</v>
      </c>
      <c r="S1122" t="s">
        <v>51</v>
      </c>
      <c r="T1122" t="s">
        <v>52</v>
      </c>
      <c r="U1122" t="s">
        <v>4326</v>
      </c>
      <c r="V1122" s="3">
        <v>4235.24</v>
      </c>
      <c r="W1122" s="4">
        <v>2</v>
      </c>
      <c r="X1122" s="2">
        <v>0</v>
      </c>
      <c r="Y1122" s="3">
        <v>-462.18</v>
      </c>
      <c r="Z1122" t="str">
        <f t="shared" si="206"/>
        <v>Normal</v>
      </c>
      <c r="AA1122" t="str">
        <f t="shared" si="207"/>
        <v>Low</v>
      </c>
      <c r="AB1122" t="str">
        <f t="shared" si="211"/>
        <v>Loss</v>
      </c>
      <c r="AC1122" s="3">
        <f t="shared" si="212"/>
        <v>-0.10912722773679887</v>
      </c>
      <c r="AD1122" s="3">
        <f t="shared" si="213"/>
        <v>2117.62</v>
      </c>
      <c r="AE1122" s="3">
        <f t="shared" si="214"/>
        <v>-231.09</v>
      </c>
      <c r="AF1122" t="str">
        <f t="shared" si="215"/>
        <v>Regular</v>
      </c>
    </row>
    <row r="1123" spans="1:32" x14ac:dyDescent="0.25">
      <c r="A1123" t="s">
        <v>2637</v>
      </c>
      <c r="B1123" s="1">
        <v>45472</v>
      </c>
      <c r="C1123" s="1">
        <v>45474</v>
      </c>
      <c r="D1123" s="4">
        <f t="shared" si="204"/>
        <v>2</v>
      </c>
      <c r="E1123" s="4" t="str">
        <f>TEXT(Table1[[#This Row],[Order_Date]],"dddd")</f>
        <v>Saturday</v>
      </c>
      <c r="F1123" s="4">
        <f t="shared" si="205"/>
        <v>6</v>
      </c>
      <c r="G1123" t="str">
        <f t="shared" si="208"/>
        <v>June</v>
      </c>
      <c r="H1123">
        <f t="shared" si="209"/>
        <v>2024</v>
      </c>
      <c r="I1123" t="str">
        <f t="shared" si="210"/>
        <v>2024-Q2</v>
      </c>
      <c r="J1123" t="s">
        <v>44</v>
      </c>
      <c r="K1123" t="s">
        <v>2638</v>
      </c>
      <c r="L1123" t="s">
        <v>2639</v>
      </c>
      <c r="M1123" t="s">
        <v>36</v>
      </c>
      <c r="N1123" t="s">
        <v>25</v>
      </c>
      <c r="O1123" t="s">
        <v>511</v>
      </c>
      <c r="P1123" t="s">
        <v>120</v>
      </c>
      <c r="Q1123" t="s">
        <v>39</v>
      </c>
      <c r="R1123" t="s">
        <v>2640</v>
      </c>
      <c r="S1123" t="s">
        <v>51</v>
      </c>
      <c r="T1123" t="s">
        <v>52</v>
      </c>
      <c r="U1123" t="s">
        <v>2641</v>
      </c>
      <c r="V1123" s="3">
        <v>4807.58</v>
      </c>
      <c r="W1123" s="4">
        <v>2</v>
      </c>
      <c r="X1123" s="2">
        <v>0.2</v>
      </c>
      <c r="Y1123" s="3">
        <v>735.62</v>
      </c>
      <c r="Z1123" t="str">
        <f t="shared" si="206"/>
        <v>Normal</v>
      </c>
      <c r="AA1123" t="str">
        <f t="shared" si="207"/>
        <v>High</v>
      </c>
      <c r="AB1123" t="str">
        <f t="shared" si="211"/>
        <v>High Profit</v>
      </c>
      <c r="AC1123" s="3">
        <f t="shared" si="212"/>
        <v>0.15301253437280296</v>
      </c>
      <c r="AD1123" s="3">
        <f t="shared" si="213"/>
        <v>2403.79</v>
      </c>
      <c r="AE1123" s="3">
        <f t="shared" si="214"/>
        <v>367.81</v>
      </c>
      <c r="AF1123" t="str">
        <f t="shared" si="215"/>
        <v>Regular</v>
      </c>
    </row>
    <row r="1124" spans="1:32" x14ac:dyDescent="0.25">
      <c r="A1124" t="s">
        <v>4150</v>
      </c>
      <c r="B1124" s="1">
        <v>45472</v>
      </c>
      <c r="C1124" s="1">
        <v>45478</v>
      </c>
      <c r="D1124" s="4">
        <f t="shared" si="204"/>
        <v>6</v>
      </c>
      <c r="E1124" s="4" t="str">
        <f>TEXT(Table1[[#This Row],[Order_Date]],"dddd")</f>
        <v>Saturday</v>
      </c>
      <c r="F1124" s="4">
        <f t="shared" si="205"/>
        <v>6</v>
      </c>
      <c r="G1124" t="str">
        <f t="shared" si="208"/>
        <v>June</v>
      </c>
      <c r="H1124">
        <f t="shared" si="209"/>
        <v>2024</v>
      </c>
      <c r="I1124" t="str">
        <f t="shared" si="210"/>
        <v>2024-Q2</v>
      </c>
      <c r="J1124" t="s">
        <v>44</v>
      </c>
      <c r="K1124" t="s">
        <v>4151</v>
      </c>
      <c r="L1124" t="s">
        <v>4152</v>
      </c>
      <c r="M1124" t="s">
        <v>36</v>
      </c>
      <c r="N1124" t="s">
        <v>25</v>
      </c>
      <c r="O1124" t="s">
        <v>26</v>
      </c>
      <c r="P1124" t="s">
        <v>27</v>
      </c>
      <c r="Q1124" t="s">
        <v>87</v>
      </c>
      <c r="R1124" t="s">
        <v>4153</v>
      </c>
      <c r="S1124" t="s">
        <v>59</v>
      </c>
      <c r="T1124" t="s">
        <v>277</v>
      </c>
      <c r="U1124" t="s">
        <v>4154</v>
      </c>
      <c r="V1124" s="3">
        <v>3605.92</v>
      </c>
      <c r="W1124" s="4">
        <v>5</v>
      </c>
      <c r="X1124" s="2">
        <v>0.4</v>
      </c>
      <c r="Y1124" s="3">
        <v>-278.83</v>
      </c>
      <c r="Z1124" t="str">
        <f t="shared" si="206"/>
        <v>Normal</v>
      </c>
      <c r="AA1124" t="str">
        <f t="shared" si="207"/>
        <v>High</v>
      </c>
      <c r="AB1124" t="str">
        <f t="shared" si="211"/>
        <v>Loss</v>
      </c>
      <c r="AC1124" s="3">
        <f t="shared" si="212"/>
        <v>-7.7325620091405242E-2</v>
      </c>
      <c r="AD1124" s="3">
        <f t="shared" si="213"/>
        <v>721.18399999999997</v>
      </c>
      <c r="AE1124" s="3">
        <f t="shared" si="214"/>
        <v>-55.765999999999998</v>
      </c>
      <c r="AF1124" t="str">
        <f t="shared" si="215"/>
        <v>Regular</v>
      </c>
    </row>
    <row r="1125" spans="1:32" x14ac:dyDescent="0.25">
      <c r="A1125" t="s">
        <v>4829</v>
      </c>
      <c r="B1125" s="1">
        <v>45472</v>
      </c>
      <c r="C1125" s="1">
        <v>45479</v>
      </c>
      <c r="D1125" s="4">
        <f t="shared" si="204"/>
        <v>7</v>
      </c>
      <c r="E1125" s="4" t="str">
        <f>TEXT(Table1[[#This Row],[Order_Date]],"dddd")</f>
        <v>Saturday</v>
      </c>
      <c r="F1125" s="4">
        <f t="shared" si="205"/>
        <v>6</v>
      </c>
      <c r="G1125" t="str">
        <f t="shared" si="208"/>
        <v>June</v>
      </c>
      <c r="H1125">
        <f t="shared" si="209"/>
        <v>2024</v>
      </c>
      <c r="I1125" t="str">
        <f t="shared" si="210"/>
        <v>2024-Q2</v>
      </c>
      <c r="J1125" t="s">
        <v>21</v>
      </c>
      <c r="K1125" t="s">
        <v>4830</v>
      </c>
      <c r="L1125" t="s">
        <v>4831</v>
      </c>
      <c r="M1125" t="s">
        <v>24</v>
      </c>
      <c r="N1125" t="s">
        <v>25</v>
      </c>
      <c r="O1125" t="s">
        <v>156</v>
      </c>
      <c r="P1125" t="s">
        <v>143</v>
      </c>
      <c r="Q1125" t="s">
        <v>66</v>
      </c>
      <c r="R1125" t="s">
        <v>4832</v>
      </c>
      <c r="S1125" t="s">
        <v>51</v>
      </c>
      <c r="T1125" t="s">
        <v>108</v>
      </c>
      <c r="U1125" t="s">
        <v>4833</v>
      </c>
      <c r="V1125" s="3">
        <v>4755.91</v>
      </c>
      <c r="W1125" s="4">
        <v>6</v>
      </c>
      <c r="X1125" s="2">
        <v>0.3</v>
      </c>
      <c r="Y1125" s="3">
        <v>631.37</v>
      </c>
      <c r="Z1125" t="str">
        <f t="shared" si="206"/>
        <v>Normal</v>
      </c>
      <c r="AA1125" t="str">
        <f t="shared" si="207"/>
        <v>High</v>
      </c>
      <c r="AB1125" t="str">
        <f t="shared" si="211"/>
        <v>High Profit</v>
      </c>
      <c r="AC1125" s="3">
        <f t="shared" si="212"/>
        <v>0.13275482504925451</v>
      </c>
      <c r="AD1125" s="3">
        <f t="shared" si="213"/>
        <v>792.65166666666664</v>
      </c>
      <c r="AE1125" s="3">
        <f t="shared" si="214"/>
        <v>105.22833333333334</v>
      </c>
      <c r="AF1125" t="str">
        <f t="shared" si="215"/>
        <v>Regular</v>
      </c>
    </row>
    <row r="1126" spans="1:32" x14ac:dyDescent="0.25">
      <c r="A1126" t="s">
        <v>5647</v>
      </c>
      <c r="B1126" s="1">
        <v>45472</v>
      </c>
      <c r="C1126" s="1">
        <v>45474</v>
      </c>
      <c r="D1126" s="4">
        <f t="shared" si="204"/>
        <v>2</v>
      </c>
      <c r="E1126" s="4" t="str">
        <f>TEXT(Table1[[#This Row],[Order_Date]],"dddd")</f>
        <v>Saturday</v>
      </c>
      <c r="F1126" s="4">
        <f t="shared" si="205"/>
        <v>6</v>
      </c>
      <c r="G1126" t="str">
        <f t="shared" si="208"/>
        <v>June</v>
      </c>
      <c r="H1126">
        <f t="shared" si="209"/>
        <v>2024</v>
      </c>
      <c r="I1126" t="str">
        <f t="shared" si="210"/>
        <v>2024-Q2</v>
      </c>
      <c r="J1126" t="s">
        <v>21</v>
      </c>
      <c r="K1126" t="s">
        <v>5648</v>
      </c>
      <c r="L1126" t="s">
        <v>5649</v>
      </c>
      <c r="M1126" t="s">
        <v>36</v>
      </c>
      <c r="N1126" t="s">
        <v>25</v>
      </c>
      <c r="O1126" t="s">
        <v>190</v>
      </c>
      <c r="P1126" t="s">
        <v>120</v>
      </c>
      <c r="Q1126" t="s">
        <v>66</v>
      </c>
      <c r="R1126" t="s">
        <v>5650</v>
      </c>
      <c r="S1126" t="s">
        <v>51</v>
      </c>
      <c r="T1126" t="s">
        <v>108</v>
      </c>
      <c r="U1126" t="s">
        <v>5651</v>
      </c>
      <c r="V1126" s="3">
        <v>700.3</v>
      </c>
      <c r="W1126" s="4">
        <v>6</v>
      </c>
      <c r="X1126" s="2">
        <v>0.1</v>
      </c>
      <c r="Y1126" s="3">
        <v>16.149999999999999</v>
      </c>
      <c r="Z1126" t="str">
        <f t="shared" si="206"/>
        <v>Normal</v>
      </c>
      <c r="AA1126" t="str">
        <f t="shared" si="207"/>
        <v>Medium</v>
      </c>
      <c r="AB1126" t="str">
        <f t="shared" si="211"/>
        <v>Low Profit</v>
      </c>
      <c r="AC1126" s="3">
        <f t="shared" si="212"/>
        <v>2.3061545052120519E-2</v>
      </c>
      <c r="AD1126" s="3">
        <f t="shared" si="213"/>
        <v>116.71666666666665</v>
      </c>
      <c r="AE1126" s="3">
        <f t="shared" si="214"/>
        <v>2.6916666666666664</v>
      </c>
      <c r="AF1126" t="str">
        <f t="shared" si="215"/>
        <v>Regular</v>
      </c>
    </row>
    <row r="1127" spans="1:32" x14ac:dyDescent="0.25">
      <c r="A1127" t="s">
        <v>2463</v>
      </c>
      <c r="B1127" s="1">
        <v>45472</v>
      </c>
      <c r="C1127" s="1">
        <v>45473</v>
      </c>
      <c r="D1127" s="4">
        <f t="shared" si="204"/>
        <v>1</v>
      </c>
      <c r="E1127" s="4" t="str">
        <f>TEXT(Table1[[#This Row],[Order_Date]],"dddd")</f>
        <v>Saturday</v>
      </c>
      <c r="F1127" s="4">
        <f t="shared" si="205"/>
        <v>6</v>
      </c>
      <c r="G1127" t="str">
        <f t="shared" si="208"/>
        <v>June</v>
      </c>
      <c r="H1127">
        <f t="shared" si="209"/>
        <v>2024</v>
      </c>
      <c r="I1127" t="str">
        <f t="shared" si="210"/>
        <v>2024-Q2</v>
      </c>
      <c r="J1127" t="s">
        <v>44</v>
      </c>
      <c r="K1127" t="s">
        <v>2464</v>
      </c>
      <c r="L1127" t="s">
        <v>2465</v>
      </c>
      <c r="M1127" t="s">
        <v>24</v>
      </c>
      <c r="N1127" t="s">
        <v>25</v>
      </c>
      <c r="O1127" t="s">
        <v>451</v>
      </c>
      <c r="P1127" t="s">
        <v>38</v>
      </c>
      <c r="Q1127" t="s">
        <v>87</v>
      </c>
      <c r="R1127" t="s">
        <v>2466</v>
      </c>
      <c r="S1127" t="s">
        <v>51</v>
      </c>
      <c r="T1127" t="s">
        <v>127</v>
      </c>
      <c r="U1127" t="s">
        <v>2467</v>
      </c>
      <c r="V1127" s="3">
        <v>4019.1</v>
      </c>
      <c r="W1127" s="4">
        <v>5</v>
      </c>
      <c r="X1127" s="2">
        <v>0.3</v>
      </c>
      <c r="Y1127" s="3">
        <v>-59.83</v>
      </c>
      <c r="Z1127" t="str">
        <f t="shared" si="206"/>
        <v>Normal</v>
      </c>
      <c r="AA1127" t="str">
        <f t="shared" si="207"/>
        <v>High</v>
      </c>
      <c r="AB1127" t="str">
        <f t="shared" si="211"/>
        <v>Loss</v>
      </c>
      <c r="AC1127" s="3">
        <f t="shared" si="212"/>
        <v>-1.4886417357119753E-2</v>
      </c>
      <c r="AD1127" s="3">
        <f t="shared" si="213"/>
        <v>803.81999999999994</v>
      </c>
      <c r="AE1127" s="3">
        <f t="shared" si="214"/>
        <v>-11.965999999999999</v>
      </c>
      <c r="AF1127" t="str">
        <f t="shared" si="215"/>
        <v>Regular</v>
      </c>
    </row>
    <row r="1128" spans="1:32" x14ac:dyDescent="0.25">
      <c r="A1128" t="s">
        <v>2207</v>
      </c>
      <c r="B1128" s="1">
        <v>45472</v>
      </c>
      <c r="C1128" s="1">
        <v>45480</v>
      </c>
      <c r="D1128" s="4">
        <f t="shared" si="204"/>
        <v>8</v>
      </c>
      <c r="E1128" s="4" t="str">
        <f>TEXT(Table1[[#This Row],[Order_Date]],"dddd")</f>
        <v>Saturday</v>
      </c>
      <c r="F1128" s="4">
        <f t="shared" si="205"/>
        <v>6</v>
      </c>
      <c r="G1128" t="str">
        <f t="shared" si="208"/>
        <v>June</v>
      </c>
      <c r="H1128">
        <f t="shared" si="209"/>
        <v>2024</v>
      </c>
      <c r="I1128" t="str">
        <f t="shared" si="210"/>
        <v>2024-Q2</v>
      </c>
      <c r="J1128" t="s">
        <v>55</v>
      </c>
      <c r="K1128" t="s">
        <v>2208</v>
      </c>
      <c r="L1128" t="s">
        <v>2209</v>
      </c>
      <c r="M1128" t="s">
        <v>24</v>
      </c>
      <c r="N1128" t="s">
        <v>25</v>
      </c>
      <c r="O1128" t="s">
        <v>244</v>
      </c>
      <c r="P1128" t="s">
        <v>163</v>
      </c>
      <c r="Q1128" t="s">
        <v>28</v>
      </c>
      <c r="R1128" t="s">
        <v>2210</v>
      </c>
      <c r="S1128" t="s">
        <v>59</v>
      </c>
      <c r="T1128" t="s">
        <v>60</v>
      </c>
      <c r="U1128" t="s">
        <v>2211</v>
      </c>
      <c r="V1128" s="3">
        <v>2568.04</v>
      </c>
      <c r="W1128" s="4">
        <v>2</v>
      </c>
      <c r="X1128" s="2">
        <v>0.2</v>
      </c>
      <c r="Y1128" s="3">
        <v>677.24</v>
      </c>
      <c r="Z1128" t="str">
        <f t="shared" si="206"/>
        <v>Normal</v>
      </c>
      <c r="AA1128" t="str">
        <f t="shared" si="207"/>
        <v>High</v>
      </c>
      <c r="AB1128" t="str">
        <f t="shared" si="211"/>
        <v>High Profit</v>
      </c>
      <c r="AC1128" s="3">
        <f t="shared" si="212"/>
        <v>0.26371863366614229</v>
      </c>
      <c r="AD1128" s="3">
        <f t="shared" si="213"/>
        <v>1284.02</v>
      </c>
      <c r="AE1128" s="3">
        <f t="shared" si="214"/>
        <v>338.62</v>
      </c>
      <c r="AF1128" t="str">
        <f t="shared" si="215"/>
        <v>Regular</v>
      </c>
    </row>
    <row r="1129" spans="1:32" x14ac:dyDescent="0.25">
      <c r="A1129" t="s">
        <v>5100</v>
      </c>
      <c r="B1129" s="1">
        <v>45473</v>
      </c>
      <c r="C1129" s="1">
        <v>45474</v>
      </c>
      <c r="D1129" s="4">
        <f t="shared" si="204"/>
        <v>1</v>
      </c>
      <c r="E1129" s="4" t="str">
        <f>TEXT(Table1[[#This Row],[Order_Date]],"dddd")</f>
        <v>Sunday</v>
      </c>
      <c r="F1129" s="4">
        <f t="shared" si="205"/>
        <v>6</v>
      </c>
      <c r="G1129" t="str">
        <f t="shared" si="208"/>
        <v>June</v>
      </c>
      <c r="H1129">
        <f t="shared" si="209"/>
        <v>2024</v>
      </c>
      <c r="I1129" t="str">
        <f t="shared" si="210"/>
        <v>2024-Q2</v>
      </c>
      <c r="J1129" t="s">
        <v>55</v>
      </c>
      <c r="K1129" t="s">
        <v>5101</v>
      </c>
      <c r="L1129" t="s">
        <v>5102</v>
      </c>
      <c r="M1129" t="s">
        <v>36</v>
      </c>
      <c r="N1129" t="s">
        <v>25</v>
      </c>
      <c r="O1129" t="s">
        <v>65</v>
      </c>
      <c r="P1129" t="s">
        <v>27</v>
      </c>
      <c r="Q1129" t="s">
        <v>66</v>
      </c>
      <c r="R1129" t="s">
        <v>5103</v>
      </c>
      <c r="S1129" t="s">
        <v>51</v>
      </c>
      <c r="T1129" t="s">
        <v>52</v>
      </c>
      <c r="U1129" t="s">
        <v>1920</v>
      </c>
      <c r="V1129" s="3">
        <v>4952.1400000000003</v>
      </c>
      <c r="W1129" s="4">
        <v>6</v>
      </c>
      <c r="X1129" s="2">
        <v>0.3</v>
      </c>
      <c r="Y1129" s="3">
        <v>127.31</v>
      </c>
      <c r="Z1129" t="str">
        <f t="shared" si="206"/>
        <v>Normal</v>
      </c>
      <c r="AA1129" t="str">
        <f t="shared" si="207"/>
        <v>High</v>
      </c>
      <c r="AB1129" t="str">
        <f t="shared" si="211"/>
        <v>Low Profit</v>
      </c>
      <c r="AC1129" s="3">
        <f t="shared" si="212"/>
        <v>2.5708077719935218E-2</v>
      </c>
      <c r="AD1129" s="3">
        <f t="shared" si="213"/>
        <v>825.35666666666668</v>
      </c>
      <c r="AE1129" s="3">
        <f t="shared" si="214"/>
        <v>21.218333333333334</v>
      </c>
      <c r="AF1129" t="str">
        <f t="shared" si="215"/>
        <v>Regular</v>
      </c>
    </row>
    <row r="1130" spans="1:32" x14ac:dyDescent="0.25">
      <c r="A1130" t="s">
        <v>2281</v>
      </c>
      <c r="B1130" s="1">
        <v>45473</v>
      </c>
      <c r="C1130" s="1">
        <v>45478</v>
      </c>
      <c r="D1130" s="4">
        <f t="shared" si="204"/>
        <v>5</v>
      </c>
      <c r="E1130" s="4" t="str">
        <f>TEXT(Table1[[#This Row],[Order_Date]],"dddd")</f>
        <v>Sunday</v>
      </c>
      <c r="F1130" s="4">
        <f t="shared" si="205"/>
        <v>6</v>
      </c>
      <c r="G1130" t="str">
        <f t="shared" si="208"/>
        <v>June</v>
      </c>
      <c r="H1130">
        <f t="shared" si="209"/>
        <v>2024</v>
      </c>
      <c r="I1130" t="str">
        <f t="shared" si="210"/>
        <v>2024-Q2</v>
      </c>
      <c r="J1130" t="s">
        <v>44</v>
      </c>
      <c r="K1130" t="s">
        <v>2282</v>
      </c>
      <c r="L1130" t="s">
        <v>2283</v>
      </c>
      <c r="M1130" t="s">
        <v>36</v>
      </c>
      <c r="N1130" t="s">
        <v>25</v>
      </c>
      <c r="O1130" t="s">
        <v>451</v>
      </c>
      <c r="P1130" t="s">
        <v>38</v>
      </c>
      <c r="Q1130" t="s">
        <v>28</v>
      </c>
      <c r="R1130" t="s">
        <v>2284</v>
      </c>
      <c r="S1130" t="s">
        <v>51</v>
      </c>
      <c r="T1130" t="s">
        <v>108</v>
      </c>
      <c r="U1130" t="s">
        <v>2285</v>
      </c>
      <c r="V1130" s="3">
        <v>1364.65</v>
      </c>
      <c r="W1130" s="4">
        <v>9</v>
      </c>
      <c r="X1130" s="2">
        <v>0.4</v>
      </c>
      <c r="Y1130" s="3">
        <v>322.48</v>
      </c>
      <c r="Z1130" t="str">
        <f t="shared" si="206"/>
        <v>Normal</v>
      </c>
      <c r="AA1130" t="str">
        <f t="shared" si="207"/>
        <v>High</v>
      </c>
      <c r="AB1130" t="str">
        <f t="shared" si="211"/>
        <v>Low Profit</v>
      </c>
      <c r="AC1130" s="3">
        <f t="shared" si="212"/>
        <v>0.23630967647382112</v>
      </c>
      <c r="AD1130" s="3">
        <f t="shared" si="213"/>
        <v>151.62777777777779</v>
      </c>
      <c r="AE1130" s="3">
        <f t="shared" si="214"/>
        <v>35.831111111111113</v>
      </c>
      <c r="AF1130" t="str">
        <f t="shared" si="215"/>
        <v>Regular</v>
      </c>
    </row>
    <row r="1131" spans="1:32" x14ac:dyDescent="0.25">
      <c r="A1131" t="s">
        <v>5226</v>
      </c>
      <c r="B1131" s="1">
        <v>45474</v>
      </c>
      <c r="C1131" s="1">
        <v>45483</v>
      </c>
      <c r="D1131" s="4">
        <f t="shared" si="204"/>
        <v>9</v>
      </c>
      <c r="E1131" s="4" t="str">
        <f>TEXT(Table1[[#This Row],[Order_Date]],"dddd")</f>
        <v>Monday</v>
      </c>
      <c r="F1131" s="4">
        <f t="shared" si="205"/>
        <v>7</v>
      </c>
      <c r="G1131" t="str">
        <f t="shared" si="208"/>
        <v>July</v>
      </c>
      <c r="H1131">
        <f t="shared" si="209"/>
        <v>2024</v>
      </c>
      <c r="I1131" t="str">
        <f t="shared" si="210"/>
        <v>2024-Q3</v>
      </c>
      <c r="J1131" t="s">
        <v>21</v>
      </c>
      <c r="K1131" t="s">
        <v>5227</v>
      </c>
      <c r="L1131" t="s">
        <v>5228</v>
      </c>
      <c r="M1131" t="s">
        <v>24</v>
      </c>
      <c r="N1131" t="s">
        <v>25</v>
      </c>
      <c r="O1131" t="s">
        <v>119</v>
      </c>
      <c r="P1131" t="s">
        <v>120</v>
      </c>
      <c r="Q1131" t="s">
        <v>87</v>
      </c>
      <c r="R1131" t="s">
        <v>5229</v>
      </c>
      <c r="S1131" t="s">
        <v>51</v>
      </c>
      <c r="T1131" t="s">
        <v>108</v>
      </c>
      <c r="U1131" t="s">
        <v>3800</v>
      </c>
      <c r="V1131" s="3">
        <v>1294.43</v>
      </c>
      <c r="W1131" s="4">
        <v>5</v>
      </c>
      <c r="X1131" s="2">
        <v>0.1</v>
      </c>
      <c r="Y1131" s="3">
        <v>-211.67</v>
      </c>
      <c r="Z1131" t="str">
        <f t="shared" si="206"/>
        <v>Normal</v>
      </c>
      <c r="AA1131" t="str">
        <f t="shared" si="207"/>
        <v>Medium</v>
      </c>
      <c r="AB1131" t="str">
        <f t="shared" si="211"/>
        <v>Loss</v>
      </c>
      <c r="AC1131" s="3">
        <f t="shared" si="212"/>
        <v>-0.1635237131401466</v>
      </c>
      <c r="AD1131" s="3">
        <f t="shared" si="213"/>
        <v>258.88600000000002</v>
      </c>
      <c r="AE1131" s="3">
        <f t="shared" si="214"/>
        <v>-42.333999999999996</v>
      </c>
      <c r="AF1131" t="str">
        <f t="shared" si="215"/>
        <v>Regular</v>
      </c>
    </row>
    <row r="1132" spans="1:32" x14ac:dyDescent="0.25">
      <c r="A1132" t="s">
        <v>6763</v>
      </c>
      <c r="B1132" s="1">
        <v>45474</v>
      </c>
      <c r="C1132" s="1">
        <v>45476</v>
      </c>
      <c r="D1132" s="4">
        <f t="shared" si="204"/>
        <v>2</v>
      </c>
      <c r="E1132" s="4" t="str">
        <f>TEXT(Table1[[#This Row],[Order_Date]],"dddd")</f>
        <v>Monday</v>
      </c>
      <c r="F1132" s="4">
        <f t="shared" si="205"/>
        <v>7</v>
      </c>
      <c r="G1132" t="str">
        <f t="shared" si="208"/>
        <v>July</v>
      </c>
      <c r="H1132">
        <f t="shared" si="209"/>
        <v>2024</v>
      </c>
      <c r="I1132" t="str">
        <f t="shared" si="210"/>
        <v>2024-Q3</v>
      </c>
      <c r="J1132" t="s">
        <v>55</v>
      </c>
      <c r="K1132" t="s">
        <v>6764</v>
      </c>
      <c r="L1132" t="s">
        <v>6765</v>
      </c>
      <c r="M1132" t="s">
        <v>24</v>
      </c>
      <c r="N1132" t="s">
        <v>25</v>
      </c>
      <c r="O1132" t="s">
        <v>162</v>
      </c>
      <c r="P1132" t="s">
        <v>163</v>
      </c>
      <c r="Q1132" t="s">
        <v>87</v>
      </c>
      <c r="R1132" t="s">
        <v>6766</v>
      </c>
      <c r="S1132" t="s">
        <v>59</v>
      </c>
      <c r="T1132" t="s">
        <v>277</v>
      </c>
      <c r="U1132" t="s">
        <v>2957</v>
      </c>
      <c r="V1132" s="3">
        <v>4123.13</v>
      </c>
      <c r="W1132" s="4">
        <v>7</v>
      </c>
      <c r="X1132" s="2">
        <v>0.2</v>
      </c>
      <c r="Y1132" s="3">
        <v>820.23</v>
      </c>
      <c r="Z1132" t="str">
        <f t="shared" si="206"/>
        <v>Normal</v>
      </c>
      <c r="AA1132" t="str">
        <f t="shared" si="207"/>
        <v>High</v>
      </c>
      <c r="AB1132" t="str">
        <f t="shared" si="211"/>
        <v>High Profit</v>
      </c>
      <c r="AC1132" s="3">
        <f t="shared" si="212"/>
        <v>0.19893381969523152</v>
      </c>
      <c r="AD1132" s="3">
        <f t="shared" si="213"/>
        <v>589.01857142857148</v>
      </c>
      <c r="AE1132" s="3">
        <f t="shared" si="214"/>
        <v>117.17571428571429</v>
      </c>
      <c r="AF1132" t="str">
        <f t="shared" si="215"/>
        <v>Regular</v>
      </c>
    </row>
    <row r="1133" spans="1:32" x14ac:dyDescent="0.25">
      <c r="A1133" t="s">
        <v>7048</v>
      </c>
      <c r="B1133" s="1">
        <v>45475</v>
      </c>
      <c r="C1133" s="1">
        <v>45480</v>
      </c>
      <c r="D1133" s="4">
        <f t="shared" si="204"/>
        <v>5</v>
      </c>
      <c r="E1133" s="4" t="str">
        <f>TEXT(Table1[[#This Row],[Order_Date]],"dddd")</f>
        <v>Tuesday</v>
      </c>
      <c r="F1133" s="4">
        <f t="shared" si="205"/>
        <v>7</v>
      </c>
      <c r="G1133" t="str">
        <f t="shared" si="208"/>
        <v>July</v>
      </c>
      <c r="H1133">
        <f t="shared" si="209"/>
        <v>2024</v>
      </c>
      <c r="I1133" t="str">
        <f t="shared" si="210"/>
        <v>2024-Q3</v>
      </c>
      <c r="J1133" t="s">
        <v>104</v>
      </c>
      <c r="K1133" t="s">
        <v>7049</v>
      </c>
      <c r="L1133" t="s">
        <v>7050</v>
      </c>
      <c r="M1133" t="s">
        <v>24</v>
      </c>
      <c r="N1133" t="s">
        <v>25</v>
      </c>
      <c r="O1133" t="s">
        <v>119</v>
      </c>
      <c r="P1133" t="s">
        <v>120</v>
      </c>
      <c r="Q1133" t="s">
        <v>66</v>
      </c>
      <c r="R1133" t="s">
        <v>7051</v>
      </c>
      <c r="S1133" t="s">
        <v>30</v>
      </c>
      <c r="T1133" t="s">
        <v>41</v>
      </c>
      <c r="U1133" t="s">
        <v>5487</v>
      </c>
      <c r="V1133" s="3">
        <v>4015.2</v>
      </c>
      <c r="W1133" s="4">
        <v>7</v>
      </c>
      <c r="X1133" s="2">
        <v>0.2</v>
      </c>
      <c r="Y1133" s="3">
        <v>-563.91999999999996</v>
      </c>
      <c r="Z1133" t="str">
        <f t="shared" si="206"/>
        <v>Normal</v>
      </c>
      <c r="AA1133" t="str">
        <f t="shared" si="207"/>
        <v>High</v>
      </c>
      <c r="AB1133" t="str">
        <f t="shared" si="211"/>
        <v>Loss</v>
      </c>
      <c r="AC1133" s="3">
        <f t="shared" si="212"/>
        <v>-0.1404463040446304</v>
      </c>
      <c r="AD1133" s="3">
        <f t="shared" si="213"/>
        <v>573.6</v>
      </c>
      <c r="AE1133" s="3">
        <f t="shared" si="214"/>
        <v>-80.559999999999988</v>
      </c>
      <c r="AF1133" t="str">
        <f t="shared" si="215"/>
        <v>Regular</v>
      </c>
    </row>
    <row r="1134" spans="1:32" x14ac:dyDescent="0.25">
      <c r="A1134" t="s">
        <v>3693</v>
      </c>
      <c r="B1134" s="1">
        <v>45476</v>
      </c>
      <c r="C1134" s="1">
        <v>45481</v>
      </c>
      <c r="D1134" s="4">
        <f t="shared" si="204"/>
        <v>5</v>
      </c>
      <c r="E1134" s="4" t="str">
        <f>TEXT(Table1[[#This Row],[Order_Date]],"dddd")</f>
        <v>Wednesday</v>
      </c>
      <c r="F1134" s="4">
        <f t="shared" si="205"/>
        <v>7</v>
      </c>
      <c r="G1134" t="str">
        <f t="shared" si="208"/>
        <v>July</v>
      </c>
      <c r="H1134">
        <f t="shared" si="209"/>
        <v>2024</v>
      </c>
      <c r="I1134" t="str">
        <f t="shared" si="210"/>
        <v>2024-Q3</v>
      </c>
      <c r="J1134" t="s">
        <v>104</v>
      </c>
      <c r="K1134" t="s">
        <v>3694</v>
      </c>
      <c r="L1134" t="s">
        <v>3695</v>
      </c>
      <c r="M1134" t="s">
        <v>47</v>
      </c>
      <c r="N1134" t="s">
        <v>25</v>
      </c>
      <c r="O1134" t="s">
        <v>80</v>
      </c>
      <c r="P1134" t="s">
        <v>49</v>
      </c>
      <c r="Q1134" t="s">
        <v>28</v>
      </c>
      <c r="R1134" t="s">
        <v>3696</v>
      </c>
      <c r="S1134" t="s">
        <v>51</v>
      </c>
      <c r="T1134" t="s">
        <v>151</v>
      </c>
      <c r="U1134" t="s">
        <v>3697</v>
      </c>
      <c r="V1134" s="3">
        <v>3085.17</v>
      </c>
      <c r="W1134" s="4">
        <v>1</v>
      </c>
      <c r="X1134" s="2">
        <v>0.2</v>
      </c>
      <c r="Y1134" s="3">
        <v>765.72</v>
      </c>
      <c r="Z1134" t="str">
        <f t="shared" si="206"/>
        <v>Normal</v>
      </c>
      <c r="AA1134" t="str">
        <f t="shared" si="207"/>
        <v>High</v>
      </c>
      <c r="AB1134" t="str">
        <f t="shared" si="211"/>
        <v>High Profit</v>
      </c>
      <c r="AC1134" s="3">
        <f t="shared" si="212"/>
        <v>0.24819377862484077</v>
      </c>
      <c r="AD1134" s="3">
        <f t="shared" si="213"/>
        <v>3085.17</v>
      </c>
      <c r="AE1134" s="3">
        <f t="shared" si="214"/>
        <v>765.72</v>
      </c>
      <c r="AF1134" t="str">
        <f t="shared" si="215"/>
        <v>Regular</v>
      </c>
    </row>
    <row r="1135" spans="1:32" x14ac:dyDescent="0.25">
      <c r="A1135" t="s">
        <v>4676</v>
      </c>
      <c r="B1135" s="1">
        <v>45476</v>
      </c>
      <c r="C1135" s="1">
        <v>45485</v>
      </c>
      <c r="D1135" s="4">
        <f t="shared" si="204"/>
        <v>9</v>
      </c>
      <c r="E1135" s="4" t="str">
        <f>TEXT(Table1[[#This Row],[Order_Date]],"dddd")</f>
        <v>Wednesday</v>
      </c>
      <c r="F1135" s="4">
        <f t="shared" si="205"/>
        <v>7</v>
      </c>
      <c r="G1135" t="str">
        <f t="shared" si="208"/>
        <v>July</v>
      </c>
      <c r="H1135">
        <f t="shared" si="209"/>
        <v>2024</v>
      </c>
      <c r="I1135" t="str">
        <f t="shared" si="210"/>
        <v>2024-Q3</v>
      </c>
      <c r="J1135" t="s">
        <v>21</v>
      </c>
      <c r="K1135" t="s">
        <v>4677</v>
      </c>
      <c r="L1135" t="s">
        <v>4678</v>
      </c>
      <c r="M1135" t="s">
        <v>24</v>
      </c>
      <c r="N1135" t="s">
        <v>25</v>
      </c>
      <c r="O1135" t="s">
        <v>99</v>
      </c>
      <c r="P1135" t="s">
        <v>74</v>
      </c>
      <c r="Q1135" t="s">
        <v>39</v>
      </c>
      <c r="R1135" t="s">
        <v>4679</v>
      </c>
      <c r="S1135" t="s">
        <v>30</v>
      </c>
      <c r="T1135" t="s">
        <v>82</v>
      </c>
      <c r="U1135" t="s">
        <v>4680</v>
      </c>
      <c r="V1135" s="3">
        <v>2161.9499999999998</v>
      </c>
      <c r="W1135" s="4">
        <v>8</v>
      </c>
      <c r="X1135" s="2">
        <v>0.4</v>
      </c>
      <c r="Y1135" s="3">
        <v>17.28</v>
      </c>
      <c r="Z1135" t="str">
        <f t="shared" si="206"/>
        <v>Normal</v>
      </c>
      <c r="AA1135" t="str">
        <f t="shared" si="207"/>
        <v>High</v>
      </c>
      <c r="AB1135" t="str">
        <f t="shared" si="211"/>
        <v>Low Profit</v>
      </c>
      <c r="AC1135" s="3">
        <f t="shared" si="212"/>
        <v>7.9927842919586493E-3</v>
      </c>
      <c r="AD1135" s="3">
        <f t="shared" si="213"/>
        <v>270.24374999999998</v>
      </c>
      <c r="AE1135" s="3">
        <f t="shared" si="214"/>
        <v>2.16</v>
      </c>
      <c r="AF1135" t="str">
        <f t="shared" si="215"/>
        <v>Regular</v>
      </c>
    </row>
    <row r="1136" spans="1:32" x14ac:dyDescent="0.25">
      <c r="A1136" t="s">
        <v>2458</v>
      </c>
      <c r="B1136" s="1">
        <v>45477</v>
      </c>
      <c r="C1136" s="1">
        <v>45482</v>
      </c>
      <c r="D1136" s="4">
        <f t="shared" si="204"/>
        <v>5</v>
      </c>
      <c r="E1136" s="4" t="str">
        <f>TEXT(Table1[[#This Row],[Order_Date]],"dddd")</f>
        <v>Thursday</v>
      </c>
      <c r="F1136" s="4">
        <f t="shared" si="205"/>
        <v>7</v>
      </c>
      <c r="G1136" t="str">
        <f t="shared" si="208"/>
        <v>July</v>
      </c>
      <c r="H1136">
        <f t="shared" si="209"/>
        <v>2024</v>
      </c>
      <c r="I1136" t="str">
        <f t="shared" si="210"/>
        <v>2024-Q3</v>
      </c>
      <c r="J1136" t="s">
        <v>55</v>
      </c>
      <c r="K1136" t="s">
        <v>2459</v>
      </c>
      <c r="L1136" t="s">
        <v>2460</v>
      </c>
      <c r="M1136" t="s">
        <v>47</v>
      </c>
      <c r="N1136" t="s">
        <v>25</v>
      </c>
      <c r="O1136" t="s">
        <v>119</v>
      </c>
      <c r="P1136" t="s">
        <v>120</v>
      </c>
      <c r="Q1136" t="s">
        <v>87</v>
      </c>
      <c r="R1136" t="s">
        <v>2461</v>
      </c>
      <c r="S1136" t="s">
        <v>30</v>
      </c>
      <c r="T1136" t="s">
        <v>31</v>
      </c>
      <c r="U1136" t="s">
        <v>2462</v>
      </c>
      <c r="V1136" s="3">
        <v>4167.91</v>
      </c>
      <c r="W1136" s="4">
        <v>4</v>
      </c>
      <c r="X1136" s="2">
        <v>0.1</v>
      </c>
      <c r="Y1136" s="3">
        <v>990.16</v>
      </c>
      <c r="Z1136" t="str">
        <f t="shared" si="206"/>
        <v>Normal</v>
      </c>
      <c r="AA1136" t="str">
        <f t="shared" si="207"/>
        <v>Medium</v>
      </c>
      <c r="AB1136" t="str">
        <f t="shared" si="211"/>
        <v>High Profit</v>
      </c>
      <c r="AC1136" s="3">
        <f t="shared" si="212"/>
        <v>0.23756750985505926</v>
      </c>
      <c r="AD1136" s="3">
        <f t="shared" si="213"/>
        <v>1041.9775</v>
      </c>
      <c r="AE1136" s="3">
        <f t="shared" si="214"/>
        <v>247.54</v>
      </c>
      <c r="AF1136" t="str">
        <f t="shared" si="215"/>
        <v>Regular</v>
      </c>
    </row>
    <row r="1137" spans="1:32" x14ac:dyDescent="0.25">
      <c r="A1137" t="s">
        <v>4446</v>
      </c>
      <c r="B1137" s="1">
        <v>45477</v>
      </c>
      <c r="C1137" s="1">
        <v>45482</v>
      </c>
      <c r="D1137" s="4">
        <f t="shared" si="204"/>
        <v>5</v>
      </c>
      <c r="E1137" s="4" t="str">
        <f>TEXT(Table1[[#This Row],[Order_Date]],"dddd")</f>
        <v>Thursday</v>
      </c>
      <c r="F1137" s="4">
        <f t="shared" si="205"/>
        <v>7</v>
      </c>
      <c r="G1137" t="str">
        <f t="shared" si="208"/>
        <v>July</v>
      </c>
      <c r="H1137">
        <f t="shared" si="209"/>
        <v>2024</v>
      </c>
      <c r="I1137" t="str">
        <f t="shared" si="210"/>
        <v>2024-Q3</v>
      </c>
      <c r="J1137" t="s">
        <v>104</v>
      </c>
      <c r="K1137" t="s">
        <v>4447</v>
      </c>
      <c r="L1137" t="s">
        <v>4448</v>
      </c>
      <c r="M1137" t="s">
        <v>36</v>
      </c>
      <c r="N1137" t="s">
        <v>25</v>
      </c>
      <c r="O1137" t="s">
        <v>190</v>
      </c>
      <c r="P1137" t="s">
        <v>120</v>
      </c>
      <c r="Q1137" t="s">
        <v>39</v>
      </c>
      <c r="R1137" t="s">
        <v>4449</v>
      </c>
      <c r="S1137" t="s">
        <v>59</v>
      </c>
      <c r="T1137" t="s">
        <v>60</v>
      </c>
      <c r="U1137" t="s">
        <v>4450</v>
      </c>
      <c r="V1137" s="3">
        <v>3577.19</v>
      </c>
      <c r="W1137" s="4">
        <v>2</v>
      </c>
      <c r="X1137" s="2">
        <v>0.4</v>
      </c>
      <c r="Y1137" s="3">
        <v>1001.31</v>
      </c>
      <c r="Z1137" t="str">
        <f t="shared" si="206"/>
        <v>Normal</v>
      </c>
      <c r="AA1137" t="str">
        <f t="shared" si="207"/>
        <v>High</v>
      </c>
      <c r="AB1137" t="str">
        <f t="shared" si="211"/>
        <v>High Profit</v>
      </c>
      <c r="AC1137" s="3">
        <f t="shared" si="212"/>
        <v>0.27991524073364848</v>
      </c>
      <c r="AD1137" s="3">
        <f t="shared" si="213"/>
        <v>1788.595</v>
      </c>
      <c r="AE1137" s="3">
        <f t="shared" si="214"/>
        <v>500.65499999999997</v>
      </c>
      <c r="AF1137" t="str">
        <f t="shared" si="215"/>
        <v>Regular</v>
      </c>
    </row>
    <row r="1138" spans="1:32" x14ac:dyDescent="0.25">
      <c r="A1138" t="s">
        <v>7310</v>
      </c>
      <c r="B1138" s="1">
        <v>45477</v>
      </c>
      <c r="C1138" s="1">
        <v>45479</v>
      </c>
      <c r="D1138" s="4">
        <f t="shared" si="204"/>
        <v>2</v>
      </c>
      <c r="E1138" s="4" t="str">
        <f>TEXT(Table1[[#This Row],[Order_Date]],"dddd")</f>
        <v>Thursday</v>
      </c>
      <c r="F1138" s="4">
        <f t="shared" si="205"/>
        <v>7</v>
      </c>
      <c r="G1138" t="str">
        <f t="shared" si="208"/>
        <v>July</v>
      </c>
      <c r="H1138">
        <f t="shared" si="209"/>
        <v>2024</v>
      </c>
      <c r="I1138" t="str">
        <f t="shared" si="210"/>
        <v>2024-Q3</v>
      </c>
      <c r="J1138" t="s">
        <v>21</v>
      </c>
      <c r="K1138" t="s">
        <v>7311</v>
      </c>
      <c r="L1138" t="s">
        <v>7312</v>
      </c>
      <c r="M1138" t="s">
        <v>47</v>
      </c>
      <c r="N1138" t="s">
        <v>25</v>
      </c>
      <c r="O1138" t="s">
        <v>113</v>
      </c>
      <c r="P1138" t="s">
        <v>113</v>
      </c>
      <c r="Q1138" t="s">
        <v>87</v>
      </c>
      <c r="R1138" t="s">
        <v>7313</v>
      </c>
      <c r="S1138" t="s">
        <v>59</v>
      </c>
      <c r="T1138" t="s">
        <v>101</v>
      </c>
      <c r="U1138" t="s">
        <v>7314</v>
      </c>
      <c r="V1138" s="3">
        <v>3321.42</v>
      </c>
      <c r="W1138" s="4">
        <v>10</v>
      </c>
      <c r="X1138" s="2">
        <v>0.2</v>
      </c>
      <c r="Y1138" s="3">
        <v>-657.7</v>
      </c>
      <c r="Z1138" t="str">
        <f t="shared" si="206"/>
        <v>Normal</v>
      </c>
      <c r="AA1138" t="str">
        <f t="shared" si="207"/>
        <v>High</v>
      </c>
      <c r="AB1138" t="str">
        <f t="shared" si="211"/>
        <v>Loss</v>
      </c>
      <c r="AC1138" s="3">
        <f t="shared" si="212"/>
        <v>-0.19801771531453416</v>
      </c>
      <c r="AD1138" s="3">
        <f t="shared" si="213"/>
        <v>332.142</v>
      </c>
      <c r="AE1138" s="3">
        <f t="shared" si="214"/>
        <v>-65.77000000000001</v>
      </c>
      <c r="AF1138" t="str">
        <f t="shared" si="215"/>
        <v>Regular</v>
      </c>
    </row>
    <row r="1139" spans="1:32" x14ac:dyDescent="0.25">
      <c r="A1139" t="s">
        <v>598</v>
      </c>
      <c r="B1139" s="1">
        <v>45478</v>
      </c>
      <c r="C1139" s="1">
        <v>45479</v>
      </c>
      <c r="D1139" s="4">
        <f t="shared" si="204"/>
        <v>1</v>
      </c>
      <c r="E1139" s="4" t="str">
        <f>TEXT(Table1[[#This Row],[Order_Date]],"dddd")</f>
        <v>Friday</v>
      </c>
      <c r="F1139" s="4">
        <f t="shared" si="205"/>
        <v>7</v>
      </c>
      <c r="G1139" t="str">
        <f t="shared" si="208"/>
        <v>July</v>
      </c>
      <c r="H1139">
        <f t="shared" si="209"/>
        <v>2024</v>
      </c>
      <c r="I1139" t="str">
        <f t="shared" si="210"/>
        <v>2024-Q3</v>
      </c>
      <c r="J1139" t="s">
        <v>21</v>
      </c>
      <c r="K1139" t="s">
        <v>599</v>
      </c>
      <c r="L1139" t="s">
        <v>600</v>
      </c>
      <c r="M1139" t="s">
        <v>47</v>
      </c>
      <c r="N1139" t="s">
        <v>25</v>
      </c>
      <c r="O1139" t="s">
        <v>80</v>
      </c>
      <c r="P1139" t="s">
        <v>49</v>
      </c>
      <c r="Q1139" t="s">
        <v>87</v>
      </c>
      <c r="R1139" t="s">
        <v>601</v>
      </c>
      <c r="S1139" t="s">
        <v>51</v>
      </c>
      <c r="T1139" t="s">
        <v>151</v>
      </c>
      <c r="U1139" t="s">
        <v>602</v>
      </c>
      <c r="V1139" s="3">
        <v>1740.43</v>
      </c>
      <c r="W1139" s="4">
        <v>6</v>
      </c>
      <c r="X1139" s="2">
        <v>0.2</v>
      </c>
      <c r="Y1139" s="3">
        <v>196</v>
      </c>
      <c r="Z1139" t="str">
        <f t="shared" si="206"/>
        <v>Normal</v>
      </c>
      <c r="AA1139" t="str">
        <f t="shared" si="207"/>
        <v>High</v>
      </c>
      <c r="AB1139" t="str">
        <f t="shared" si="211"/>
        <v>Low Profit</v>
      </c>
      <c r="AC1139" s="3">
        <f t="shared" si="212"/>
        <v>0.11261584780772567</v>
      </c>
      <c r="AD1139" s="3">
        <f t="shared" si="213"/>
        <v>290.07166666666666</v>
      </c>
      <c r="AE1139" s="3">
        <f t="shared" si="214"/>
        <v>32.666666666666664</v>
      </c>
      <c r="AF1139" t="str">
        <f t="shared" si="215"/>
        <v>Regular</v>
      </c>
    </row>
    <row r="1140" spans="1:32" x14ac:dyDescent="0.25">
      <c r="A1140" t="s">
        <v>1834</v>
      </c>
      <c r="B1140" s="1">
        <v>45478</v>
      </c>
      <c r="C1140" s="1">
        <v>45487</v>
      </c>
      <c r="D1140" s="4">
        <f t="shared" si="204"/>
        <v>9</v>
      </c>
      <c r="E1140" s="4" t="str">
        <f>TEXT(Table1[[#This Row],[Order_Date]],"dddd")</f>
        <v>Friday</v>
      </c>
      <c r="F1140" s="4">
        <f t="shared" si="205"/>
        <v>7</v>
      </c>
      <c r="G1140" t="str">
        <f t="shared" si="208"/>
        <v>July</v>
      </c>
      <c r="H1140">
        <f t="shared" si="209"/>
        <v>2024</v>
      </c>
      <c r="I1140" t="str">
        <f t="shared" si="210"/>
        <v>2024-Q3</v>
      </c>
      <c r="J1140" t="s">
        <v>55</v>
      </c>
      <c r="K1140" t="s">
        <v>1835</v>
      </c>
      <c r="L1140" t="s">
        <v>1836</v>
      </c>
      <c r="M1140" t="s">
        <v>24</v>
      </c>
      <c r="N1140" t="s">
        <v>25</v>
      </c>
      <c r="O1140" t="s">
        <v>227</v>
      </c>
      <c r="P1140" t="s">
        <v>49</v>
      </c>
      <c r="Q1140" t="s">
        <v>66</v>
      </c>
      <c r="R1140" t="s">
        <v>1837</v>
      </c>
      <c r="S1140" t="s">
        <v>30</v>
      </c>
      <c r="T1140" t="s">
        <v>68</v>
      </c>
      <c r="U1140" t="s">
        <v>1838</v>
      </c>
      <c r="V1140" s="3">
        <v>508.96</v>
      </c>
      <c r="W1140" s="4">
        <v>6</v>
      </c>
      <c r="X1140" s="2">
        <v>0.3</v>
      </c>
      <c r="Y1140" s="3">
        <v>23.07</v>
      </c>
      <c r="Z1140" t="str">
        <f t="shared" si="206"/>
        <v>Normal</v>
      </c>
      <c r="AA1140" t="str">
        <f t="shared" si="207"/>
        <v>High</v>
      </c>
      <c r="AB1140" t="str">
        <f t="shared" si="211"/>
        <v>Low Profit</v>
      </c>
      <c r="AC1140" s="3">
        <f t="shared" si="212"/>
        <v>4.5327727129833385E-2</v>
      </c>
      <c r="AD1140" s="3">
        <f t="shared" si="213"/>
        <v>84.826666666666668</v>
      </c>
      <c r="AE1140" s="3">
        <f t="shared" si="214"/>
        <v>3.8450000000000002</v>
      </c>
      <c r="AF1140" t="str">
        <f t="shared" si="215"/>
        <v>Regular</v>
      </c>
    </row>
    <row r="1141" spans="1:32" x14ac:dyDescent="0.25">
      <c r="A1141" t="s">
        <v>193</v>
      </c>
      <c r="B1141" s="1">
        <v>45479</v>
      </c>
      <c r="C1141" s="1">
        <v>45481</v>
      </c>
      <c r="D1141" s="4">
        <f t="shared" si="204"/>
        <v>2</v>
      </c>
      <c r="E1141" s="4" t="str">
        <f>TEXT(Table1[[#This Row],[Order_Date]],"dddd")</f>
        <v>Saturday</v>
      </c>
      <c r="F1141" s="4">
        <f t="shared" si="205"/>
        <v>7</v>
      </c>
      <c r="G1141" t="str">
        <f t="shared" si="208"/>
        <v>July</v>
      </c>
      <c r="H1141">
        <f t="shared" si="209"/>
        <v>2024</v>
      </c>
      <c r="I1141" t="str">
        <f t="shared" si="210"/>
        <v>2024-Q3</v>
      </c>
      <c r="J1141" t="s">
        <v>55</v>
      </c>
      <c r="K1141" t="s">
        <v>194</v>
      </c>
      <c r="L1141" t="s">
        <v>195</v>
      </c>
      <c r="M1141" t="s">
        <v>47</v>
      </c>
      <c r="N1141" t="s">
        <v>25</v>
      </c>
      <c r="O1141" t="s">
        <v>37</v>
      </c>
      <c r="P1141" t="s">
        <v>38</v>
      </c>
      <c r="Q1141" t="s">
        <v>28</v>
      </c>
      <c r="R1141" t="s">
        <v>196</v>
      </c>
      <c r="S1141" t="s">
        <v>30</v>
      </c>
      <c r="T1141" t="s">
        <v>82</v>
      </c>
      <c r="U1141" t="s">
        <v>197</v>
      </c>
      <c r="V1141" s="3">
        <v>1377.15</v>
      </c>
      <c r="W1141" s="4">
        <v>8</v>
      </c>
      <c r="X1141" s="2">
        <v>0.4</v>
      </c>
      <c r="Y1141" s="3">
        <v>-2.11</v>
      </c>
      <c r="Z1141" t="str">
        <f t="shared" si="206"/>
        <v>Normal</v>
      </c>
      <c r="AA1141" t="str">
        <f t="shared" si="207"/>
        <v>High</v>
      </c>
      <c r="AB1141" t="str">
        <f t="shared" si="211"/>
        <v>Loss</v>
      </c>
      <c r="AC1141" s="3">
        <f t="shared" si="212"/>
        <v>-1.5321497295138508E-3</v>
      </c>
      <c r="AD1141" s="3">
        <f t="shared" si="213"/>
        <v>172.14375000000001</v>
      </c>
      <c r="AE1141" s="3">
        <f t="shared" si="214"/>
        <v>-0.26374999999999998</v>
      </c>
      <c r="AF1141" t="str">
        <f t="shared" si="215"/>
        <v>Regular</v>
      </c>
    </row>
    <row r="1142" spans="1:32" x14ac:dyDescent="0.25">
      <c r="A1142" t="s">
        <v>5759</v>
      </c>
      <c r="B1142" s="1">
        <v>45479</v>
      </c>
      <c r="C1142" s="1">
        <v>45489</v>
      </c>
      <c r="D1142" s="4">
        <f t="shared" si="204"/>
        <v>10</v>
      </c>
      <c r="E1142" s="4" t="str">
        <f>TEXT(Table1[[#This Row],[Order_Date]],"dddd")</f>
        <v>Saturday</v>
      </c>
      <c r="F1142" s="4">
        <f t="shared" si="205"/>
        <v>7</v>
      </c>
      <c r="G1142" t="str">
        <f t="shared" si="208"/>
        <v>July</v>
      </c>
      <c r="H1142">
        <f t="shared" si="209"/>
        <v>2024</v>
      </c>
      <c r="I1142" t="str">
        <f t="shared" si="210"/>
        <v>2024-Q3</v>
      </c>
      <c r="J1142" t="s">
        <v>21</v>
      </c>
      <c r="K1142" t="s">
        <v>5760</v>
      </c>
      <c r="L1142" t="s">
        <v>954</v>
      </c>
      <c r="M1142" t="s">
        <v>24</v>
      </c>
      <c r="N1142" t="s">
        <v>25</v>
      </c>
      <c r="O1142" t="s">
        <v>149</v>
      </c>
      <c r="P1142" t="s">
        <v>113</v>
      </c>
      <c r="Q1142" t="s">
        <v>87</v>
      </c>
      <c r="R1142" t="s">
        <v>5761</v>
      </c>
      <c r="S1142" t="s">
        <v>51</v>
      </c>
      <c r="T1142" t="s">
        <v>94</v>
      </c>
      <c r="U1142" t="s">
        <v>5762</v>
      </c>
      <c r="V1142" s="3">
        <v>3201.63</v>
      </c>
      <c r="W1142" s="4">
        <v>10</v>
      </c>
      <c r="X1142" s="2">
        <v>0.2</v>
      </c>
      <c r="Y1142" s="3">
        <v>526.21</v>
      </c>
      <c r="Z1142" t="str">
        <f t="shared" si="206"/>
        <v>Normal</v>
      </c>
      <c r="AA1142" t="str">
        <f t="shared" si="207"/>
        <v>High</v>
      </c>
      <c r="AB1142" t="str">
        <f t="shared" si="211"/>
        <v>High Profit</v>
      </c>
      <c r="AC1142" s="3">
        <f t="shared" si="212"/>
        <v>0.16435690570115849</v>
      </c>
      <c r="AD1142" s="3">
        <f t="shared" si="213"/>
        <v>320.16300000000001</v>
      </c>
      <c r="AE1142" s="3">
        <f t="shared" si="214"/>
        <v>52.621000000000002</v>
      </c>
      <c r="AF1142" t="str">
        <f t="shared" si="215"/>
        <v>Regular</v>
      </c>
    </row>
    <row r="1143" spans="1:32" x14ac:dyDescent="0.25">
      <c r="A1143" t="s">
        <v>5593</v>
      </c>
      <c r="B1143" s="1">
        <v>45479</v>
      </c>
      <c r="C1143" s="1">
        <v>45483</v>
      </c>
      <c r="D1143" s="4">
        <f t="shared" si="204"/>
        <v>4</v>
      </c>
      <c r="E1143" s="4" t="str">
        <f>TEXT(Table1[[#This Row],[Order_Date]],"dddd")</f>
        <v>Saturday</v>
      </c>
      <c r="F1143" s="4">
        <f t="shared" si="205"/>
        <v>7</v>
      </c>
      <c r="G1143" t="str">
        <f t="shared" si="208"/>
        <v>July</v>
      </c>
      <c r="H1143">
        <f t="shared" si="209"/>
        <v>2024</v>
      </c>
      <c r="I1143" t="str">
        <f t="shared" si="210"/>
        <v>2024-Q3</v>
      </c>
      <c r="J1143" t="s">
        <v>44</v>
      </c>
      <c r="K1143" t="s">
        <v>5594</v>
      </c>
      <c r="L1143" t="s">
        <v>5595</v>
      </c>
      <c r="M1143" t="s">
        <v>47</v>
      </c>
      <c r="N1143" t="s">
        <v>25</v>
      </c>
      <c r="O1143" t="s">
        <v>611</v>
      </c>
      <c r="P1143" t="s">
        <v>74</v>
      </c>
      <c r="Q1143" t="s">
        <v>28</v>
      </c>
      <c r="R1143" t="s">
        <v>5596</v>
      </c>
      <c r="S1143" t="s">
        <v>30</v>
      </c>
      <c r="T1143" t="s">
        <v>82</v>
      </c>
      <c r="U1143" t="s">
        <v>5597</v>
      </c>
      <c r="V1143" s="3">
        <v>3640.02</v>
      </c>
      <c r="W1143" s="4">
        <v>3</v>
      </c>
      <c r="X1143" s="2">
        <v>0.3</v>
      </c>
      <c r="Y1143" s="3">
        <v>989.68</v>
      </c>
      <c r="Z1143" t="str">
        <f t="shared" si="206"/>
        <v>Normal</v>
      </c>
      <c r="AA1143" t="str">
        <f t="shared" si="207"/>
        <v>High</v>
      </c>
      <c r="AB1143" t="str">
        <f t="shared" si="211"/>
        <v>High Profit</v>
      </c>
      <c r="AC1143" s="3">
        <f t="shared" si="212"/>
        <v>0.2718886159966154</v>
      </c>
      <c r="AD1143" s="3">
        <f t="shared" si="213"/>
        <v>1213.3399999999999</v>
      </c>
      <c r="AE1143" s="3">
        <f t="shared" si="214"/>
        <v>329.89333333333332</v>
      </c>
      <c r="AF1143" t="str">
        <f t="shared" si="215"/>
        <v>Regular</v>
      </c>
    </row>
    <row r="1144" spans="1:32" x14ac:dyDescent="0.25">
      <c r="A1144" t="s">
        <v>4764</v>
      </c>
      <c r="B1144" s="1">
        <v>45480</v>
      </c>
      <c r="C1144" s="1">
        <v>45485</v>
      </c>
      <c r="D1144" s="4">
        <f t="shared" si="204"/>
        <v>5</v>
      </c>
      <c r="E1144" s="4" t="str">
        <f>TEXT(Table1[[#This Row],[Order_Date]],"dddd")</f>
        <v>Sunday</v>
      </c>
      <c r="F1144" s="4">
        <f t="shared" si="205"/>
        <v>7</v>
      </c>
      <c r="G1144" t="str">
        <f t="shared" si="208"/>
        <v>July</v>
      </c>
      <c r="H1144">
        <f t="shared" si="209"/>
        <v>2024</v>
      </c>
      <c r="I1144" t="str">
        <f t="shared" si="210"/>
        <v>2024-Q3</v>
      </c>
      <c r="J1144" t="s">
        <v>55</v>
      </c>
      <c r="K1144" t="s">
        <v>4765</v>
      </c>
      <c r="L1144" t="s">
        <v>4766</v>
      </c>
      <c r="M1144" t="s">
        <v>47</v>
      </c>
      <c r="N1144" t="s">
        <v>25</v>
      </c>
      <c r="O1144" t="s">
        <v>119</v>
      </c>
      <c r="P1144" t="s">
        <v>120</v>
      </c>
      <c r="Q1144" t="s">
        <v>87</v>
      </c>
      <c r="R1144" t="s">
        <v>4767</v>
      </c>
      <c r="S1144" t="s">
        <v>59</v>
      </c>
      <c r="T1144" t="s">
        <v>60</v>
      </c>
      <c r="U1144" t="s">
        <v>4768</v>
      </c>
      <c r="V1144" s="3">
        <v>1334.14</v>
      </c>
      <c r="W1144" s="4">
        <v>1</v>
      </c>
      <c r="X1144" s="2">
        <v>0</v>
      </c>
      <c r="Y1144" s="3">
        <v>109.17</v>
      </c>
      <c r="Z1144" t="str">
        <f t="shared" si="206"/>
        <v>Normal</v>
      </c>
      <c r="AA1144" t="str">
        <f t="shared" si="207"/>
        <v>Low</v>
      </c>
      <c r="AB1144" t="str">
        <f t="shared" si="211"/>
        <v>Low Profit</v>
      </c>
      <c r="AC1144" s="3">
        <f t="shared" si="212"/>
        <v>8.1827994063591522E-2</v>
      </c>
      <c r="AD1144" s="3">
        <f t="shared" si="213"/>
        <v>1334.14</v>
      </c>
      <c r="AE1144" s="3">
        <f t="shared" si="214"/>
        <v>109.17</v>
      </c>
      <c r="AF1144" t="str">
        <f t="shared" si="215"/>
        <v>Regular</v>
      </c>
    </row>
    <row r="1145" spans="1:32" x14ac:dyDescent="0.25">
      <c r="A1145" t="s">
        <v>3873</v>
      </c>
      <c r="B1145" s="1">
        <v>45480</v>
      </c>
      <c r="C1145" s="1">
        <v>45486</v>
      </c>
      <c r="D1145" s="4">
        <f t="shared" si="204"/>
        <v>6</v>
      </c>
      <c r="E1145" s="4" t="str">
        <f>TEXT(Table1[[#This Row],[Order_Date]],"dddd")</f>
        <v>Sunday</v>
      </c>
      <c r="F1145" s="4">
        <f t="shared" si="205"/>
        <v>7</v>
      </c>
      <c r="G1145" t="str">
        <f t="shared" si="208"/>
        <v>July</v>
      </c>
      <c r="H1145">
        <f t="shared" si="209"/>
        <v>2024</v>
      </c>
      <c r="I1145" t="str">
        <f t="shared" si="210"/>
        <v>2024-Q3</v>
      </c>
      <c r="J1145" t="s">
        <v>44</v>
      </c>
      <c r="K1145" t="s">
        <v>3874</v>
      </c>
      <c r="L1145" t="s">
        <v>3875</v>
      </c>
      <c r="M1145" t="s">
        <v>36</v>
      </c>
      <c r="N1145" t="s">
        <v>25</v>
      </c>
      <c r="O1145" t="s">
        <v>227</v>
      </c>
      <c r="P1145" t="s">
        <v>49</v>
      </c>
      <c r="Q1145" t="s">
        <v>66</v>
      </c>
      <c r="R1145" t="s">
        <v>3876</v>
      </c>
      <c r="S1145" t="s">
        <v>51</v>
      </c>
      <c r="T1145" t="s">
        <v>127</v>
      </c>
      <c r="U1145" t="s">
        <v>3877</v>
      </c>
      <c r="V1145" s="3">
        <v>815.94</v>
      </c>
      <c r="W1145" s="4">
        <v>3</v>
      </c>
      <c r="X1145" s="2">
        <v>0.3</v>
      </c>
      <c r="Y1145" s="3">
        <v>5.52</v>
      </c>
      <c r="Z1145" t="str">
        <f t="shared" si="206"/>
        <v>Normal</v>
      </c>
      <c r="AA1145" t="str">
        <f t="shared" si="207"/>
        <v>High</v>
      </c>
      <c r="AB1145" t="str">
        <f t="shared" si="211"/>
        <v>Low Profit</v>
      </c>
      <c r="AC1145" s="3">
        <f t="shared" si="212"/>
        <v>6.7652033237738055E-3</v>
      </c>
      <c r="AD1145" s="3">
        <f t="shared" si="213"/>
        <v>271.98</v>
      </c>
      <c r="AE1145" s="3">
        <f t="shared" si="214"/>
        <v>1.8399999999999999</v>
      </c>
      <c r="AF1145" t="str">
        <f t="shared" si="215"/>
        <v>Regular</v>
      </c>
    </row>
    <row r="1146" spans="1:32" x14ac:dyDescent="0.25">
      <c r="A1146" t="s">
        <v>693</v>
      </c>
      <c r="B1146" s="1">
        <v>45480</v>
      </c>
      <c r="C1146" s="1">
        <v>45485</v>
      </c>
      <c r="D1146" s="4">
        <f t="shared" si="204"/>
        <v>5</v>
      </c>
      <c r="E1146" s="4" t="str">
        <f>TEXT(Table1[[#This Row],[Order_Date]],"dddd")</f>
        <v>Sunday</v>
      </c>
      <c r="F1146" s="4">
        <f t="shared" si="205"/>
        <v>7</v>
      </c>
      <c r="G1146" t="str">
        <f t="shared" si="208"/>
        <v>July</v>
      </c>
      <c r="H1146">
        <f t="shared" si="209"/>
        <v>2024</v>
      </c>
      <c r="I1146" t="str">
        <f t="shared" si="210"/>
        <v>2024-Q3</v>
      </c>
      <c r="J1146" t="s">
        <v>55</v>
      </c>
      <c r="K1146" t="s">
        <v>694</v>
      </c>
      <c r="L1146" t="s">
        <v>695</v>
      </c>
      <c r="M1146" t="s">
        <v>47</v>
      </c>
      <c r="N1146" t="s">
        <v>25</v>
      </c>
      <c r="O1146" t="s">
        <v>611</v>
      </c>
      <c r="P1146" t="s">
        <v>74</v>
      </c>
      <c r="Q1146" t="s">
        <v>87</v>
      </c>
      <c r="R1146" t="s">
        <v>696</v>
      </c>
      <c r="S1146" t="s">
        <v>59</v>
      </c>
      <c r="T1146" t="s">
        <v>277</v>
      </c>
      <c r="U1146" t="s">
        <v>697</v>
      </c>
      <c r="V1146" s="3">
        <v>2223.8000000000002</v>
      </c>
      <c r="W1146" s="4">
        <v>3</v>
      </c>
      <c r="X1146" s="2">
        <v>0</v>
      </c>
      <c r="Y1146" s="3">
        <v>78.650000000000006</v>
      </c>
      <c r="Z1146" t="str">
        <f t="shared" si="206"/>
        <v>Normal</v>
      </c>
      <c r="AA1146" t="str">
        <f t="shared" si="207"/>
        <v>Low</v>
      </c>
      <c r="AB1146" t="str">
        <f t="shared" si="211"/>
        <v>Low Profit</v>
      </c>
      <c r="AC1146" s="3">
        <f t="shared" si="212"/>
        <v>3.5367389153700871E-2</v>
      </c>
      <c r="AD1146" s="3">
        <f t="shared" si="213"/>
        <v>741.26666666666677</v>
      </c>
      <c r="AE1146" s="3">
        <f t="shared" si="214"/>
        <v>26.216666666666669</v>
      </c>
      <c r="AF1146" t="str">
        <f t="shared" si="215"/>
        <v>Regular</v>
      </c>
    </row>
    <row r="1147" spans="1:32" x14ac:dyDescent="0.25">
      <c r="A1147" t="s">
        <v>5404</v>
      </c>
      <c r="B1147" s="1">
        <v>45481</v>
      </c>
      <c r="C1147" s="1">
        <v>45488</v>
      </c>
      <c r="D1147" s="4">
        <f t="shared" si="204"/>
        <v>7</v>
      </c>
      <c r="E1147" s="4" t="str">
        <f>TEXT(Table1[[#This Row],[Order_Date]],"dddd")</f>
        <v>Monday</v>
      </c>
      <c r="F1147" s="4">
        <f t="shared" si="205"/>
        <v>7</v>
      </c>
      <c r="G1147" t="str">
        <f t="shared" si="208"/>
        <v>July</v>
      </c>
      <c r="H1147">
        <f t="shared" si="209"/>
        <v>2024</v>
      </c>
      <c r="I1147" t="str">
        <f t="shared" si="210"/>
        <v>2024-Q3</v>
      </c>
      <c r="J1147" t="s">
        <v>44</v>
      </c>
      <c r="K1147" t="s">
        <v>5405</v>
      </c>
      <c r="L1147" t="s">
        <v>5406</v>
      </c>
      <c r="M1147" t="s">
        <v>24</v>
      </c>
      <c r="N1147" t="s">
        <v>25</v>
      </c>
      <c r="O1147" t="s">
        <v>227</v>
      </c>
      <c r="P1147" t="s">
        <v>49</v>
      </c>
      <c r="Q1147" t="s">
        <v>39</v>
      </c>
      <c r="R1147" t="s">
        <v>5407</v>
      </c>
      <c r="S1147" t="s">
        <v>51</v>
      </c>
      <c r="T1147" t="s">
        <v>151</v>
      </c>
      <c r="U1147" t="s">
        <v>5408</v>
      </c>
      <c r="V1147" s="3">
        <v>1580.51</v>
      </c>
      <c r="W1147" s="4">
        <v>6</v>
      </c>
      <c r="X1147" s="2">
        <v>0</v>
      </c>
      <c r="Y1147" s="3">
        <v>-125.11</v>
      </c>
      <c r="Z1147" t="str">
        <f t="shared" si="206"/>
        <v>Normal</v>
      </c>
      <c r="AA1147" t="str">
        <f t="shared" si="207"/>
        <v>Low</v>
      </c>
      <c r="AB1147" t="str">
        <f t="shared" si="211"/>
        <v>Loss</v>
      </c>
      <c r="AC1147" s="3">
        <f t="shared" si="212"/>
        <v>-7.9157993305958199E-2</v>
      </c>
      <c r="AD1147" s="3">
        <f t="shared" si="213"/>
        <v>263.41833333333335</v>
      </c>
      <c r="AE1147" s="3">
        <f t="shared" si="214"/>
        <v>-20.851666666666667</v>
      </c>
      <c r="AF1147" t="str">
        <f t="shared" si="215"/>
        <v>Regular</v>
      </c>
    </row>
    <row r="1148" spans="1:32" x14ac:dyDescent="0.25">
      <c r="A1148" t="s">
        <v>4288</v>
      </c>
      <c r="B1148" s="1">
        <v>45481</v>
      </c>
      <c r="C1148" s="1">
        <v>45484</v>
      </c>
      <c r="D1148" s="4">
        <f t="shared" si="204"/>
        <v>3</v>
      </c>
      <c r="E1148" s="4" t="str">
        <f>TEXT(Table1[[#This Row],[Order_Date]],"dddd")</f>
        <v>Monday</v>
      </c>
      <c r="F1148" s="4">
        <f t="shared" si="205"/>
        <v>7</v>
      </c>
      <c r="G1148" t="str">
        <f t="shared" si="208"/>
        <v>July</v>
      </c>
      <c r="H1148">
        <f t="shared" si="209"/>
        <v>2024</v>
      </c>
      <c r="I1148" t="str">
        <f t="shared" si="210"/>
        <v>2024-Q3</v>
      </c>
      <c r="J1148" t="s">
        <v>44</v>
      </c>
      <c r="K1148" t="s">
        <v>4289</v>
      </c>
      <c r="L1148" t="s">
        <v>4290</v>
      </c>
      <c r="M1148" t="s">
        <v>36</v>
      </c>
      <c r="N1148" t="s">
        <v>25</v>
      </c>
      <c r="O1148" t="s">
        <v>382</v>
      </c>
      <c r="P1148" t="s">
        <v>38</v>
      </c>
      <c r="Q1148" t="s">
        <v>87</v>
      </c>
      <c r="R1148" t="s">
        <v>4291</v>
      </c>
      <c r="S1148" t="s">
        <v>30</v>
      </c>
      <c r="T1148" t="s">
        <v>68</v>
      </c>
      <c r="U1148" t="s">
        <v>4292</v>
      </c>
      <c r="V1148" s="3">
        <v>4918.21</v>
      </c>
      <c r="W1148" s="4">
        <v>3</v>
      </c>
      <c r="X1148" s="2">
        <v>0.4</v>
      </c>
      <c r="Y1148" s="3">
        <v>823.82</v>
      </c>
      <c r="Z1148" t="str">
        <f t="shared" si="206"/>
        <v>Normal</v>
      </c>
      <c r="AA1148" t="str">
        <f t="shared" si="207"/>
        <v>High</v>
      </c>
      <c r="AB1148" t="str">
        <f t="shared" si="211"/>
        <v>High Profit</v>
      </c>
      <c r="AC1148" s="3">
        <f t="shared" si="212"/>
        <v>0.16750403093808522</v>
      </c>
      <c r="AD1148" s="3">
        <f t="shared" si="213"/>
        <v>1639.4033333333334</v>
      </c>
      <c r="AE1148" s="3">
        <f t="shared" si="214"/>
        <v>274.60666666666668</v>
      </c>
      <c r="AF1148" t="str">
        <f t="shared" si="215"/>
        <v>Regular</v>
      </c>
    </row>
    <row r="1149" spans="1:32" x14ac:dyDescent="0.25">
      <c r="A1149" t="s">
        <v>3629</v>
      </c>
      <c r="B1149" s="1">
        <v>45483</v>
      </c>
      <c r="C1149" s="1">
        <v>45486</v>
      </c>
      <c r="D1149" s="4">
        <f t="shared" si="204"/>
        <v>3</v>
      </c>
      <c r="E1149" s="4" t="str">
        <f>TEXT(Table1[[#This Row],[Order_Date]],"dddd")</f>
        <v>Wednesday</v>
      </c>
      <c r="F1149" s="4">
        <f t="shared" si="205"/>
        <v>7</v>
      </c>
      <c r="G1149" t="str">
        <f t="shared" si="208"/>
        <v>July</v>
      </c>
      <c r="H1149">
        <f t="shared" si="209"/>
        <v>2024</v>
      </c>
      <c r="I1149" t="str">
        <f t="shared" si="210"/>
        <v>2024-Q3</v>
      </c>
      <c r="J1149" t="s">
        <v>21</v>
      </c>
      <c r="K1149" t="s">
        <v>3630</v>
      </c>
      <c r="L1149" t="s">
        <v>3631</v>
      </c>
      <c r="M1149" t="s">
        <v>24</v>
      </c>
      <c r="N1149" t="s">
        <v>25</v>
      </c>
      <c r="O1149" t="s">
        <v>611</v>
      </c>
      <c r="P1149" t="s">
        <v>74</v>
      </c>
      <c r="Q1149" t="s">
        <v>28</v>
      </c>
      <c r="R1149" t="s">
        <v>3632</v>
      </c>
      <c r="S1149" t="s">
        <v>51</v>
      </c>
      <c r="T1149" t="s">
        <v>127</v>
      </c>
      <c r="U1149" t="s">
        <v>3633</v>
      </c>
      <c r="V1149" s="3">
        <v>4055.53</v>
      </c>
      <c r="W1149" s="4">
        <v>3</v>
      </c>
      <c r="X1149" s="2">
        <v>0.4</v>
      </c>
      <c r="Y1149" s="3">
        <v>247.19</v>
      </c>
      <c r="Z1149" t="str">
        <f t="shared" si="206"/>
        <v>Normal</v>
      </c>
      <c r="AA1149" t="str">
        <f t="shared" si="207"/>
        <v>High</v>
      </c>
      <c r="AB1149" t="str">
        <f t="shared" si="211"/>
        <v>Low Profit</v>
      </c>
      <c r="AC1149" s="3">
        <f t="shared" si="212"/>
        <v>6.095134298106536E-2</v>
      </c>
      <c r="AD1149" s="3">
        <f t="shared" si="213"/>
        <v>1351.8433333333335</v>
      </c>
      <c r="AE1149" s="3">
        <f t="shared" si="214"/>
        <v>82.396666666666661</v>
      </c>
      <c r="AF1149" t="str">
        <f t="shared" si="215"/>
        <v>Regular</v>
      </c>
    </row>
    <row r="1150" spans="1:32" x14ac:dyDescent="0.25">
      <c r="A1150" t="s">
        <v>4945</v>
      </c>
      <c r="B1150" s="1">
        <v>45484</v>
      </c>
      <c r="C1150" s="1">
        <v>45491</v>
      </c>
      <c r="D1150" s="4">
        <f t="shared" si="204"/>
        <v>7</v>
      </c>
      <c r="E1150" s="4" t="str">
        <f>TEXT(Table1[[#This Row],[Order_Date]],"dddd")</f>
        <v>Thursday</v>
      </c>
      <c r="F1150" s="4">
        <f t="shared" si="205"/>
        <v>7</v>
      </c>
      <c r="G1150" t="str">
        <f t="shared" si="208"/>
        <v>July</v>
      </c>
      <c r="H1150">
        <f t="shared" si="209"/>
        <v>2024</v>
      </c>
      <c r="I1150" t="str">
        <f t="shared" si="210"/>
        <v>2024-Q3</v>
      </c>
      <c r="J1150" t="s">
        <v>55</v>
      </c>
      <c r="K1150" t="s">
        <v>4946</v>
      </c>
      <c r="L1150" t="s">
        <v>4947</v>
      </c>
      <c r="M1150" t="s">
        <v>47</v>
      </c>
      <c r="N1150" t="s">
        <v>25</v>
      </c>
      <c r="O1150" t="s">
        <v>227</v>
      </c>
      <c r="P1150" t="s">
        <v>49</v>
      </c>
      <c r="Q1150" t="s">
        <v>66</v>
      </c>
      <c r="R1150" t="s">
        <v>4948</v>
      </c>
      <c r="S1150" t="s">
        <v>51</v>
      </c>
      <c r="T1150" t="s">
        <v>52</v>
      </c>
      <c r="U1150" t="s">
        <v>4949</v>
      </c>
      <c r="V1150" s="3">
        <v>2961.54</v>
      </c>
      <c r="W1150" s="4">
        <v>3</v>
      </c>
      <c r="X1150" s="2">
        <v>0.4</v>
      </c>
      <c r="Y1150" s="3">
        <v>7.5</v>
      </c>
      <c r="Z1150" t="str">
        <f t="shared" si="206"/>
        <v>Normal</v>
      </c>
      <c r="AA1150" t="str">
        <f t="shared" si="207"/>
        <v>High</v>
      </c>
      <c r="AB1150" t="str">
        <f t="shared" si="211"/>
        <v>Low Profit</v>
      </c>
      <c r="AC1150" s="3">
        <f t="shared" si="212"/>
        <v>2.5324662169006664E-3</v>
      </c>
      <c r="AD1150" s="3">
        <f t="shared" si="213"/>
        <v>987.18</v>
      </c>
      <c r="AE1150" s="3">
        <f t="shared" si="214"/>
        <v>2.5</v>
      </c>
      <c r="AF1150" t="str">
        <f t="shared" si="215"/>
        <v>Regular</v>
      </c>
    </row>
    <row r="1151" spans="1:32" x14ac:dyDescent="0.25">
      <c r="A1151" t="s">
        <v>6153</v>
      </c>
      <c r="B1151" s="1">
        <v>45485</v>
      </c>
      <c r="C1151" s="1">
        <v>45487</v>
      </c>
      <c r="D1151" s="4">
        <f t="shared" si="204"/>
        <v>2</v>
      </c>
      <c r="E1151" s="4" t="str">
        <f>TEXT(Table1[[#This Row],[Order_Date]],"dddd")</f>
        <v>Friday</v>
      </c>
      <c r="F1151" s="4">
        <f t="shared" si="205"/>
        <v>7</v>
      </c>
      <c r="G1151" t="str">
        <f t="shared" si="208"/>
        <v>July</v>
      </c>
      <c r="H1151">
        <f t="shared" si="209"/>
        <v>2024</v>
      </c>
      <c r="I1151" t="str">
        <f t="shared" si="210"/>
        <v>2024-Q3</v>
      </c>
      <c r="J1151" t="s">
        <v>44</v>
      </c>
      <c r="K1151" t="s">
        <v>6154</v>
      </c>
      <c r="L1151" t="s">
        <v>6155</v>
      </c>
      <c r="M1151" t="s">
        <v>47</v>
      </c>
      <c r="N1151" t="s">
        <v>25</v>
      </c>
      <c r="O1151" t="s">
        <v>255</v>
      </c>
      <c r="P1151" t="s">
        <v>143</v>
      </c>
      <c r="Q1151" t="s">
        <v>87</v>
      </c>
      <c r="R1151" t="s">
        <v>6156</v>
      </c>
      <c r="S1151" t="s">
        <v>30</v>
      </c>
      <c r="T1151" t="s">
        <v>41</v>
      </c>
      <c r="U1151" t="s">
        <v>6157</v>
      </c>
      <c r="V1151" s="3">
        <v>2276.46</v>
      </c>
      <c r="W1151" s="4">
        <v>2</v>
      </c>
      <c r="X1151" s="2">
        <v>0.4</v>
      </c>
      <c r="Y1151" s="3">
        <v>191.06</v>
      </c>
      <c r="Z1151" t="str">
        <f t="shared" si="206"/>
        <v>Normal</v>
      </c>
      <c r="AA1151" t="str">
        <f t="shared" si="207"/>
        <v>High</v>
      </c>
      <c r="AB1151" t="str">
        <f t="shared" si="211"/>
        <v>Low Profit</v>
      </c>
      <c r="AC1151" s="3">
        <f t="shared" si="212"/>
        <v>8.3928555740052535E-2</v>
      </c>
      <c r="AD1151" s="3">
        <f t="shared" si="213"/>
        <v>1138.23</v>
      </c>
      <c r="AE1151" s="3">
        <f t="shared" si="214"/>
        <v>95.53</v>
      </c>
      <c r="AF1151" t="str">
        <f t="shared" si="215"/>
        <v>Regular</v>
      </c>
    </row>
    <row r="1152" spans="1:32" x14ac:dyDescent="0.25">
      <c r="A1152" t="s">
        <v>6485</v>
      </c>
      <c r="B1152" s="1">
        <v>45485</v>
      </c>
      <c r="C1152" s="1">
        <v>45491</v>
      </c>
      <c r="D1152" s="4">
        <f t="shared" si="204"/>
        <v>6</v>
      </c>
      <c r="E1152" s="4" t="str">
        <f>TEXT(Table1[[#This Row],[Order_Date]],"dddd")</f>
        <v>Friday</v>
      </c>
      <c r="F1152" s="4">
        <f t="shared" si="205"/>
        <v>7</v>
      </c>
      <c r="G1152" t="str">
        <f t="shared" si="208"/>
        <v>July</v>
      </c>
      <c r="H1152">
        <f t="shared" si="209"/>
        <v>2024</v>
      </c>
      <c r="I1152" t="str">
        <f t="shared" si="210"/>
        <v>2024-Q3</v>
      </c>
      <c r="J1152" t="s">
        <v>21</v>
      </c>
      <c r="K1152" t="s">
        <v>6486</v>
      </c>
      <c r="L1152" t="s">
        <v>6487</v>
      </c>
      <c r="M1152" t="s">
        <v>36</v>
      </c>
      <c r="N1152" t="s">
        <v>25</v>
      </c>
      <c r="O1152" t="s">
        <v>73</v>
      </c>
      <c r="P1152" t="s">
        <v>74</v>
      </c>
      <c r="Q1152" t="s">
        <v>87</v>
      </c>
      <c r="R1152" t="s">
        <v>6488</v>
      </c>
      <c r="S1152" t="s">
        <v>59</v>
      </c>
      <c r="T1152" t="s">
        <v>101</v>
      </c>
      <c r="U1152" t="s">
        <v>6489</v>
      </c>
      <c r="V1152" s="3">
        <v>4955.71</v>
      </c>
      <c r="W1152" s="4">
        <v>4</v>
      </c>
      <c r="X1152" s="2">
        <v>0.3</v>
      </c>
      <c r="Y1152" s="3">
        <v>1473.63</v>
      </c>
      <c r="Z1152" t="str">
        <f t="shared" si="206"/>
        <v>Outlier</v>
      </c>
      <c r="AA1152" t="str">
        <f t="shared" si="207"/>
        <v>High</v>
      </c>
      <c r="AB1152" t="str">
        <f t="shared" si="211"/>
        <v>High Profit</v>
      </c>
      <c r="AC1152" s="3">
        <f t="shared" si="212"/>
        <v>0.29736001501298504</v>
      </c>
      <c r="AD1152" s="3">
        <f t="shared" si="213"/>
        <v>1238.9275</v>
      </c>
      <c r="AE1152" s="3">
        <f t="shared" si="214"/>
        <v>368.40750000000003</v>
      </c>
      <c r="AF1152" t="str">
        <f t="shared" si="215"/>
        <v>Regular</v>
      </c>
    </row>
    <row r="1153" spans="1:32" x14ac:dyDescent="0.25">
      <c r="A1153" t="s">
        <v>4302</v>
      </c>
      <c r="B1153" s="1">
        <v>45486</v>
      </c>
      <c r="C1153" s="1">
        <v>45492</v>
      </c>
      <c r="D1153" s="4">
        <f t="shared" si="204"/>
        <v>6</v>
      </c>
      <c r="E1153" s="4" t="str">
        <f>TEXT(Table1[[#This Row],[Order_Date]],"dddd")</f>
        <v>Saturday</v>
      </c>
      <c r="F1153" s="4">
        <f t="shared" si="205"/>
        <v>7</v>
      </c>
      <c r="G1153" t="str">
        <f t="shared" si="208"/>
        <v>July</v>
      </c>
      <c r="H1153">
        <f t="shared" si="209"/>
        <v>2024</v>
      </c>
      <c r="I1153" t="str">
        <f t="shared" si="210"/>
        <v>2024-Q3</v>
      </c>
      <c r="J1153" t="s">
        <v>44</v>
      </c>
      <c r="K1153" t="s">
        <v>4303</v>
      </c>
      <c r="L1153" t="s">
        <v>4304</v>
      </c>
      <c r="M1153" t="s">
        <v>47</v>
      </c>
      <c r="N1153" t="s">
        <v>25</v>
      </c>
      <c r="O1153" t="s">
        <v>119</v>
      </c>
      <c r="P1153" t="s">
        <v>120</v>
      </c>
      <c r="Q1153" t="s">
        <v>39</v>
      </c>
      <c r="R1153" t="s">
        <v>4305</v>
      </c>
      <c r="S1153" t="s">
        <v>59</v>
      </c>
      <c r="T1153" t="s">
        <v>303</v>
      </c>
      <c r="U1153" t="s">
        <v>4306</v>
      </c>
      <c r="V1153" s="3">
        <v>4281.07</v>
      </c>
      <c r="W1153" s="4">
        <v>5</v>
      </c>
      <c r="X1153" s="2">
        <v>0</v>
      </c>
      <c r="Y1153" s="3">
        <v>1190.98</v>
      </c>
      <c r="Z1153" t="str">
        <f t="shared" si="206"/>
        <v>Outlier</v>
      </c>
      <c r="AA1153" t="str">
        <f t="shared" si="207"/>
        <v>Low</v>
      </c>
      <c r="AB1153" t="str">
        <f t="shared" si="211"/>
        <v>High Profit</v>
      </c>
      <c r="AC1153" s="3">
        <f t="shared" si="212"/>
        <v>0.27819680593870227</v>
      </c>
      <c r="AD1153" s="3">
        <f t="shared" si="213"/>
        <v>856.21399999999994</v>
      </c>
      <c r="AE1153" s="3">
        <f t="shared" si="214"/>
        <v>238.196</v>
      </c>
      <c r="AF1153" t="str">
        <f t="shared" si="215"/>
        <v>Regular</v>
      </c>
    </row>
    <row r="1154" spans="1:32" x14ac:dyDescent="0.25">
      <c r="A1154" t="s">
        <v>5637</v>
      </c>
      <c r="B1154" s="1">
        <v>45486</v>
      </c>
      <c r="C1154" s="1">
        <v>45493</v>
      </c>
      <c r="D1154" s="4">
        <f t="shared" ref="D1154:D1217" si="216">C1154-B1154</f>
        <v>7</v>
      </c>
      <c r="E1154" s="4" t="str">
        <f>TEXT(Table1[[#This Row],[Order_Date]],"dddd")</f>
        <v>Saturday</v>
      </c>
      <c r="F1154" s="4">
        <f t="shared" ref="F1154:F1217" si="217">MONTH(B1154)</f>
        <v>7</v>
      </c>
      <c r="G1154" t="str">
        <f t="shared" si="208"/>
        <v>July</v>
      </c>
      <c r="H1154">
        <f t="shared" si="209"/>
        <v>2024</v>
      </c>
      <c r="I1154" t="str">
        <f t="shared" si="210"/>
        <v>2024-Q3</v>
      </c>
      <c r="J1154" t="s">
        <v>55</v>
      </c>
      <c r="K1154" t="s">
        <v>5638</v>
      </c>
      <c r="L1154" t="s">
        <v>5639</v>
      </c>
      <c r="M1154" t="s">
        <v>36</v>
      </c>
      <c r="N1154" t="s">
        <v>25</v>
      </c>
      <c r="O1154" t="s">
        <v>99</v>
      </c>
      <c r="P1154" t="s">
        <v>74</v>
      </c>
      <c r="Q1154" t="s">
        <v>39</v>
      </c>
      <c r="R1154" t="s">
        <v>5640</v>
      </c>
      <c r="S1154" t="s">
        <v>59</v>
      </c>
      <c r="T1154" t="s">
        <v>60</v>
      </c>
      <c r="U1154" t="s">
        <v>5641</v>
      </c>
      <c r="V1154" s="3">
        <v>4815.3900000000003</v>
      </c>
      <c r="W1154" s="4">
        <v>4</v>
      </c>
      <c r="X1154" s="2">
        <v>0.1</v>
      </c>
      <c r="Y1154" s="3">
        <v>-70.34</v>
      </c>
      <c r="Z1154" t="str">
        <f t="shared" ref="Z1154:Z1217" si="218">IF(OR(Y1154&lt;-800.884,Y1154&gt;1030.126),"Outlier","Normal")</f>
        <v>Normal</v>
      </c>
      <c r="AA1154" t="str">
        <f t="shared" ref="AA1154:AA1217" si="219">IF(X1154&lt;10%,"Low",IF(X1154&lt;0.2,"Medium","High"))</f>
        <v>Medium</v>
      </c>
      <c r="AB1154" t="str">
        <f t="shared" si="211"/>
        <v>Loss</v>
      </c>
      <c r="AC1154" s="3">
        <f t="shared" si="212"/>
        <v>-1.4607331908734287E-2</v>
      </c>
      <c r="AD1154" s="3">
        <f t="shared" si="213"/>
        <v>1203.8475000000001</v>
      </c>
      <c r="AE1154" s="3">
        <f t="shared" si="214"/>
        <v>-17.585000000000001</v>
      </c>
      <c r="AF1154" t="str">
        <f t="shared" si="215"/>
        <v>Regular</v>
      </c>
    </row>
    <row r="1155" spans="1:32" x14ac:dyDescent="0.25">
      <c r="A1155" t="s">
        <v>1362</v>
      </c>
      <c r="B1155" s="1">
        <v>45486</v>
      </c>
      <c r="C1155" s="1">
        <v>45489</v>
      </c>
      <c r="D1155" s="4">
        <f t="shared" si="216"/>
        <v>3</v>
      </c>
      <c r="E1155" s="4" t="str">
        <f>TEXT(Table1[[#This Row],[Order_Date]],"dddd")</f>
        <v>Saturday</v>
      </c>
      <c r="F1155" s="4">
        <f t="shared" si="217"/>
        <v>7</v>
      </c>
      <c r="G1155" t="str">
        <f t="shared" ref="G1155:G1218" si="220">TEXT(B1155,"mmmm")</f>
        <v>July</v>
      </c>
      <c r="H1155">
        <f t="shared" ref="H1155:H1218" si="221">YEAR(B1155)</f>
        <v>2024</v>
      </c>
      <c r="I1155" t="str">
        <f t="shared" ref="I1155:I1218" si="222">H1155 &amp; "-Q" &amp; INT((MONTH(B1155)+2)/3)</f>
        <v>2024-Q3</v>
      </c>
      <c r="J1155" t="s">
        <v>104</v>
      </c>
      <c r="K1155" t="s">
        <v>7402</v>
      </c>
      <c r="L1155" t="s">
        <v>1363</v>
      </c>
      <c r="M1155" t="s">
        <v>36</v>
      </c>
      <c r="N1155" t="s">
        <v>25</v>
      </c>
      <c r="O1155" t="s">
        <v>227</v>
      </c>
      <c r="P1155" t="s">
        <v>49</v>
      </c>
      <c r="Q1155" t="s">
        <v>28</v>
      </c>
      <c r="R1155" t="s">
        <v>1364</v>
      </c>
      <c r="S1155" t="s">
        <v>30</v>
      </c>
      <c r="T1155" t="s">
        <v>82</v>
      </c>
      <c r="U1155" t="s">
        <v>1365</v>
      </c>
      <c r="V1155" s="3">
        <v>1007.93</v>
      </c>
      <c r="W1155" s="4">
        <v>1</v>
      </c>
      <c r="X1155" s="2">
        <v>0.3</v>
      </c>
      <c r="Y1155" s="3">
        <v>-187.5</v>
      </c>
      <c r="Z1155" t="str">
        <f t="shared" si="218"/>
        <v>Normal</v>
      </c>
      <c r="AA1155" t="str">
        <f t="shared" si="219"/>
        <v>High</v>
      </c>
      <c r="AB1155" t="str">
        <f t="shared" ref="AB1155:AB1218" si="223">IF(Y1155&lt;0, "Loss", IF(Y1155&lt;500,"Low Profit", "High Profit"))</f>
        <v>Loss</v>
      </c>
      <c r="AC1155" s="3">
        <f t="shared" ref="AC1155:AC1218" si="224">Y1155/V1155</f>
        <v>-0.18602482315240146</v>
      </c>
      <c r="AD1155" s="3">
        <f t="shared" ref="AD1155:AD1218" si="225">V1155/W1155</f>
        <v>1007.93</v>
      </c>
      <c r="AE1155" s="3">
        <f t="shared" ref="AE1155:AE1218" si="226">Y1155/W1155</f>
        <v>-187.5</v>
      </c>
      <c r="AF1155" t="str">
        <f t="shared" ref="AF1155:AF1218" si="227">IF(V1155&gt;5000,"High value", "Regular")</f>
        <v>Regular</v>
      </c>
    </row>
    <row r="1156" spans="1:32" x14ac:dyDescent="0.25">
      <c r="A1156" t="s">
        <v>3234</v>
      </c>
      <c r="B1156" s="1">
        <v>45487</v>
      </c>
      <c r="C1156" s="1">
        <v>45490</v>
      </c>
      <c r="D1156" s="4">
        <f t="shared" si="216"/>
        <v>3</v>
      </c>
      <c r="E1156" s="4" t="str">
        <f>TEXT(Table1[[#This Row],[Order_Date]],"dddd")</f>
        <v>Sunday</v>
      </c>
      <c r="F1156" s="4">
        <f t="shared" si="217"/>
        <v>7</v>
      </c>
      <c r="G1156" t="str">
        <f t="shared" si="220"/>
        <v>July</v>
      </c>
      <c r="H1156">
        <f t="shared" si="221"/>
        <v>2024</v>
      </c>
      <c r="I1156" t="str">
        <f t="shared" si="222"/>
        <v>2024-Q3</v>
      </c>
      <c r="J1156" t="s">
        <v>104</v>
      </c>
      <c r="K1156" t="s">
        <v>3235</v>
      </c>
      <c r="L1156" t="s">
        <v>3236</v>
      </c>
      <c r="M1156" t="s">
        <v>36</v>
      </c>
      <c r="N1156" t="s">
        <v>25</v>
      </c>
      <c r="O1156" t="s">
        <v>48</v>
      </c>
      <c r="P1156" t="s">
        <v>49</v>
      </c>
      <c r="Q1156" t="s">
        <v>87</v>
      </c>
      <c r="R1156" t="s">
        <v>3237</v>
      </c>
      <c r="S1156" t="s">
        <v>30</v>
      </c>
      <c r="T1156" t="s">
        <v>68</v>
      </c>
      <c r="U1156" t="s">
        <v>1990</v>
      </c>
      <c r="V1156" s="3">
        <v>1753.03</v>
      </c>
      <c r="W1156" s="4">
        <v>3</v>
      </c>
      <c r="X1156" s="2">
        <v>0</v>
      </c>
      <c r="Y1156" s="3">
        <v>519.03</v>
      </c>
      <c r="Z1156" t="str">
        <f t="shared" si="218"/>
        <v>Normal</v>
      </c>
      <c r="AA1156" t="str">
        <f t="shared" si="219"/>
        <v>Low</v>
      </c>
      <c r="AB1156" t="str">
        <f t="shared" si="223"/>
        <v>High Profit</v>
      </c>
      <c r="AC1156" s="3">
        <f t="shared" si="224"/>
        <v>0.29607593709177821</v>
      </c>
      <c r="AD1156" s="3">
        <f t="shared" si="225"/>
        <v>584.34333333333336</v>
      </c>
      <c r="AE1156" s="3">
        <f t="shared" si="226"/>
        <v>173.01</v>
      </c>
      <c r="AF1156" t="str">
        <f t="shared" si="227"/>
        <v>Regular</v>
      </c>
    </row>
    <row r="1157" spans="1:32" x14ac:dyDescent="0.25">
      <c r="A1157" t="s">
        <v>3146</v>
      </c>
      <c r="B1157" s="1">
        <v>45488</v>
      </c>
      <c r="C1157" s="1">
        <v>45492</v>
      </c>
      <c r="D1157" s="4">
        <f t="shared" si="216"/>
        <v>4</v>
      </c>
      <c r="E1157" s="4" t="str">
        <f>TEXT(Table1[[#This Row],[Order_Date]],"dddd")</f>
        <v>Monday</v>
      </c>
      <c r="F1157" s="4">
        <f t="shared" si="217"/>
        <v>7</v>
      </c>
      <c r="G1157" t="str">
        <f t="shared" si="220"/>
        <v>July</v>
      </c>
      <c r="H1157">
        <f t="shared" si="221"/>
        <v>2024</v>
      </c>
      <c r="I1157" t="str">
        <f t="shared" si="222"/>
        <v>2024-Q3</v>
      </c>
      <c r="J1157" t="s">
        <v>21</v>
      </c>
      <c r="K1157" t="s">
        <v>3147</v>
      </c>
      <c r="L1157" t="s">
        <v>3148</v>
      </c>
      <c r="M1157" t="s">
        <v>47</v>
      </c>
      <c r="N1157" t="s">
        <v>25</v>
      </c>
      <c r="O1157" t="s">
        <v>233</v>
      </c>
      <c r="P1157" t="s">
        <v>163</v>
      </c>
      <c r="Q1157" t="s">
        <v>28</v>
      </c>
      <c r="R1157" t="s">
        <v>3149</v>
      </c>
      <c r="S1157" t="s">
        <v>51</v>
      </c>
      <c r="T1157" t="s">
        <v>94</v>
      </c>
      <c r="U1157" t="s">
        <v>3150</v>
      </c>
      <c r="V1157" s="3">
        <v>4831.78</v>
      </c>
      <c r="W1157" s="4">
        <v>1</v>
      </c>
      <c r="X1157" s="2">
        <v>0.4</v>
      </c>
      <c r="Y1157" s="3">
        <v>709.51</v>
      </c>
      <c r="Z1157" t="str">
        <f t="shared" si="218"/>
        <v>Normal</v>
      </c>
      <c r="AA1157" t="str">
        <f t="shared" si="219"/>
        <v>High</v>
      </c>
      <c r="AB1157" t="str">
        <f t="shared" si="223"/>
        <v>High Profit</v>
      </c>
      <c r="AC1157" s="3">
        <f t="shared" si="224"/>
        <v>0.14684236451162927</v>
      </c>
      <c r="AD1157" s="3">
        <f t="shared" si="225"/>
        <v>4831.78</v>
      </c>
      <c r="AE1157" s="3">
        <f t="shared" si="226"/>
        <v>709.51</v>
      </c>
      <c r="AF1157" t="str">
        <f t="shared" si="227"/>
        <v>Regular</v>
      </c>
    </row>
    <row r="1158" spans="1:32" x14ac:dyDescent="0.25">
      <c r="A1158" t="s">
        <v>6449</v>
      </c>
      <c r="B1158" s="1">
        <v>45488</v>
      </c>
      <c r="C1158" s="1">
        <v>45498</v>
      </c>
      <c r="D1158" s="4">
        <f t="shared" si="216"/>
        <v>10</v>
      </c>
      <c r="E1158" s="4" t="str">
        <f>TEXT(Table1[[#This Row],[Order_Date]],"dddd")</f>
        <v>Monday</v>
      </c>
      <c r="F1158" s="4">
        <f t="shared" si="217"/>
        <v>7</v>
      </c>
      <c r="G1158" t="str">
        <f t="shared" si="220"/>
        <v>July</v>
      </c>
      <c r="H1158">
        <f t="shared" si="221"/>
        <v>2024</v>
      </c>
      <c r="I1158" t="str">
        <f t="shared" si="222"/>
        <v>2024-Q3</v>
      </c>
      <c r="J1158" t="s">
        <v>55</v>
      </c>
      <c r="K1158" t="s">
        <v>6450</v>
      </c>
      <c r="L1158" t="s">
        <v>6451</v>
      </c>
      <c r="M1158" t="s">
        <v>47</v>
      </c>
      <c r="N1158" t="s">
        <v>25</v>
      </c>
      <c r="O1158" t="s">
        <v>65</v>
      </c>
      <c r="P1158" t="s">
        <v>27</v>
      </c>
      <c r="Q1158" t="s">
        <v>66</v>
      </c>
      <c r="R1158" t="s">
        <v>6452</v>
      </c>
      <c r="S1158" t="s">
        <v>30</v>
      </c>
      <c r="T1158" t="s">
        <v>31</v>
      </c>
      <c r="U1158" t="s">
        <v>3830</v>
      </c>
      <c r="V1158" s="3">
        <v>573.9</v>
      </c>
      <c r="W1158" s="4">
        <v>4</v>
      </c>
      <c r="X1158" s="2">
        <v>0.3</v>
      </c>
      <c r="Y1158" s="3">
        <v>-31.07</v>
      </c>
      <c r="Z1158" t="str">
        <f t="shared" si="218"/>
        <v>Normal</v>
      </c>
      <c r="AA1158" t="str">
        <f t="shared" si="219"/>
        <v>High</v>
      </c>
      <c r="AB1158" t="str">
        <f t="shared" si="223"/>
        <v>Loss</v>
      </c>
      <c r="AC1158" s="3">
        <f t="shared" si="224"/>
        <v>-5.4138351629203697E-2</v>
      </c>
      <c r="AD1158" s="3">
        <f t="shared" si="225"/>
        <v>143.47499999999999</v>
      </c>
      <c r="AE1158" s="3">
        <f t="shared" si="226"/>
        <v>-7.7675000000000001</v>
      </c>
      <c r="AF1158" t="str">
        <f t="shared" si="227"/>
        <v>Regular</v>
      </c>
    </row>
    <row r="1159" spans="1:32" x14ac:dyDescent="0.25">
      <c r="A1159" t="s">
        <v>723</v>
      </c>
      <c r="B1159" s="1">
        <v>45488</v>
      </c>
      <c r="C1159" s="1">
        <v>45497</v>
      </c>
      <c r="D1159" s="4">
        <f t="shared" si="216"/>
        <v>9</v>
      </c>
      <c r="E1159" s="4" t="str">
        <f>TEXT(Table1[[#This Row],[Order_Date]],"dddd")</f>
        <v>Monday</v>
      </c>
      <c r="F1159" s="4">
        <f t="shared" si="217"/>
        <v>7</v>
      </c>
      <c r="G1159" t="str">
        <f t="shared" si="220"/>
        <v>July</v>
      </c>
      <c r="H1159">
        <f t="shared" si="221"/>
        <v>2024</v>
      </c>
      <c r="I1159" t="str">
        <f t="shared" si="222"/>
        <v>2024-Q3</v>
      </c>
      <c r="J1159" t="s">
        <v>104</v>
      </c>
      <c r="K1159" t="s">
        <v>724</v>
      </c>
      <c r="L1159" t="s">
        <v>725</v>
      </c>
      <c r="M1159" t="s">
        <v>24</v>
      </c>
      <c r="N1159" t="s">
        <v>25</v>
      </c>
      <c r="O1159" t="s">
        <v>179</v>
      </c>
      <c r="P1159" t="s">
        <v>27</v>
      </c>
      <c r="Q1159" t="s">
        <v>66</v>
      </c>
      <c r="R1159" t="s">
        <v>726</v>
      </c>
      <c r="S1159" t="s">
        <v>30</v>
      </c>
      <c r="T1159" t="s">
        <v>41</v>
      </c>
      <c r="U1159" t="s">
        <v>727</v>
      </c>
      <c r="V1159" s="3">
        <v>4105.5600000000004</v>
      </c>
      <c r="W1159" s="4">
        <v>6</v>
      </c>
      <c r="X1159" s="2">
        <v>0</v>
      </c>
      <c r="Y1159" s="3">
        <v>946.84</v>
      </c>
      <c r="Z1159" t="str">
        <f t="shared" si="218"/>
        <v>Normal</v>
      </c>
      <c r="AA1159" t="str">
        <f t="shared" si="219"/>
        <v>Low</v>
      </c>
      <c r="AB1159" t="str">
        <f t="shared" si="223"/>
        <v>High Profit</v>
      </c>
      <c r="AC1159" s="3">
        <f t="shared" si="224"/>
        <v>0.23062383694307231</v>
      </c>
      <c r="AD1159" s="3">
        <f t="shared" si="225"/>
        <v>684.2600000000001</v>
      </c>
      <c r="AE1159" s="3">
        <f t="shared" si="226"/>
        <v>157.80666666666667</v>
      </c>
      <c r="AF1159" t="str">
        <f t="shared" si="227"/>
        <v>Regular</v>
      </c>
    </row>
    <row r="1160" spans="1:32" x14ac:dyDescent="0.25">
      <c r="A1160" t="s">
        <v>7319</v>
      </c>
      <c r="B1160" s="1">
        <v>45488</v>
      </c>
      <c r="C1160" s="1">
        <v>45491</v>
      </c>
      <c r="D1160" s="4">
        <f t="shared" si="216"/>
        <v>3</v>
      </c>
      <c r="E1160" s="4" t="str">
        <f>TEXT(Table1[[#This Row],[Order_Date]],"dddd")</f>
        <v>Monday</v>
      </c>
      <c r="F1160" s="4">
        <f t="shared" si="217"/>
        <v>7</v>
      </c>
      <c r="G1160" t="str">
        <f t="shared" si="220"/>
        <v>July</v>
      </c>
      <c r="H1160">
        <f t="shared" si="221"/>
        <v>2024</v>
      </c>
      <c r="I1160" t="str">
        <f t="shared" si="222"/>
        <v>2024-Q3</v>
      </c>
      <c r="J1160" t="s">
        <v>44</v>
      </c>
      <c r="K1160" t="s">
        <v>7320</v>
      </c>
      <c r="L1160" t="s">
        <v>7321</v>
      </c>
      <c r="M1160" t="s">
        <v>47</v>
      </c>
      <c r="N1160" t="s">
        <v>25</v>
      </c>
      <c r="O1160" t="s">
        <v>156</v>
      </c>
      <c r="P1160" t="s">
        <v>143</v>
      </c>
      <c r="Q1160" t="s">
        <v>66</v>
      </c>
      <c r="R1160" t="s">
        <v>7322</v>
      </c>
      <c r="S1160" t="s">
        <v>59</v>
      </c>
      <c r="T1160" t="s">
        <v>60</v>
      </c>
      <c r="U1160" t="s">
        <v>7323</v>
      </c>
      <c r="V1160" s="3">
        <v>1693.8</v>
      </c>
      <c r="W1160" s="4">
        <v>5</v>
      </c>
      <c r="X1160" s="2">
        <v>0</v>
      </c>
      <c r="Y1160" s="3">
        <v>109.07</v>
      </c>
      <c r="Z1160" t="str">
        <f t="shared" si="218"/>
        <v>Normal</v>
      </c>
      <c r="AA1160" t="str">
        <f t="shared" si="219"/>
        <v>Low</v>
      </c>
      <c r="AB1160" t="str">
        <f t="shared" si="223"/>
        <v>Low Profit</v>
      </c>
      <c r="AC1160" s="3">
        <f t="shared" si="224"/>
        <v>6.4393671035541389E-2</v>
      </c>
      <c r="AD1160" s="3">
        <f t="shared" si="225"/>
        <v>338.76</v>
      </c>
      <c r="AE1160" s="3">
        <f t="shared" si="226"/>
        <v>21.814</v>
      </c>
      <c r="AF1160" t="str">
        <f t="shared" si="227"/>
        <v>Regular</v>
      </c>
    </row>
    <row r="1161" spans="1:32" x14ac:dyDescent="0.25">
      <c r="A1161" t="s">
        <v>2884</v>
      </c>
      <c r="B1161" s="1">
        <v>45488</v>
      </c>
      <c r="C1161" s="1">
        <v>45498</v>
      </c>
      <c r="D1161" s="4">
        <f t="shared" si="216"/>
        <v>10</v>
      </c>
      <c r="E1161" s="4" t="str">
        <f>TEXT(Table1[[#This Row],[Order_Date]],"dddd")</f>
        <v>Monday</v>
      </c>
      <c r="F1161" s="4">
        <f t="shared" si="217"/>
        <v>7</v>
      </c>
      <c r="G1161" t="str">
        <f t="shared" si="220"/>
        <v>July</v>
      </c>
      <c r="H1161">
        <f t="shared" si="221"/>
        <v>2024</v>
      </c>
      <c r="I1161" t="str">
        <f t="shared" si="222"/>
        <v>2024-Q3</v>
      </c>
      <c r="J1161" t="s">
        <v>21</v>
      </c>
      <c r="K1161" t="s">
        <v>2885</v>
      </c>
      <c r="L1161" t="s">
        <v>2886</v>
      </c>
      <c r="M1161" t="s">
        <v>24</v>
      </c>
      <c r="N1161" t="s">
        <v>25</v>
      </c>
      <c r="O1161" t="s">
        <v>142</v>
      </c>
      <c r="P1161" t="s">
        <v>143</v>
      </c>
      <c r="Q1161" t="s">
        <v>39</v>
      </c>
      <c r="R1161" t="s">
        <v>2887</v>
      </c>
      <c r="S1161" t="s">
        <v>51</v>
      </c>
      <c r="T1161" t="s">
        <v>127</v>
      </c>
      <c r="U1161" t="s">
        <v>2888</v>
      </c>
      <c r="V1161" s="3">
        <v>719.63</v>
      </c>
      <c r="W1161" s="4">
        <v>4</v>
      </c>
      <c r="X1161" s="2">
        <v>0</v>
      </c>
      <c r="Y1161" s="3">
        <v>78.03</v>
      </c>
      <c r="Z1161" t="str">
        <f t="shared" si="218"/>
        <v>Normal</v>
      </c>
      <c r="AA1161" t="str">
        <f t="shared" si="219"/>
        <v>Low</v>
      </c>
      <c r="AB1161" t="str">
        <f t="shared" si="223"/>
        <v>Low Profit</v>
      </c>
      <c r="AC1161" s="3">
        <f t="shared" si="224"/>
        <v>0.10843072134291233</v>
      </c>
      <c r="AD1161" s="3">
        <f t="shared" si="225"/>
        <v>179.9075</v>
      </c>
      <c r="AE1161" s="3">
        <f t="shared" si="226"/>
        <v>19.5075</v>
      </c>
      <c r="AF1161" t="str">
        <f t="shared" si="227"/>
        <v>Regular</v>
      </c>
    </row>
    <row r="1162" spans="1:32" x14ac:dyDescent="0.25">
      <c r="A1162" t="s">
        <v>971</v>
      </c>
      <c r="B1162" s="1">
        <v>45490</v>
      </c>
      <c r="C1162" s="1">
        <v>45497</v>
      </c>
      <c r="D1162" s="4">
        <f t="shared" si="216"/>
        <v>7</v>
      </c>
      <c r="E1162" s="4" t="str">
        <f>TEXT(Table1[[#This Row],[Order_Date]],"dddd")</f>
        <v>Wednesday</v>
      </c>
      <c r="F1162" s="4">
        <f t="shared" si="217"/>
        <v>7</v>
      </c>
      <c r="G1162" t="str">
        <f t="shared" si="220"/>
        <v>July</v>
      </c>
      <c r="H1162">
        <f t="shared" si="221"/>
        <v>2024</v>
      </c>
      <c r="I1162" t="str">
        <f t="shared" si="222"/>
        <v>2024-Q3</v>
      </c>
      <c r="J1162" t="s">
        <v>55</v>
      </c>
      <c r="K1162" t="s">
        <v>972</v>
      </c>
      <c r="L1162" t="s">
        <v>973</v>
      </c>
      <c r="M1162" t="s">
        <v>47</v>
      </c>
      <c r="N1162" t="s">
        <v>25</v>
      </c>
      <c r="O1162" t="s">
        <v>80</v>
      </c>
      <c r="P1162" t="s">
        <v>49</v>
      </c>
      <c r="Q1162" t="s">
        <v>66</v>
      </c>
      <c r="R1162" t="s">
        <v>974</v>
      </c>
      <c r="S1162" t="s">
        <v>30</v>
      </c>
      <c r="T1162" t="s">
        <v>82</v>
      </c>
      <c r="U1162" t="s">
        <v>975</v>
      </c>
      <c r="V1162" s="3">
        <v>2442.4</v>
      </c>
      <c r="W1162" s="4">
        <v>2</v>
      </c>
      <c r="X1162" s="2">
        <v>0.4</v>
      </c>
      <c r="Y1162" s="3">
        <v>335.86</v>
      </c>
      <c r="Z1162" t="str">
        <f t="shared" si="218"/>
        <v>Normal</v>
      </c>
      <c r="AA1162" t="str">
        <f t="shared" si="219"/>
        <v>High</v>
      </c>
      <c r="AB1162" t="str">
        <f t="shared" si="223"/>
        <v>Low Profit</v>
      </c>
      <c r="AC1162" s="3">
        <f t="shared" si="224"/>
        <v>0.13751228300032756</v>
      </c>
      <c r="AD1162" s="3">
        <f t="shared" si="225"/>
        <v>1221.2</v>
      </c>
      <c r="AE1162" s="3">
        <f t="shared" si="226"/>
        <v>167.93</v>
      </c>
      <c r="AF1162" t="str">
        <f t="shared" si="227"/>
        <v>Regular</v>
      </c>
    </row>
    <row r="1163" spans="1:32" x14ac:dyDescent="0.25">
      <c r="A1163" t="s">
        <v>3238</v>
      </c>
      <c r="B1163" s="1">
        <v>45490</v>
      </c>
      <c r="C1163" s="1">
        <v>45496</v>
      </c>
      <c r="D1163" s="4">
        <f t="shared" si="216"/>
        <v>6</v>
      </c>
      <c r="E1163" s="4" t="str">
        <f>TEXT(Table1[[#This Row],[Order_Date]],"dddd")</f>
        <v>Wednesday</v>
      </c>
      <c r="F1163" s="4">
        <f t="shared" si="217"/>
        <v>7</v>
      </c>
      <c r="G1163" t="str">
        <f t="shared" si="220"/>
        <v>July</v>
      </c>
      <c r="H1163">
        <f t="shared" si="221"/>
        <v>2024</v>
      </c>
      <c r="I1163" t="str">
        <f t="shared" si="222"/>
        <v>2024-Q3</v>
      </c>
      <c r="J1163" t="s">
        <v>55</v>
      </c>
      <c r="K1163" t="s">
        <v>3239</v>
      </c>
      <c r="L1163" t="s">
        <v>3240</v>
      </c>
      <c r="M1163" t="s">
        <v>24</v>
      </c>
      <c r="N1163" t="s">
        <v>25</v>
      </c>
      <c r="O1163" t="s">
        <v>149</v>
      </c>
      <c r="P1163" t="s">
        <v>113</v>
      </c>
      <c r="Q1163" t="s">
        <v>28</v>
      </c>
      <c r="R1163" t="s">
        <v>3241</v>
      </c>
      <c r="S1163" t="s">
        <v>30</v>
      </c>
      <c r="T1163" t="s">
        <v>82</v>
      </c>
      <c r="U1163" t="s">
        <v>3242</v>
      </c>
      <c r="V1163" s="3">
        <v>1995.67</v>
      </c>
      <c r="W1163" s="4">
        <v>8</v>
      </c>
      <c r="X1163" s="2">
        <v>0.4</v>
      </c>
      <c r="Y1163" s="3">
        <v>553.69000000000005</v>
      </c>
      <c r="Z1163" t="str">
        <f t="shared" si="218"/>
        <v>Normal</v>
      </c>
      <c r="AA1163" t="str">
        <f t="shared" si="219"/>
        <v>High</v>
      </c>
      <c r="AB1163" t="str">
        <f t="shared" si="223"/>
        <v>High Profit</v>
      </c>
      <c r="AC1163" s="3">
        <f t="shared" si="224"/>
        <v>0.27744566987528002</v>
      </c>
      <c r="AD1163" s="3">
        <f t="shared" si="225"/>
        <v>249.45875000000001</v>
      </c>
      <c r="AE1163" s="3">
        <f t="shared" si="226"/>
        <v>69.211250000000007</v>
      </c>
      <c r="AF1163" t="str">
        <f t="shared" si="227"/>
        <v>Regular</v>
      </c>
    </row>
    <row r="1164" spans="1:32" x14ac:dyDescent="0.25">
      <c r="A1164" t="s">
        <v>6577</v>
      </c>
      <c r="B1164" s="1">
        <v>45490</v>
      </c>
      <c r="C1164" s="1">
        <f>B1164+5</f>
        <v>45495</v>
      </c>
      <c r="D1164" s="4">
        <f t="shared" si="216"/>
        <v>5</v>
      </c>
      <c r="E1164" s="4" t="str">
        <f>TEXT(Table1[[#This Row],[Order_Date]],"dddd")</f>
        <v>Wednesday</v>
      </c>
      <c r="F1164" s="4">
        <f t="shared" si="217"/>
        <v>7</v>
      </c>
      <c r="G1164" t="str">
        <f t="shared" si="220"/>
        <v>July</v>
      </c>
      <c r="H1164">
        <f t="shared" si="221"/>
        <v>2024</v>
      </c>
      <c r="I1164" t="str">
        <f t="shared" si="222"/>
        <v>2024-Q3</v>
      </c>
      <c r="J1164" t="s">
        <v>104</v>
      </c>
      <c r="K1164" t="s">
        <v>6578</v>
      </c>
      <c r="L1164" t="s">
        <v>6579</v>
      </c>
      <c r="M1164" t="s">
        <v>24</v>
      </c>
      <c r="N1164" t="s">
        <v>25</v>
      </c>
      <c r="O1164" t="s">
        <v>149</v>
      </c>
      <c r="P1164" t="s">
        <v>113</v>
      </c>
      <c r="Q1164" t="s">
        <v>28</v>
      </c>
      <c r="R1164" t="s">
        <v>6580</v>
      </c>
      <c r="S1164" t="s">
        <v>59</v>
      </c>
      <c r="T1164" t="s">
        <v>101</v>
      </c>
      <c r="U1164" t="s">
        <v>3120</v>
      </c>
      <c r="V1164" s="3">
        <v>2396.19</v>
      </c>
      <c r="W1164" s="4">
        <v>6</v>
      </c>
      <c r="X1164" s="2">
        <v>0.4</v>
      </c>
      <c r="Y1164" s="3">
        <v>201.5</v>
      </c>
      <c r="Z1164" t="str">
        <f t="shared" si="218"/>
        <v>Normal</v>
      </c>
      <c r="AA1164" t="str">
        <f t="shared" si="219"/>
        <v>High</v>
      </c>
      <c r="AB1164" t="str">
        <f t="shared" si="223"/>
        <v>Low Profit</v>
      </c>
      <c r="AC1164" s="3">
        <f t="shared" si="224"/>
        <v>8.409182911204871E-2</v>
      </c>
      <c r="AD1164" s="3">
        <f t="shared" si="225"/>
        <v>399.36500000000001</v>
      </c>
      <c r="AE1164" s="3">
        <f t="shared" si="226"/>
        <v>33.583333333333336</v>
      </c>
      <c r="AF1164" t="str">
        <f t="shared" si="227"/>
        <v>Regular</v>
      </c>
    </row>
    <row r="1165" spans="1:32" x14ac:dyDescent="0.25">
      <c r="A1165" t="s">
        <v>62</v>
      </c>
      <c r="B1165" s="1">
        <v>45492</v>
      </c>
      <c r="C1165" s="1">
        <v>45499</v>
      </c>
      <c r="D1165" s="4">
        <f t="shared" si="216"/>
        <v>7</v>
      </c>
      <c r="E1165" s="4" t="str">
        <f>TEXT(Table1[[#This Row],[Order_Date]],"dddd")</f>
        <v>Friday</v>
      </c>
      <c r="F1165" s="4">
        <f t="shared" si="217"/>
        <v>7</v>
      </c>
      <c r="G1165" t="str">
        <f t="shared" si="220"/>
        <v>July</v>
      </c>
      <c r="H1165">
        <f t="shared" si="221"/>
        <v>2024</v>
      </c>
      <c r="I1165" t="str">
        <f t="shared" si="222"/>
        <v>2024-Q3</v>
      </c>
      <c r="J1165" t="s">
        <v>44</v>
      </c>
      <c r="K1165" t="s">
        <v>63</v>
      </c>
      <c r="L1165" t="s">
        <v>64</v>
      </c>
      <c r="M1165" t="s">
        <v>24</v>
      </c>
      <c r="N1165" t="s">
        <v>25</v>
      </c>
      <c r="O1165" t="s">
        <v>65</v>
      </c>
      <c r="P1165" t="s">
        <v>27</v>
      </c>
      <c r="Q1165" t="s">
        <v>66</v>
      </c>
      <c r="R1165" t="s">
        <v>67</v>
      </c>
      <c r="S1165" t="s">
        <v>30</v>
      </c>
      <c r="T1165" t="s">
        <v>68</v>
      </c>
      <c r="U1165" t="s">
        <v>69</v>
      </c>
      <c r="V1165" s="3">
        <v>4101.6099999999997</v>
      </c>
      <c r="W1165" s="4">
        <v>2</v>
      </c>
      <c r="X1165" s="2">
        <v>0.4</v>
      </c>
      <c r="Y1165" s="3">
        <v>344.17</v>
      </c>
      <c r="Z1165" t="str">
        <f t="shared" si="218"/>
        <v>Normal</v>
      </c>
      <c r="AA1165" t="str">
        <f t="shared" si="219"/>
        <v>High</v>
      </c>
      <c r="AB1165" t="str">
        <f t="shared" si="223"/>
        <v>Low Profit</v>
      </c>
      <c r="AC1165" s="3">
        <f t="shared" si="224"/>
        <v>8.3910952040783998E-2</v>
      </c>
      <c r="AD1165" s="3">
        <f t="shared" si="225"/>
        <v>2050.8049999999998</v>
      </c>
      <c r="AE1165" s="3">
        <f t="shared" si="226"/>
        <v>172.08500000000001</v>
      </c>
      <c r="AF1165" t="str">
        <f t="shared" si="227"/>
        <v>Regular</v>
      </c>
    </row>
    <row r="1166" spans="1:32" x14ac:dyDescent="0.25">
      <c r="A1166" t="s">
        <v>3362</v>
      </c>
      <c r="B1166" s="1">
        <v>45492</v>
      </c>
      <c r="C1166" s="1">
        <v>45498</v>
      </c>
      <c r="D1166" s="4">
        <f t="shared" si="216"/>
        <v>6</v>
      </c>
      <c r="E1166" s="4" t="str">
        <f>TEXT(Table1[[#This Row],[Order_Date]],"dddd")</f>
        <v>Friday</v>
      </c>
      <c r="F1166" s="4">
        <f t="shared" si="217"/>
        <v>7</v>
      </c>
      <c r="G1166" t="str">
        <f t="shared" si="220"/>
        <v>July</v>
      </c>
      <c r="H1166">
        <f t="shared" si="221"/>
        <v>2024</v>
      </c>
      <c r="I1166" t="str">
        <f t="shared" si="222"/>
        <v>2024-Q3</v>
      </c>
      <c r="J1166" t="s">
        <v>44</v>
      </c>
      <c r="K1166" t="s">
        <v>3363</v>
      </c>
      <c r="L1166" t="s">
        <v>3364</v>
      </c>
      <c r="M1166" t="s">
        <v>36</v>
      </c>
      <c r="N1166" t="s">
        <v>25</v>
      </c>
      <c r="O1166" t="s">
        <v>142</v>
      </c>
      <c r="P1166" t="s">
        <v>143</v>
      </c>
      <c r="Q1166" t="s">
        <v>28</v>
      </c>
      <c r="R1166" t="s">
        <v>3365</v>
      </c>
      <c r="S1166" t="s">
        <v>30</v>
      </c>
      <c r="T1166" t="s">
        <v>68</v>
      </c>
      <c r="U1166" t="s">
        <v>3366</v>
      </c>
      <c r="V1166" s="3">
        <v>613.57000000000005</v>
      </c>
      <c r="W1166" s="4">
        <v>1</v>
      </c>
      <c r="X1166" s="2">
        <v>0.3</v>
      </c>
      <c r="Y1166" s="3">
        <v>-81</v>
      </c>
      <c r="Z1166" t="str">
        <f t="shared" si="218"/>
        <v>Normal</v>
      </c>
      <c r="AA1166" t="str">
        <f t="shared" si="219"/>
        <v>High</v>
      </c>
      <c r="AB1166" t="str">
        <f t="shared" si="223"/>
        <v>Loss</v>
      </c>
      <c r="AC1166" s="3">
        <f t="shared" si="224"/>
        <v>-0.13201427709959743</v>
      </c>
      <c r="AD1166" s="3">
        <f t="shared" si="225"/>
        <v>613.57000000000005</v>
      </c>
      <c r="AE1166" s="3">
        <f t="shared" si="226"/>
        <v>-81</v>
      </c>
      <c r="AF1166" t="str">
        <f t="shared" si="227"/>
        <v>Regular</v>
      </c>
    </row>
    <row r="1167" spans="1:32" x14ac:dyDescent="0.25">
      <c r="A1167" t="s">
        <v>2345</v>
      </c>
      <c r="B1167" s="1">
        <v>45492</v>
      </c>
      <c r="C1167" s="1">
        <v>45499</v>
      </c>
      <c r="D1167" s="4">
        <f t="shared" si="216"/>
        <v>7</v>
      </c>
      <c r="E1167" s="4" t="str">
        <f>TEXT(Table1[[#This Row],[Order_Date]],"dddd")</f>
        <v>Friday</v>
      </c>
      <c r="F1167" s="4">
        <f t="shared" si="217"/>
        <v>7</v>
      </c>
      <c r="G1167" t="str">
        <f t="shared" si="220"/>
        <v>July</v>
      </c>
      <c r="H1167">
        <f t="shared" si="221"/>
        <v>2024</v>
      </c>
      <c r="I1167" t="str">
        <f t="shared" si="222"/>
        <v>2024-Q3</v>
      </c>
      <c r="J1167" t="s">
        <v>55</v>
      </c>
      <c r="K1167" t="s">
        <v>2346</v>
      </c>
      <c r="L1167" t="s">
        <v>2347</v>
      </c>
      <c r="M1167" t="s">
        <v>36</v>
      </c>
      <c r="N1167" t="s">
        <v>25</v>
      </c>
      <c r="O1167" t="s">
        <v>451</v>
      </c>
      <c r="P1167" t="s">
        <v>38</v>
      </c>
      <c r="Q1167" t="s">
        <v>39</v>
      </c>
      <c r="R1167" t="s">
        <v>2348</v>
      </c>
      <c r="S1167" t="s">
        <v>59</v>
      </c>
      <c r="T1167" t="s">
        <v>277</v>
      </c>
      <c r="U1167" t="s">
        <v>2349</v>
      </c>
      <c r="V1167" s="3">
        <v>2294.19</v>
      </c>
      <c r="W1167" s="4">
        <v>4</v>
      </c>
      <c r="X1167" s="2">
        <v>0.4</v>
      </c>
      <c r="Y1167" s="3">
        <v>602.63</v>
      </c>
      <c r="Z1167" t="str">
        <f t="shared" si="218"/>
        <v>Normal</v>
      </c>
      <c r="AA1167" t="str">
        <f t="shared" si="219"/>
        <v>High</v>
      </c>
      <c r="AB1167" t="str">
        <f t="shared" si="223"/>
        <v>High Profit</v>
      </c>
      <c r="AC1167" s="3">
        <f t="shared" si="224"/>
        <v>0.26267658737942368</v>
      </c>
      <c r="AD1167" s="3">
        <f t="shared" si="225"/>
        <v>573.54750000000001</v>
      </c>
      <c r="AE1167" s="3">
        <f t="shared" si="226"/>
        <v>150.6575</v>
      </c>
      <c r="AF1167" t="str">
        <f t="shared" si="227"/>
        <v>Regular</v>
      </c>
    </row>
    <row r="1168" spans="1:32" x14ac:dyDescent="0.25">
      <c r="A1168" t="s">
        <v>5153</v>
      </c>
      <c r="B1168" s="1">
        <v>45492</v>
      </c>
      <c r="C1168" s="1">
        <v>45496</v>
      </c>
      <c r="D1168" s="4">
        <f t="shared" si="216"/>
        <v>4</v>
      </c>
      <c r="E1168" s="4" t="str">
        <f>TEXT(Table1[[#This Row],[Order_Date]],"dddd")</f>
        <v>Friday</v>
      </c>
      <c r="F1168" s="4">
        <f t="shared" si="217"/>
        <v>7</v>
      </c>
      <c r="G1168" t="str">
        <f t="shared" si="220"/>
        <v>July</v>
      </c>
      <c r="H1168">
        <f t="shared" si="221"/>
        <v>2024</v>
      </c>
      <c r="I1168" t="str">
        <f t="shared" si="222"/>
        <v>2024-Q3</v>
      </c>
      <c r="J1168" t="s">
        <v>55</v>
      </c>
      <c r="K1168" t="s">
        <v>5154</v>
      </c>
      <c r="L1168" t="s">
        <v>5155</v>
      </c>
      <c r="M1168" t="s">
        <v>24</v>
      </c>
      <c r="N1168" t="s">
        <v>25</v>
      </c>
      <c r="O1168" t="s">
        <v>227</v>
      </c>
      <c r="P1168" t="s">
        <v>49</v>
      </c>
      <c r="Q1168" t="s">
        <v>66</v>
      </c>
      <c r="R1168" t="s">
        <v>5156</v>
      </c>
      <c r="S1168" t="s">
        <v>30</v>
      </c>
      <c r="T1168" t="s">
        <v>82</v>
      </c>
      <c r="U1168" t="s">
        <v>5157</v>
      </c>
      <c r="V1168" s="3">
        <v>1070.83</v>
      </c>
      <c r="W1168" s="4">
        <v>9</v>
      </c>
      <c r="X1168" s="2">
        <v>0</v>
      </c>
      <c r="Y1168" s="3">
        <v>196.39</v>
      </c>
      <c r="Z1168" t="str">
        <f t="shared" si="218"/>
        <v>Normal</v>
      </c>
      <c r="AA1168" t="str">
        <f t="shared" si="219"/>
        <v>Low</v>
      </c>
      <c r="AB1168" t="str">
        <f t="shared" si="223"/>
        <v>Low Profit</v>
      </c>
      <c r="AC1168" s="3">
        <f t="shared" si="224"/>
        <v>0.18339979268417955</v>
      </c>
      <c r="AD1168" s="3">
        <f t="shared" si="225"/>
        <v>118.9811111111111</v>
      </c>
      <c r="AE1168" s="3">
        <f t="shared" si="226"/>
        <v>21.821111111111108</v>
      </c>
      <c r="AF1168" t="str">
        <f t="shared" si="227"/>
        <v>Regular</v>
      </c>
    </row>
    <row r="1169" spans="1:32" x14ac:dyDescent="0.25">
      <c r="A1169" t="s">
        <v>2607</v>
      </c>
      <c r="B1169" s="1">
        <v>45493</v>
      </c>
      <c r="C1169" s="1">
        <v>45499</v>
      </c>
      <c r="D1169" s="4">
        <f t="shared" si="216"/>
        <v>6</v>
      </c>
      <c r="E1169" s="4" t="str">
        <f>TEXT(Table1[[#This Row],[Order_Date]],"dddd")</f>
        <v>Saturday</v>
      </c>
      <c r="F1169" s="4">
        <f t="shared" si="217"/>
        <v>7</v>
      </c>
      <c r="G1169" t="str">
        <f t="shared" si="220"/>
        <v>July</v>
      </c>
      <c r="H1169">
        <f t="shared" si="221"/>
        <v>2024</v>
      </c>
      <c r="I1169" t="str">
        <f t="shared" si="222"/>
        <v>2024-Q3</v>
      </c>
      <c r="J1169" t="s">
        <v>104</v>
      </c>
      <c r="K1169" t="s">
        <v>2608</v>
      </c>
      <c r="L1169" t="s">
        <v>2609</v>
      </c>
      <c r="M1169" t="s">
        <v>36</v>
      </c>
      <c r="N1169" t="s">
        <v>25</v>
      </c>
      <c r="O1169" t="s">
        <v>255</v>
      </c>
      <c r="P1169" t="s">
        <v>143</v>
      </c>
      <c r="Q1169" t="s">
        <v>28</v>
      </c>
      <c r="R1169" t="s">
        <v>2610</v>
      </c>
      <c r="S1169" t="s">
        <v>59</v>
      </c>
      <c r="T1169" t="s">
        <v>60</v>
      </c>
      <c r="U1169" t="s">
        <v>2611</v>
      </c>
      <c r="V1169" s="3">
        <v>467.6</v>
      </c>
      <c r="W1169" s="4">
        <v>2</v>
      </c>
      <c r="X1169" s="2">
        <v>0</v>
      </c>
      <c r="Y1169" s="3">
        <v>7.71</v>
      </c>
      <c r="Z1169" t="str">
        <f t="shared" si="218"/>
        <v>Normal</v>
      </c>
      <c r="AA1169" t="str">
        <f t="shared" si="219"/>
        <v>Low</v>
      </c>
      <c r="AB1169" t="str">
        <f t="shared" si="223"/>
        <v>Low Profit</v>
      </c>
      <c r="AC1169" s="3">
        <f t="shared" si="224"/>
        <v>1.6488451668092385E-2</v>
      </c>
      <c r="AD1169" s="3">
        <f t="shared" si="225"/>
        <v>233.8</v>
      </c>
      <c r="AE1169" s="3">
        <f t="shared" si="226"/>
        <v>3.855</v>
      </c>
      <c r="AF1169" t="str">
        <f t="shared" si="227"/>
        <v>Regular</v>
      </c>
    </row>
    <row r="1170" spans="1:32" x14ac:dyDescent="0.25">
      <c r="A1170" t="s">
        <v>349</v>
      </c>
      <c r="B1170" s="1">
        <v>45493</v>
      </c>
      <c r="C1170" s="1">
        <v>45500</v>
      </c>
      <c r="D1170" s="4">
        <f t="shared" si="216"/>
        <v>7</v>
      </c>
      <c r="E1170" s="4" t="str">
        <f>TEXT(Table1[[#This Row],[Order_Date]],"dddd")</f>
        <v>Saturday</v>
      </c>
      <c r="F1170" s="4">
        <f t="shared" si="217"/>
        <v>7</v>
      </c>
      <c r="G1170" t="str">
        <f t="shared" si="220"/>
        <v>July</v>
      </c>
      <c r="H1170">
        <f t="shared" si="221"/>
        <v>2024</v>
      </c>
      <c r="I1170" t="str">
        <f t="shared" si="222"/>
        <v>2024-Q3</v>
      </c>
      <c r="J1170" t="s">
        <v>21</v>
      </c>
      <c r="K1170" t="s">
        <v>350</v>
      </c>
      <c r="L1170" t="s">
        <v>351</v>
      </c>
      <c r="M1170" t="s">
        <v>47</v>
      </c>
      <c r="N1170" t="s">
        <v>25</v>
      </c>
      <c r="O1170" t="s">
        <v>156</v>
      </c>
      <c r="P1170" t="s">
        <v>143</v>
      </c>
      <c r="Q1170" t="s">
        <v>28</v>
      </c>
      <c r="R1170" t="s">
        <v>352</v>
      </c>
      <c r="S1170" t="s">
        <v>59</v>
      </c>
      <c r="T1170" t="s">
        <v>60</v>
      </c>
      <c r="U1170" t="s">
        <v>353</v>
      </c>
      <c r="V1170" s="3">
        <v>3828.72</v>
      </c>
      <c r="W1170" s="4">
        <v>8</v>
      </c>
      <c r="X1170" s="2">
        <v>0.3</v>
      </c>
      <c r="Y1170" s="3">
        <v>-9.35</v>
      </c>
      <c r="Z1170" t="str">
        <f t="shared" si="218"/>
        <v>Normal</v>
      </c>
      <c r="AA1170" t="str">
        <f t="shared" si="219"/>
        <v>High</v>
      </c>
      <c r="AB1170" t="str">
        <f t="shared" si="223"/>
        <v>Loss</v>
      </c>
      <c r="AC1170" s="3">
        <f t="shared" si="224"/>
        <v>-2.4420694122317642E-3</v>
      </c>
      <c r="AD1170" s="3">
        <f t="shared" si="225"/>
        <v>478.59</v>
      </c>
      <c r="AE1170" s="3">
        <f t="shared" si="226"/>
        <v>-1.16875</v>
      </c>
      <c r="AF1170" t="str">
        <f t="shared" si="227"/>
        <v>Regular</v>
      </c>
    </row>
    <row r="1171" spans="1:32" x14ac:dyDescent="0.25">
      <c r="A1171" t="s">
        <v>3921</v>
      </c>
      <c r="B1171" s="1">
        <v>45493</v>
      </c>
      <c r="C1171" s="1">
        <v>45495</v>
      </c>
      <c r="D1171" s="4">
        <f t="shared" si="216"/>
        <v>2</v>
      </c>
      <c r="E1171" s="4" t="str">
        <f>TEXT(Table1[[#This Row],[Order_Date]],"dddd")</f>
        <v>Saturday</v>
      </c>
      <c r="F1171" s="4">
        <f t="shared" si="217"/>
        <v>7</v>
      </c>
      <c r="G1171" t="str">
        <f t="shared" si="220"/>
        <v>July</v>
      </c>
      <c r="H1171">
        <f t="shared" si="221"/>
        <v>2024</v>
      </c>
      <c r="I1171" t="str">
        <f t="shared" si="222"/>
        <v>2024-Q3</v>
      </c>
      <c r="J1171" t="s">
        <v>55</v>
      </c>
      <c r="K1171" t="s">
        <v>3922</v>
      </c>
      <c r="L1171" t="s">
        <v>3923</v>
      </c>
      <c r="M1171" t="s">
        <v>47</v>
      </c>
      <c r="N1171" t="s">
        <v>25</v>
      </c>
      <c r="O1171" t="s">
        <v>80</v>
      </c>
      <c r="P1171" t="s">
        <v>49</v>
      </c>
      <c r="Q1171" t="s">
        <v>28</v>
      </c>
      <c r="R1171" t="s">
        <v>3924</v>
      </c>
      <c r="S1171" t="s">
        <v>51</v>
      </c>
      <c r="T1171" t="s">
        <v>94</v>
      </c>
      <c r="U1171" t="s">
        <v>3925</v>
      </c>
      <c r="V1171" s="3">
        <v>347.93</v>
      </c>
      <c r="W1171" s="4">
        <v>2</v>
      </c>
      <c r="X1171" s="2">
        <v>0.3</v>
      </c>
      <c r="Y1171" s="3">
        <v>66.680000000000007</v>
      </c>
      <c r="Z1171" t="str">
        <f t="shared" si="218"/>
        <v>Normal</v>
      </c>
      <c r="AA1171" t="str">
        <f t="shared" si="219"/>
        <v>High</v>
      </c>
      <c r="AB1171" t="str">
        <f t="shared" si="223"/>
        <v>Low Profit</v>
      </c>
      <c r="AC1171" s="3">
        <f t="shared" si="224"/>
        <v>0.19164774523611072</v>
      </c>
      <c r="AD1171" s="3">
        <f t="shared" si="225"/>
        <v>173.965</v>
      </c>
      <c r="AE1171" s="3">
        <f t="shared" si="226"/>
        <v>33.340000000000003</v>
      </c>
      <c r="AF1171" t="str">
        <f t="shared" si="227"/>
        <v>Regular</v>
      </c>
    </row>
    <row r="1172" spans="1:32" x14ac:dyDescent="0.25">
      <c r="A1172" t="s">
        <v>3500</v>
      </c>
      <c r="B1172" s="1">
        <v>45496</v>
      </c>
      <c r="C1172" s="1">
        <v>45506</v>
      </c>
      <c r="D1172" s="4">
        <f t="shared" si="216"/>
        <v>10</v>
      </c>
      <c r="E1172" s="4" t="str">
        <f>TEXT(Table1[[#This Row],[Order_Date]],"dddd")</f>
        <v>Tuesday</v>
      </c>
      <c r="F1172" s="4">
        <f t="shared" si="217"/>
        <v>7</v>
      </c>
      <c r="G1172" t="str">
        <f t="shared" si="220"/>
        <v>July</v>
      </c>
      <c r="H1172">
        <f t="shared" si="221"/>
        <v>2024</v>
      </c>
      <c r="I1172" t="str">
        <f t="shared" si="222"/>
        <v>2024-Q3</v>
      </c>
      <c r="J1172" t="s">
        <v>104</v>
      </c>
      <c r="K1172" t="s">
        <v>3501</v>
      </c>
      <c r="L1172" t="s">
        <v>3502</v>
      </c>
      <c r="M1172" t="s">
        <v>36</v>
      </c>
      <c r="N1172" t="s">
        <v>25</v>
      </c>
      <c r="O1172" t="s">
        <v>48</v>
      </c>
      <c r="P1172" t="s">
        <v>49</v>
      </c>
      <c r="Q1172" t="s">
        <v>39</v>
      </c>
      <c r="R1172" t="s">
        <v>3503</v>
      </c>
      <c r="S1172" t="s">
        <v>59</v>
      </c>
      <c r="T1172" t="s">
        <v>277</v>
      </c>
      <c r="U1172" t="s">
        <v>1597</v>
      </c>
      <c r="V1172" s="3">
        <v>1500.58</v>
      </c>
      <c r="W1172" s="4">
        <v>10</v>
      </c>
      <c r="X1172" s="2">
        <v>0.2</v>
      </c>
      <c r="Y1172" s="3">
        <v>-165.87</v>
      </c>
      <c r="Z1172" t="str">
        <f t="shared" si="218"/>
        <v>Normal</v>
      </c>
      <c r="AA1172" t="str">
        <f t="shared" si="219"/>
        <v>High</v>
      </c>
      <c r="AB1172" t="str">
        <f t="shared" si="223"/>
        <v>Loss</v>
      </c>
      <c r="AC1172" s="3">
        <f t="shared" si="224"/>
        <v>-0.11053725892654841</v>
      </c>
      <c r="AD1172" s="3">
        <f t="shared" si="225"/>
        <v>150.05799999999999</v>
      </c>
      <c r="AE1172" s="3">
        <f t="shared" si="226"/>
        <v>-16.587</v>
      </c>
      <c r="AF1172" t="str">
        <f t="shared" si="227"/>
        <v>Regular</v>
      </c>
    </row>
    <row r="1173" spans="1:32" x14ac:dyDescent="0.25">
      <c r="A1173" t="s">
        <v>927</v>
      </c>
      <c r="B1173" s="1">
        <v>45496</v>
      </c>
      <c r="C1173" s="1">
        <v>45498</v>
      </c>
      <c r="D1173" s="4">
        <f t="shared" si="216"/>
        <v>2</v>
      </c>
      <c r="E1173" s="4" t="str">
        <f>TEXT(Table1[[#This Row],[Order_Date]],"dddd")</f>
        <v>Tuesday</v>
      </c>
      <c r="F1173" s="4">
        <f t="shared" si="217"/>
        <v>7</v>
      </c>
      <c r="G1173" t="str">
        <f t="shared" si="220"/>
        <v>July</v>
      </c>
      <c r="H1173">
        <f t="shared" si="221"/>
        <v>2024</v>
      </c>
      <c r="I1173" t="str">
        <f t="shared" si="222"/>
        <v>2024-Q3</v>
      </c>
      <c r="J1173" t="s">
        <v>44</v>
      </c>
      <c r="K1173" t="s">
        <v>928</v>
      </c>
      <c r="L1173" t="s">
        <v>929</v>
      </c>
      <c r="M1173" t="s">
        <v>36</v>
      </c>
      <c r="N1173" t="s">
        <v>25</v>
      </c>
      <c r="O1173" t="s">
        <v>382</v>
      </c>
      <c r="P1173" t="s">
        <v>38</v>
      </c>
      <c r="Q1173" t="s">
        <v>28</v>
      </c>
      <c r="R1173" t="s">
        <v>930</v>
      </c>
      <c r="S1173" t="s">
        <v>30</v>
      </c>
      <c r="T1173" t="s">
        <v>68</v>
      </c>
      <c r="U1173" t="s">
        <v>931</v>
      </c>
      <c r="V1173" s="3">
        <v>2402.8000000000002</v>
      </c>
      <c r="W1173" s="4">
        <v>5</v>
      </c>
      <c r="X1173" s="2">
        <v>0.2</v>
      </c>
      <c r="Y1173" s="3">
        <v>-313.55</v>
      </c>
      <c r="Z1173" t="str">
        <f t="shared" si="218"/>
        <v>Normal</v>
      </c>
      <c r="AA1173" t="str">
        <f t="shared" si="219"/>
        <v>High</v>
      </c>
      <c r="AB1173" t="str">
        <f t="shared" si="223"/>
        <v>Loss</v>
      </c>
      <c r="AC1173" s="3">
        <f t="shared" si="224"/>
        <v>-0.13049359081072082</v>
      </c>
      <c r="AD1173" s="3">
        <f t="shared" si="225"/>
        <v>480.56000000000006</v>
      </c>
      <c r="AE1173" s="3">
        <f t="shared" si="226"/>
        <v>-62.71</v>
      </c>
      <c r="AF1173" t="str">
        <f t="shared" si="227"/>
        <v>Regular</v>
      </c>
    </row>
    <row r="1174" spans="1:32" x14ac:dyDescent="0.25">
      <c r="A1174" t="s">
        <v>3856</v>
      </c>
      <c r="B1174" s="1">
        <v>45497</v>
      </c>
      <c r="C1174" s="1">
        <v>45504</v>
      </c>
      <c r="D1174" s="4">
        <f t="shared" si="216"/>
        <v>7</v>
      </c>
      <c r="E1174" s="4" t="str">
        <f>TEXT(Table1[[#This Row],[Order_Date]],"dddd")</f>
        <v>Wednesday</v>
      </c>
      <c r="F1174" s="4">
        <f t="shared" si="217"/>
        <v>7</v>
      </c>
      <c r="G1174" t="str">
        <f t="shared" si="220"/>
        <v>July</v>
      </c>
      <c r="H1174">
        <f t="shared" si="221"/>
        <v>2024</v>
      </c>
      <c r="I1174" t="str">
        <f t="shared" si="222"/>
        <v>2024-Q3</v>
      </c>
      <c r="J1174" t="s">
        <v>55</v>
      </c>
      <c r="K1174" t="s">
        <v>3857</v>
      </c>
      <c r="L1174" t="s">
        <v>3858</v>
      </c>
      <c r="M1174" t="s">
        <v>24</v>
      </c>
      <c r="N1174" t="s">
        <v>25</v>
      </c>
      <c r="O1174" t="s">
        <v>26</v>
      </c>
      <c r="P1174" t="s">
        <v>27</v>
      </c>
      <c r="Q1174" t="s">
        <v>87</v>
      </c>
      <c r="R1174" t="s">
        <v>3859</v>
      </c>
      <c r="S1174" t="s">
        <v>59</v>
      </c>
      <c r="T1174" t="s">
        <v>277</v>
      </c>
      <c r="U1174" t="s">
        <v>1005</v>
      </c>
      <c r="V1174" s="3">
        <v>585.29</v>
      </c>
      <c r="W1174" s="4">
        <v>2</v>
      </c>
      <c r="X1174" s="2">
        <v>0.3</v>
      </c>
      <c r="Y1174" s="3">
        <v>-20.83</v>
      </c>
      <c r="Z1174" t="str">
        <f t="shared" si="218"/>
        <v>Normal</v>
      </c>
      <c r="AA1174" t="str">
        <f t="shared" si="219"/>
        <v>High</v>
      </c>
      <c r="AB1174" t="str">
        <f t="shared" si="223"/>
        <v>Loss</v>
      </c>
      <c r="AC1174" s="3">
        <f t="shared" si="224"/>
        <v>-3.5589195099865023E-2</v>
      </c>
      <c r="AD1174" s="3">
        <f t="shared" si="225"/>
        <v>292.64499999999998</v>
      </c>
      <c r="AE1174" s="3">
        <f t="shared" si="226"/>
        <v>-10.414999999999999</v>
      </c>
      <c r="AF1174" t="str">
        <f t="shared" si="227"/>
        <v>Regular</v>
      </c>
    </row>
    <row r="1175" spans="1:32" x14ac:dyDescent="0.25">
      <c r="A1175" t="s">
        <v>4824</v>
      </c>
      <c r="B1175" s="1">
        <v>45500</v>
      </c>
      <c r="C1175" s="1">
        <v>45510</v>
      </c>
      <c r="D1175" s="4">
        <f t="shared" si="216"/>
        <v>10</v>
      </c>
      <c r="E1175" s="4" t="str">
        <f>TEXT(Table1[[#This Row],[Order_Date]],"dddd")</f>
        <v>Saturday</v>
      </c>
      <c r="F1175" s="4">
        <f t="shared" si="217"/>
        <v>7</v>
      </c>
      <c r="G1175" t="str">
        <f t="shared" si="220"/>
        <v>July</v>
      </c>
      <c r="H1175">
        <f t="shared" si="221"/>
        <v>2024</v>
      </c>
      <c r="I1175" t="str">
        <f t="shared" si="222"/>
        <v>2024-Q3</v>
      </c>
      <c r="J1175" t="s">
        <v>44</v>
      </c>
      <c r="K1175" t="s">
        <v>4825</v>
      </c>
      <c r="L1175" t="s">
        <v>4826</v>
      </c>
      <c r="M1175" t="s">
        <v>24</v>
      </c>
      <c r="N1175" t="s">
        <v>25</v>
      </c>
      <c r="O1175" t="s">
        <v>511</v>
      </c>
      <c r="P1175" t="s">
        <v>120</v>
      </c>
      <c r="Q1175" t="s">
        <v>66</v>
      </c>
      <c r="R1175" t="s">
        <v>4827</v>
      </c>
      <c r="S1175" t="s">
        <v>59</v>
      </c>
      <c r="T1175" t="s">
        <v>101</v>
      </c>
      <c r="U1175" t="s">
        <v>4828</v>
      </c>
      <c r="V1175" s="3">
        <v>4283.0200000000004</v>
      </c>
      <c r="W1175" s="4">
        <v>8</v>
      </c>
      <c r="X1175" s="2">
        <v>0.1</v>
      </c>
      <c r="Y1175" s="3">
        <v>-425.45</v>
      </c>
      <c r="Z1175" t="str">
        <f t="shared" si="218"/>
        <v>Normal</v>
      </c>
      <c r="AA1175" t="str">
        <f t="shared" si="219"/>
        <v>Medium</v>
      </c>
      <c r="AB1175" t="str">
        <f t="shared" si="223"/>
        <v>Loss</v>
      </c>
      <c r="AC1175" s="3">
        <f t="shared" si="224"/>
        <v>-9.9334114713449842E-2</v>
      </c>
      <c r="AD1175" s="3">
        <f t="shared" si="225"/>
        <v>535.37750000000005</v>
      </c>
      <c r="AE1175" s="3">
        <f t="shared" si="226"/>
        <v>-53.181249999999999</v>
      </c>
      <c r="AF1175" t="str">
        <f t="shared" si="227"/>
        <v>Regular</v>
      </c>
    </row>
    <row r="1176" spans="1:32" x14ac:dyDescent="0.25">
      <c r="A1176" t="s">
        <v>892</v>
      </c>
      <c r="B1176" s="1">
        <v>45500</v>
      </c>
      <c r="C1176" s="1">
        <v>45501</v>
      </c>
      <c r="D1176" s="4">
        <f t="shared" si="216"/>
        <v>1</v>
      </c>
      <c r="E1176" s="4" t="str">
        <f>TEXT(Table1[[#This Row],[Order_Date]],"dddd")</f>
        <v>Saturday</v>
      </c>
      <c r="F1176" s="4">
        <f t="shared" si="217"/>
        <v>7</v>
      </c>
      <c r="G1176" t="str">
        <f t="shared" si="220"/>
        <v>July</v>
      </c>
      <c r="H1176">
        <f t="shared" si="221"/>
        <v>2024</v>
      </c>
      <c r="I1176" t="str">
        <f t="shared" si="222"/>
        <v>2024-Q3</v>
      </c>
      <c r="J1176" t="s">
        <v>44</v>
      </c>
      <c r="K1176" t="s">
        <v>893</v>
      </c>
      <c r="L1176" t="s">
        <v>894</v>
      </c>
      <c r="M1176" t="s">
        <v>36</v>
      </c>
      <c r="N1176" t="s">
        <v>25</v>
      </c>
      <c r="O1176" t="s">
        <v>65</v>
      </c>
      <c r="P1176" t="s">
        <v>27</v>
      </c>
      <c r="Q1176" t="s">
        <v>87</v>
      </c>
      <c r="R1176" t="s">
        <v>895</v>
      </c>
      <c r="S1176" t="s">
        <v>51</v>
      </c>
      <c r="T1176" t="s">
        <v>52</v>
      </c>
      <c r="U1176" t="s">
        <v>896</v>
      </c>
      <c r="V1176" s="3">
        <v>3210.15</v>
      </c>
      <c r="W1176" s="4">
        <v>10</v>
      </c>
      <c r="X1176" s="2">
        <v>0.4</v>
      </c>
      <c r="Y1176" s="3">
        <v>-285.47000000000003</v>
      </c>
      <c r="Z1176" t="str">
        <f t="shared" si="218"/>
        <v>Normal</v>
      </c>
      <c r="AA1176" t="str">
        <f t="shared" si="219"/>
        <v>High</v>
      </c>
      <c r="AB1176" t="str">
        <f t="shared" si="223"/>
        <v>Loss</v>
      </c>
      <c r="AC1176" s="3">
        <f t="shared" si="224"/>
        <v>-8.8927308692740223E-2</v>
      </c>
      <c r="AD1176" s="3">
        <f t="shared" si="225"/>
        <v>321.01499999999999</v>
      </c>
      <c r="AE1176" s="3">
        <f t="shared" si="226"/>
        <v>-28.547000000000004</v>
      </c>
      <c r="AF1176" t="str">
        <f t="shared" si="227"/>
        <v>Regular</v>
      </c>
    </row>
    <row r="1177" spans="1:32" x14ac:dyDescent="0.25">
      <c r="A1177" t="s">
        <v>519</v>
      </c>
      <c r="B1177" s="1">
        <v>45500</v>
      </c>
      <c r="C1177" s="1">
        <v>45504</v>
      </c>
      <c r="D1177" s="4">
        <f t="shared" si="216"/>
        <v>4</v>
      </c>
      <c r="E1177" s="4" t="str">
        <f>TEXT(Table1[[#This Row],[Order_Date]],"dddd")</f>
        <v>Saturday</v>
      </c>
      <c r="F1177" s="4">
        <f t="shared" si="217"/>
        <v>7</v>
      </c>
      <c r="G1177" t="str">
        <f t="shared" si="220"/>
        <v>July</v>
      </c>
      <c r="H1177">
        <f t="shared" si="221"/>
        <v>2024</v>
      </c>
      <c r="I1177" t="str">
        <f t="shared" si="222"/>
        <v>2024-Q3</v>
      </c>
      <c r="J1177" t="s">
        <v>21</v>
      </c>
      <c r="K1177" t="s">
        <v>520</v>
      </c>
      <c r="L1177" t="s">
        <v>521</v>
      </c>
      <c r="M1177" t="s">
        <v>24</v>
      </c>
      <c r="N1177" t="s">
        <v>25</v>
      </c>
      <c r="O1177" t="s">
        <v>227</v>
      </c>
      <c r="P1177" t="s">
        <v>49</v>
      </c>
      <c r="Q1177" t="s">
        <v>28</v>
      </c>
      <c r="R1177" t="s">
        <v>7403</v>
      </c>
      <c r="S1177" t="s">
        <v>51</v>
      </c>
      <c r="T1177" t="s">
        <v>151</v>
      </c>
      <c r="U1177" t="s">
        <v>522</v>
      </c>
      <c r="V1177" s="3">
        <v>4438.72</v>
      </c>
      <c r="W1177" s="4">
        <v>4</v>
      </c>
      <c r="X1177" s="2">
        <v>0</v>
      </c>
      <c r="Y1177" s="3">
        <v>-364.05</v>
      </c>
      <c r="Z1177" t="str">
        <f t="shared" si="218"/>
        <v>Normal</v>
      </c>
      <c r="AA1177" t="str">
        <f t="shared" si="219"/>
        <v>Low</v>
      </c>
      <c r="AB1177" t="str">
        <f t="shared" si="223"/>
        <v>Loss</v>
      </c>
      <c r="AC1177" s="3">
        <f t="shared" si="224"/>
        <v>-8.2016887751423836E-2</v>
      </c>
      <c r="AD1177" s="3">
        <f t="shared" si="225"/>
        <v>1109.68</v>
      </c>
      <c r="AE1177" s="3">
        <f t="shared" si="226"/>
        <v>-91.012500000000003</v>
      </c>
      <c r="AF1177" t="str">
        <f t="shared" si="227"/>
        <v>Regular</v>
      </c>
    </row>
    <row r="1178" spans="1:32" x14ac:dyDescent="0.25">
      <c r="A1178" t="s">
        <v>5554</v>
      </c>
      <c r="B1178" s="1">
        <v>45501</v>
      </c>
      <c r="C1178" s="1">
        <v>45504</v>
      </c>
      <c r="D1178" s="4">
        <f t="shared" si="216"/>
        <v>3</v>
      </c>
      <c r="E1178" s="4" t="str">
        <f>TEXT(Table1[[#This Row],[Order_Date]],"dddd")</f>
        <v>Sunday</v>
      </c>
      <c r="F1178" s="4">
        <f t="shared" si="217"/>
        <v>7</v>
      </c>
      <c r="G1178" t="str">
        <f t="shared" si="220"/>
        <v>July</v>
      </c>
      <c r="H1178">
        <f t="shared" si="221"/>
        <v>2024</v>
      </c>
      <c r="I1178" t="str">
        <f t="shared" si="222"/>
        <v>2024-Q3</v>
      </c>
      <c r="J1178" t="s">
        <v>21</v>
      </c>
      <c r="K1178" t="s">
        <v>5555</v>
      </c>
      <c r="L1178" t="s">
        <v>5556</v>
      </c>
      <c r="M1178" t="s">
        <v>36</v>
      </c>
      <c r="N1178" t="s">
        <v>25</v>
      </c>
      <c r="O1178" t="s">
        <v>511</v>
      </c>
      <c r="P1178" t="s">
        <v>120</v>
      </c>
      <c r="Q1178" t="s">
        <v>39</v>
      </c>
      <c r="R1178" t="s">
        <v>5557</v>
      </c>
      <c r="S1178" t="s">
        <v>59</v>
      </c>
      <c r="T1178" t="s">
        <v>303</v>
      </c>
      <c r="U1178" t="s">
        <v>5558</v>
      </c>
      <c r="V1178" s="3">
        <v>1536.21</v>
      </c>
      <c r="W1178" s="4">
        <v>10</v>
      </c>
      <c r="X1178" s="2">
        <v>0.4</v>
      </c>
      <c r="Y1178" s="3">
        <v>49.78</v>
      </c>
      <c r="Z1178" t="str">
        <f t="shared" si="218"/>
        <v>Normal</v>
      </c>
      <c r="AA1178" t="str">
        <f t="shared" si="219"/>
        <v>High</v>
      </c>
      <c r="AB1178" t="str">
        <f t="shared" si="223"/>
        <v>Low Profit</v>
      </c>
      <c r="AC1178" s="3">
        <f t="shared" si="224"/>
        <v>3.2404423874340095E-2</v>
      </c>
      <c r="AD1178" s="3">
        <f t="shared" si="225"/>
        <v>153.62100000000001</v>
      </c>
      <c r="AE1178" s="3">
        <f t="shared" si="226"/>
        <v>4.9779999999999998</v>
      </c>
      <c r="AF1178" t="str">
        <f t="shared" si="227"/>
        <v>Regular</v>
      </c>
    </row>
    <row r="1179" spans="1:32" x14ac:dyDescent="0.25">
      <c r="A1179" t="s">
        <v>718</v>
      </c>
      <c r="B1179" s="1">
        <v>45501</v>
      </c>
      <c r="C1179" s="1">
        <v>45510</v>
      </c>
      <c r="D1179" s="4">
        <f t="shared" si="216"/>
        <v>9</v>
      </c>
      <c r="E1179" s="4" t="str">
        <f>TEXT(Table1[[#This Row],[Order_Date]],"dddd")</f>
        <v>Sunday</v>
      </c>
      <c r="F1179" s="4">
        <f t="shared" si="217"/>
        <v>7</v>
      </c>
      <c r="G1179" t="str">
        <f t="shared" si="220"/>
        <v>July</v>
      </c>
      <c r="H1179">
        <f t="shared" si="221"/>
        <v>2024</v>
      </c>
      <c r="I1179" t="str">
        <f t="shared" si="222"/>
        <v>2024-Q3</v>
      </c>
      <c r="J1179" t="s">
        <v>44</v>
      </c>
      <c r="K1179" t="s">
        <v>719</v>
      </c>
      <c r="L1179" t="s">
        <v>720</v>
      </c>
      <c r="M1179" t="s">
        <v>24</v>
      </c>
      <c r="N1179" t="s">
        <v>25</v>
      </c>
      <c r="O1179" t="s">
        <v>201</v>
      </c>
      <c r="P1179" t="s">
        <v>113</v>
      </c>
      <c r="Q1179" t="s">
        <v>66</v>
      </c>
      <c r="R1179" t="s">
        <v>721</v>
      </c>
      <c r="S1179" t="s">
        <v>51</v>
      </c>
      <c r="T1179" t="s">
        <v>151</v>
      </c>
      <c r="U1179" t="s">
        <v>722</v>
      </c>
      <c r="V1179" s="3">
        <v>3410.77</v>
      </c>
      <c r="W1179" s="4">
        <v>6</v>
      </c>
      <c r="X1179" s="2">
        <v>0.2</v>
      </c>
      <c r="Y1179" s="3">
        <v>290.39</v>
      </c>
      <c r="Z1179" t="str">
        <f t="shared" si="218"/>
        <v>Normal</v>
      </c>
      <c r="AA1179" t="str">
        <f t="shared" si="219"/>
        <v>High</v>
      </c>
      <c r="AB1179" t="str">
        <f t="shared" si="223"/>
        <v>Low Profit</v>
      </c>
      <c r="AC1179" s="3">
        <f t="shared" si="224"/>
        <v>8.513913280578872E-2</v>
      </c>
      <c r="AD1179" s="3">
        <f t="shared" si="225"/>
        <v>568.4616666666667</v>
      </c>
      <c r="AE1179" s="3">
        <f t="shared" si="226"/>
        <v>48.398333333333333</v>
      </c>
      <c r="AF1179" t="str">
        <f t="shared" si="227"/>
        <v>Regular</v>
      </c>
    </row>
    <row r="1180" spans="1:32" x14ac:dyDescent="0.25">
      <c r="A1180" t="s">
        <v>3293</v>
      </c>
      <c r="B1180" s="1">
        <v>45501</v>
      </c>
      <c r="C1180" s="1">
        <v>45506</v>
      </c>
      <c r="D1180" s="4">
        <f t="shared" si="216"/>
        <v>5</v>
      </c>
      <c r="E1180" s="4" t="str">
        <f>TEXT(Table1[[#This Row],[Order_Date]],"dddd")</f>
        <v>Sunday</v>
      </c>
      <c r="F1180" s="4">
        <f t="shared" si="217"/>
        <v>7</v>
      </c>
      <c r="G1180" t="str">
        <f t="shared" si="220"/>
        <v>July</v>
      </c>
      <c r="H1180">
        <f t="shared" si="221"/>
        <v>2024</v>
      </c>
      <c r="I1180" t="str">
        <f t="shared" si="222"/>
        <v>2024-Q3</v>
      </c>
      <c r="J1180" t="s">
        <v>21</v>
      </c>
      <c r="K1180" t="s">
        <v>3294</v>
      </c>
      <c r="L1180" t="s">
        <v>3295</v>
      </c>
      <c r="M1180" t="s">
        <v>24</v>
      </c>
      <c r="N1180" t="s">
        <v>25</v>
      </c>
      <c r="O1180" t="s">
        <v>26</v>
      </c>
      <c r="P1180" t="s">
        <v>27</v>
      </c>
      <c r="Q1180" t="s">
        <v>28</v>
      </c>
      <c r="R1180" t="s">
        <v>3296</v>
      </c>
      <c r="S1180" t="s">
        <v>51</v>
      </c>
      <c r="T1180" t="s">
        <v>94</v>
      </c>
      <c r="U1180" t="s">
        <v>3297</v>
      </c>
      <c r="V1180" s="3">
        <v>2216.59</v>
      </c>
      <c r="W1180" s="4">
        <v>5</v>
      </c>
      <c r="X1180" s="2">
        <v>0.1</v>
      </c>
      <c r="Y1180" s="3">
        <v>-290.13</v>
      </c>
      <c r="Z1180" t="str">
        <f t="shared" si="218"/>
        <v>Normal</v>
      </c>
      <c r="AA1180" t="str">
        <f t="shared" si="219"/>
        <v>Medium</v>
      </c>
      <c r="AB1180" t="str">
        <f t="shared" si="223"/>
        <v>Loss</v>
      </c>
      <c r="AC1180" s="3">
        <f t="shared" si="224"/>
        <v>-0.13089024131661695</v>
      </c>
      <c r="AD1180" s="3">
        <f t="shared" si="225"/>
        <v>443.31800000000004</v>
      </c>
      <c r="AE1180" s="3">
        <f t="shared" si="226"/>
        <v>-58.025999999999996</v>
      </c>
      <c r="AF1180" t="str">
        <f t="shared" si="227"/>
        <v>Regular</v>
      </c>
    </row>
    <row r="1181" spans="1:32" x14ac:dyDescent="0.25">
      <c r="A1181" t="s">
        <v>43</v>
      </c>
      <c r="B1181" s="1">
        <v>45501</v>
      </c>
      <c r="C1181" s="1">
        <v>45503</v>
      </c>
      <c r="D1181" s="4">
        <f t="shared" si="216"/>
        <v>2</v>
      </c>
      <c r="E1181" s="4" t="str">
        <f>TEXT(Table1[[#This Row],[Order_Date]],"dddd")</f>
        <v>Sunday</v>
      </c>
      <c r="F1181" s="4">
        <f t="shared" si="217"/>
        <v>7</v>
      </c>
      <c r="G1181" t="str">
        <f t="shared" si="220"/>
        <v>July</v>
      </c>
      <c r="H1181">
        <f t="shared" si="221"/>
        <v>2024</v>
      </c>
      <c r="I1181" t="str">
        <f t="shared" si="222"/>
        <v>2024-Q3</v>
      </c>
      <c r="J1181" t="s">
        <v>44</v>
      </c>
      <c r="K1181" t="s">
        <v>45</v>
      </c>
      <c r="L1181" t="s">
        <v>46</v>
      </c>
      <c r="M1181" t="s">
        <v>47</v>
      </c>
      <c r="N1181" t="s">
        <v>25</v>
      </c>
      <c r="O1181" t="s">
        <v>48</v>
      </c>
      <c r="P1181" t="s">
        <v>49</v>
      </c>
      <c r="Q1181" t="s">
        <v>28</v>
      </c>
      <c r="R1181" t="s">
        <v>50</v>
      </c>
      <c r="S1181" t="s">
        <v>51</v>
      </c>
      <c r="T1181" t="s">
        <v>52</v>
      </c>
      <c r="U1181" t="s">
        <v>53</v>
      </c>
      <c r="V1181" s="3">
        <v>2289.16</v>
      </c>
      <c r="W1181" s="4">
        <v>6</v>
      </c>
      <c r="X1181" s="2">
        <v>0.1</v>
      </c>
      <c r="Y1181" s="3">
        <v>-124.08</v>
      </c>
      <c r="Z1181" t="str">
        <f t="shared" si="218"/>
        <v>Normal</v>
      </c>
      <c r="AA1181" t="str">
        <f t="shared" si="219"/>
        <v>Medium</v>
      </c>
      <c r="AB1181" t="str">
        <f t="shared" si="223"/>
        <v>Loss</v>
      </c>
      <c r="AC1181" s="3">
        <f t="shared" si="224"/>
        <v>-5.4203288542522148E-2</v>
      </c>
      <c r="AD1181" s="3">
        <f t="shared" si="225"/>
        <v>381.52666666666664</v>
      </c>
      <c r="AE1181" s="3">
        <f t="shared" si="226"/>
        <v>-20.68</v>
      </c>
      <c r="AF1181" t="str">
        <f t="shared" si="227"/>
        <v>Regular</v>
      </c>
    </row>
    <row r="1182" spans="1:32" x14ac:dyDescent="0.25">
      <c r="A1182" t="s">
        <v>54</v>
      </c>
      <c r="B1182" s="1">
        <v>45501</v>
      </c>
      <c r="C1182" s="1">
        <v>45510</v>
      </c>
      <c r="D1182" s="4">
        <f t="shared" si="216"/>
        <v>9</v>
      </c>
      <c r="E1182" s="4" t="str">
        <f>TEXT(Table1[[#This Row],[Order_Date]],"dddd")</f>
        <v>Sunday</v>
      </c>
      <c r="F1182" s="4">
        <f t="shared" si="217"/>
        <v>7</v>
      </c>
      <c r="G1182" t="str">
        <f t="shared" si="220"/>
        <v>July</v>
      </c>
      <c r="H1182">
        <f t="shared" si="221"/>
        <v>2024</v>
      </c>
      <c r="I1182" t="str">
        <f t="shared" si="222"/>
        <v>2024-Q3</v>
      </c>
      <c r="J1182" t="s">
        <v>55</v>
      </c>
      <c r="K1182" t="s">
        <v>56</v>
      </c>
      <c r="L1182" t="s">
        <v>57</v>
      </c>
      <c r="M1182" t="s">
        <v>47</v>
      </c>
      <c r="N1182" t="s">
        <v>25</v>
      </c>
      <c r="O1182" t="s">
        <v>48</v>
      </c>
      <c r="P1182" t="s">
        <v>49</v>
      </c>
      <c r="Q1182" t="s">
        <v>28</v>
      </c>
      <c r="R1182" t="s">
        <v>58</v>
      </c>
      <c r="S1182" t="s">
        <v>59</v>
      </c>
      <c r="T1182" t="s">
        <v>60</v>
      </c>
      <c r="U1182" t="s">
        <v>61</v>
      </c>
      <c r="V1182" s="3">
        <v>17.3</v>
      </c>
      <c r="W1182" s="4">
        <v>7</v>
      </c>
      <c r="X1182" s="2">
        <v>0.2</v>
      </c>
      <c r="Y1182" s="3">
        <v>-2.56</v>
      </c>
      <c r="Z1182" t="str">
        <f t="shared" si="218"/>
        <v>Normal</v>
      </c>
      <c r="AA1182" t="str">
        <f t="shared" si="219"/>
        <v>High</v>
      </c>
      <c r="AB1182" t="str">
        <f t="shared" si="223"/>
        <v>Loss</v>
      </c>
      <c r="AC1182" s="3">
        <f t="shared" si="224"/>
        <v>-0.14797687861271677</v>
      </c>
      <c r="AD1182" s="3">
        <f t="shared" si="225"/>
        <v>2.4714285714285715</v>
      </c>
      <c r="AE1182" s="3">
        <f t="shared" si="226"/>
        <v>-0.36571428571428571</v>
      </c>
      <c r="AF1182" t="str">
        <f t="shared" si="227"/>
        <v>Regular</v>
      </c>
    </row>
    <row r="1183" spans="1:32" x14ac:dyDescent="0.25">
      <c r="A1183" t="s">
        <v>2359</v>
      </c>
      <c r="B1183" s="1">
        <v>45502</v>
      </c>
      <c r="C1183" s="1">
        <v>45505</v>
      </c>
      <c r="D1183" s="4">
        <f t="shared" si="216"/>
        <v>3</v>
      </c>
      <c r="E1183" s="4" t="str">
        <f>TEXT(Table1[[#This Row],[Order_Date]],"dddd")</f>
        <v>Monday</v>
      </c>
      <c r="F1183" s="4">
        <f t="shared" si="217"/>
        <v>7</v>
      </c>
      <c r="G1183" t="str">
        <f t="shared" si="220"/>
        <v>July</v>
      </c>
      <c r="H1183">
        <f t="shared" si="221"/>
        <v>2024</v>
      </c>
      <c r="I1183" t="str">
        <f t="shared" si="222"/>
        <v>2024-Q3</v>
      </c>
      <c r="J1183" t="s">
        <v>21</v>
      </c>
      <c r="K1183" t="s">
        <v>2360</v>
      </c>
      <c r="L1183" t="s">
        <v>2361</v>
      </c>
      <c r="M1183" t="s">
        <v>47</v>
      </c>
      <c r="N1183" t="s">
        <v>25</v>
      </c>
      <c r="O1183" t="s">
        <v>37</v>
      </c>
      <c r="P1183" t="s">
        <v>38</v>
      </c>
      <c r="Q1183" t="s">
        <v>28</v>
      </c>
      <c r="R1183" t="s">
        <v>2362</v>
      </c>
      <c r="S1183" t="s">
        <v>59</v>
      </c>
      <c r="T1183" t="s">
        <v>60</v>
      </c>
      <c r="U1183" t="s">
        <v>2363</v>
      </c>
      <c r="V1183" s="3">
        <v>90.57</v>
      </c>
      <c r="W1183" s="4">
        <v>7</v>
      </c>
      <c r="X1183" s="2">
        <v>0.3</v>
      </c>
      <c r="Y1183" s="3">
        <v>0.01</v>
      </c>
      <c r="Z1183" t="str">
        <f t="shared" si="218"/>
        <v>Normal</v>
      </c>
      <c r="AA1183" t="str">
        <f t="shared" si="219"/>
        <v>High</v>
      </c>
      <c r="AB1183" t="str">
        <f t="shared" si="223"/>
        <v>Low Profit</v>
      </c>
      <c r="AC1183" s="3">
        <f t="shared" si="224"/>
        <v>1.1041183614883517E-4</v>
      </c>
      <c r="AD1183" s="3">
        <f t="shared" si="225"/>
        <v>12.938571428571427</v>
      </c>
      <c r="AE1183" s="3">
        <f t="shared" si="226"/>
        <v>1.4285714285714286E-3</v>
      </c>
      <c r="AF1183" t="str">
        <f t="shared" si="227"/>
        <v>Regular</v>
      </c>
    </row>
    <row r="1184" spans="1:32" x14ac:dyDescent="0.25">
      <c r="A1184" t="s">
        <v>6999</v>
      </c>
      <c r="B1184" s="1">
        <v>45503</v>
      </c>
      <c r="C1184" s="1">
        <f>B1184+5</f>
        <v>45508</v>
      </c>
      <c r="D1184" s="4">
        <f t="shared" si="216"/>
        <v>5</v>
      </c>
      <c r="E1184" s="4" t="str">
        <f>TEXT(Table1[[#This Row],[Order_Date]],"dddd")</f>
        <v>Tuesday</v>
      </c>
      <c r="F1184" s="4">
        <f t="shared" si="217"/>
        <v>7</v>
      </c>
      <c r="G1184" t="str">
        <f t="shared" si="220"/>
        <v>July</v>
      </c>
      <c r="H1184">
        <f t="shared" si="221"/>
        <v>2024</v>
      </c>
      <c r="I1184" t="str">
        <f t="shared" si="222"/>
        <v>2024-Q3</v>
      </c>
      <c r="J1184" t="s">
        <v>104</v>
      </c>
      <c r="K1184" t="s">
        <v>7000</v>
      </c>
      <c r="L1184" t="s">
        <v>7001</v>
      </c>
      <c r="M1184" t="s">
        <v>24</v>
      </c>
      <c r="N1184" t="s">
        <v>25</v>
      </c>
      <c r="O1184" t="s">
        <v>244</v>
      </c>
      <c r="P1184" t="s">
        <v>163</v>
      </c>
      <c r="Q1184" t="s">
        <v>39</v>
      </c>
      <c r="R1184" t="s">
        <v>7002</v>
      </c>
      <c r="S1184" t="s">
        <v>51</v>
      </c>
      <c r="T1184" t="s">
        <v>108</v>
      </c>
      <c r="U1184" t="s">
        <v>7003</v>
      </c>
      <c r="V1184" s="3">
        <v>1010.33</v>
      </c>
      <c r="W1184" s="4">
        <v>6</v>
      </c>
      <c r="X1184" s="2">
        <v>0.4</v>
      </c>
      <c r="Y1184" s="3">
        <v>-10.86</v>
      </c>
      <c r="Z1184" t="str">
        <f t="shared" si="218"/>
        <v>Normal</v>
      </c>
      <c r="AA1184" t="str">
        <f t="shared" si="219"/>
        <v>High</v>
      </c>
      <c r="AB1184" t="str">
        <f t="shared" si="223"/>
        <v>Loss</v>
      </c>
      <c r="AC1184" s="3">
        <f t="shared" si="224"/>
        <v>-1.0748963210040282E-2</v>
      </c>
      <c r="AD1184" s="3">
        <f t="shared" si="225"/>
        <v>168.38833333333335</v>
      </c>
      <c r="AE1184" s="3">
        <f t="shared" si="226"/>
        <v>-1.8099999999999998</v>
      </c>
      <c r="AF1184" t="str">
        <f t="shared" si="227"/>
        <v>Regular</v>
      </c>
    </row>
    <row r="1185" spans="1:32" x14ac:dyDescent="0.25">
      <c r="A1185" t="s">
        <v>6273</v>
      </c>
      <c r="B1185" s="1">
        <v>45504</v>
      </c>
      <c r="C1185" s="1">
        <v>45511</v>
      </c>
      <c r="D1185" s="4">
        <f t="shared" si="216"/>
        <v>7</v>
      </c>
      <c r="E1185" s="4" t="str">
        <f>TEXT(Table1[[#This Row],[Order_Date]],"dddd")</f>
        <v>Wednesday</v>
      </c>
      <c r="F1185" s="4">
        <f t="shared" si="217"/>
        <v>7</v>
      </c>
      <c r="G1185" t="str">
        <f t="shared" si="220"/>
        <v>July</v>
      </c>
      <c r="H1185">
        <f t="shared" si="221"/>
        <v>2024</v>
      </c>
      <c r="I1185" t="str">
        <f t="shared" si="222"/>
        <v>2024-Q3</v>
      </c>
      <c r="J1185" t="s">
        <v>21</v>
      </c>
      <c r="K1185" t="s">
        <v>6274</v>
      </c>
      <c r="L1185" t="s">
        <v>6275</v>
      </c>
      <c r="M1185" t="s">
        <v>24</v>
      </c>
      <c r="N1185" t="s">
        <v>25</v>
      </c>
      <c r="O1185" t="s">
        <v>149</v>
      </c>
      <c r="P1185" t="s">
        <v>113</v>
      </c>
      <c r="Q1185" t="s">
        <v>87</v>
      </c>
      <c r="R1185" t="s">
        <v>6276</v>
      </c>
      <c r="S1185" t="s">
        <v>30</v>
      </c>
      <c r="T1185" t="s">
        <v>31</v>
      </c>
      <c r="U1185" t="s">
        <v>6277</v>
      </c>
      <c r="V1185" s="3">
        <v>4808.13</v>
      </c>
      <c r="W1185" s="4">
        <v>3</v>
      </c>
      <c r="X1185" s="2">
        <v>0</v>
      </c>
      <c r="Y1185" s="3">
        <v>-867.11</v>
      </c>
      <c r="Z1185" t="str">
        <f t="shared" si="218"/>
        <v>Outlier</v>
      </c>
      <c r="AA1185" t="str">
        <f t="shared" si="219"/>
        <v>Low</v>
      </c>
      <c r="AB1185" t="str">
        <f t="shared" si="223"/>
        <v>Loss</v>
      </c>
      <c r="AC1185" s="3">
        <f t="shared" si="224"/>
        <v>-0.18034246162229389</v>
      </c>
      <c r="AD1185" s="3">
        <f t="shared" si="225"/>
        <v>1602.71</v>
      </c>
      <c r="AE1185" s="3">
        <f t="shared" si="226"/>
        <v>-289.03666666666669</v>
      </c>
      <c r="AF1185" t="str">
        <f t="shared" si="227"/>
        <v>Regular</v>
      </c>
    </row>
    <row r="1186" spans="1:32" x14ac:dyDescent="0.25">
      <c r="A1186" t="s">
        <v>400</v>
      </c>
      <c r="B1186" s="1">
        <v>45506</v>
      </c>
      <c r="C1186" s="1">
        <v>45509</v>
      </c>
      <c r="D1186" s="4">
        <f t="shared" si="216"/>
        <v>3</v>
      </c>
      <c r="E1186" s="4" t="str">
        <f>TEXT(Table1[[#This Row],[Order_Date]],"dddd")</f>
        <v>Friday</v>
      </c>
      <c r="F1186" s="4">
        <f t="shared" si="217"/>
        <v>8</v>
      </c>
      <c r="G1186" t="str">
        <f t="shared" si="220"/>
        <v>August</v>
      </c>
      <c r="H1186">
        <f t="shared" si="221"/>
        <v>2024</v>
      </c>
      <c r="I1186" t="str">
        <f t="shared" si="222"/>
        <v>2024-Q3</v>
      </c>
      <c r="J1186" t="s">
        <v>44</v>
      </c>
      <c r="K1186" t="s">
        <v>401</v>
      </c>
      <c r="L1186" t="s">
        <v>402</v>
      </c>
      <c r="M1186" t="s">
        <v>47</v>
      </c>
      <c r="N1186" t="s">
        <v>25</v>
      </c>
      <c r="O1186" t="s">
        <v>73</v>
      </c>
      <c r="P1186" t="s">
        <v>74</v>
      </c>
      <c r="Q1186" t="s">
        <v>87</v>
      </c>
      <c r="R1186" t="s">
        <v>403</v>
      </c>
      <c r="S1186" t="s">
        <v>51</v>
      </c>
      <c r="T1186" t="s">
        <v>151</v>
      </c>
      <c r="U1186" t="s">
        <v>404</v>
      </c>
      <c r="V1186" s="3">
        <v>4153.51</v>
      </c>
      <c r="W1186" s="4">
        <v>10</v>
      </c>
      <c r="X1186" s="2">
        <v>0.1</v>
      </c>
      <c r="Y1186" s="3">
        <v>819.52</v>
      </c>
      <c r="Z1186" t="str">
        <f t="shared" si="218"/>
        <v>Normal</v>
      </c>
      <c r="AA1186" t="str">
        <f t="shared" si="219"/>
        <v>Medium</v>
      </c>
      <c r="AB1186" t="str">
        <f t="shared" si="223"/>
        <v>High Profit</v>
      </c>
      <c r="AC1186" s="3">
        <f t="shared" si="224"/>
        <v>0.19730781916981058</v>
      </c>
      <c r="AD1186" s="3">
        <f t="shared" si="225"/>
        <v>415.351</v>
      </c>
      <c r="AE1186" s="3">
        <f t="shared" si="226"/>
        <v>81.951999999999998</v>
      </c>
      <c r="AF1186" t="str">
        <f t="shared" si="227"/>
        <v>Regular</v>
      </c>
    </row>
    <row r="1187" spans="1:32" x14ac:dyDescent="0.25">
      <c r="A1187" t="s">
        <v>788</v>
      </c>
      <c r="B1187" s="1">
        <v>45506</v>
      </c>
      <c r="C1187" s="1">
        <v>45508</v>
      </c>
      <c r="D1187" s="4">
        <f t="shared" si="216"/>
        <v>2</v>
      </c>
      <c r="E1187" s="4" t="str">
        <f>TEXT(Table1[[#This Row],[Order_Date]],"dddd")</f>
        <v>Friday</v>
      </c>
      <c r="F1187" s="4">
        <f t="shared" si="217"/>
        <v>8</v>
      </c>
      <c r="G1187" t="str">
        <f t="shared" si="220"/>
        <v>August</v>
      </c>
      <c r="H1187">
        <f t="shared" si="221"/>
        <v>2024</v>
      </c>
      <c r="I1187" t="str">
        <f t="shared" si="222"/>
        <v>2024-Q3</v>
      </c>
      <c r="J1187" t="s">
        <v>104</v>
      </c>
      <c r="K1187" t="s">
        <v>789</v>
      </c>
      <c r="L1187" t="s">
        <v>790</v>
      </c>
      <c r="M1187" t="s">
        <v>24</v>
      </c>
      <c r="N1187" t="s">
        <v>25</v>
      </c>
      <c r="O1187" t="s">
        <v>65</v>
      </c>
      <c r="P1187" t="s">
        <v>27</v>
      </c>
      <c r="Q1187" t="s">
        <v>39</v>
      </c>
      <c r="R1187" t="s">
        <v>791</v>
      </c>
      <c r="S1187" t="s">
        <v>51</v>
      </c>
      <c r="T1187" t="s">
        <v>127</v>
      </c>
      <c r="U1187" t="s">
        <v>792</v>
      </c>
      <c r="V1187" s="3">
        <v>1521.11</v>
      </c>
      <c r="W1187" s="4">
        <v>1</v>
      </c>
      <c r="X1187" s="2">
        <v>0</v>
      </c>
      <c r="Y1187" s="3">
        <v>-26.35</v>
      </c>
      <c r="Z1187" t="str">
        <f t="shared" si="218"/>
        <v>Normal</v>
      </c>
      <c r="AA1187" t="str">
        <f t="shared" si="219"/>
        <v>Low</v>
      </c>
      <c r="AB1187" t="str">
        <f t="shared" si="223"/>
        <v>Loss</v>
      </c>
      <c r="AC1187" s="3">
        <f t="shared" si="224"/>
        <v>-1.7322876057615823E-2</v>
      </c>
      <c r="AD1187" s="3">
        <f t="shared" si="225"/>
        <v>1521.11</v>
      </c>
      <c r="AE1187" s="3">
        <f t="shared" si="226"/>
        <v>-26.35</v>
      </c>
      <c r="AF1187" t="str">
        <f t="shared" si="227"/>
        <v>Regular</v>
      </c>
    </row>
    <row r="1188" spans="1:32" x14ac:dyDescent="0.25">
      <c r="A1188" t="s">
        <v>1553</v>
      </c>
      <c r="B1188" s="1">
        <v>45507</v>
      </c>
      <c r="C1188" s="1">
        <v>45509</v>
      </c>
      <c r="D1188" s="4">
        <f t="shared" si="216"/>
        <v>2</v>
      </c>
      <c r="E1188" s="4" t="str">
        <f>TEXT(Table1[[#This Row],[Order_Date]],"dddd")</f>
        <v>Saturday</v>
      </c>
      <c r="F1188" s="4">
        <f t="shared" si="217"/>
        <v>8</v>
      </c>
      <c r="G1188" t="str">
        <f t="shared" si="220"/>
        <v>August</v>
      </c>
      <c r="H1188">
        <f t="shared" si="221"/>
        <v>2024</v>
      </c>
      <c r="I1188" t="str">
        <f t="shared" si="222"/>
        <v>2024-Q3</v>
      </c>
      <c r="J1188" t="s">
        <v>55</v>
      </c>
      <c r="K1188" t="s">
        <v>1554</v>
      </c>
      <c r="L1188" t="s">
        <v>1555</v>
      </c>
      <c r="M1188" t="s">
        <v>47</v>
      </c>
      <c r="N1188" t="s">
        <v>25</v>
      </c>
      <c r="O1188" t="s">
        <v>451</v>
      </c>
      <c r="P1188" t="s">
        <v>38</v>
      </c>
      <c r="Q1188" t="s">
        <v>28</v>
      </c>
      <c r="R1188" t="s">
        <v>1556</v>
      </c>
      <c r="S1188" t="s">
        <v>59</v>
      </c>
      <c r="T1188" t="s">
        <v>277</v>
      </c>
      <c r="U1188" t="s">
        <v>1557</v>
      </c>
      <c r="V1188" s="3">
        <v>809.96</v>
      </c>
      <c r="W1188" s="4">
        <v>4</v>
      </c>
      <c r="X1188" s="2">
        <v>0.3</v>
      </c>
      <c r="Y1188" s="3">
        <v>226.67</v>
      </c>
      <c r="Z1188" t="str">
        <f t="shared" si="218"/>
        <v>Normal</v>
      </c>
      <c r="AA1188" t="str">
        <f t="shared" si="219"/>
        <v>High</v>
      </c>
      <c r="AB1188" t="str">
        <f t="shared" si="223"/>
        <v>Low Profit</v>
      </c>
      <c r="AC1188" s="3">
        <f t="shared" si="224"/>
        <v>0.27985332609017727</v>
      </c>
      <c r="AD1188" s="3">
        <f t="shared" si="225"/>
        <v>202.49</v>
      </c>
      <c r="AE1188" s="3">
        <f t="shared" si="226"/>
        <v>56.667499999999997</v>
      </c>
      <c r="AF1188" t="str">
        <f t="shared" si="227"/>
        <v>Regular</v>
      </c>
    </row>
    <row r="1189" spans="1:32" x14ac:dyDescent="0.25">
      <c r="A1189" t="s">
        <v>6625</v>
      </c>
      <c r="B1189" s="1">
        <v>45508</v>
      </c>
      <c r="C1189" s="1">
        <v>45516</v>
      </c>
      <c r="D1189" s="4">
        <f t="shared" si="216"/>
        <v>8</v>
      </c>
      <c r="E1189" s="4" t="str">
        <f>TEXT(Table1[[#This Row],[Order_Date]],"dddd")</f>
        <v>Sunday</v>
      </c>
      <c r="F1189" s="4">
        <f t="shared" si="217"/>
        <v>8</v>
      </c>
      <c r="G1189" t="str">
        <f t="shared" si="220"/>
        <v>August</v>
      </c>
      <c r="H1189">
        <f t="shared" si="221"/>
        <v>2024</v>
      </c>
      <c r="I1189" t="str">
        <f t="shared" si="222"/>
        <v>2024-Q3</v>
      </c>
      <c r="J1189" t="s">
        <v>21</v>
      </c>
      <c r="K1189" t="s">
        <v>6626</v>
      </c>
      <c r="L1189" t="s">
        <v>6627</v>
      </c>
      <c r="M1189" t="s">
        <v>36</v>
      </c>
      <c r="N1189" t="s">
        <v>25</v>
      </c>
      <c r="O1189" t="s">
        <v>233</v>
      </c>
      <c r="P1189" t="s">
        <v>163</v>
      </c>
      <c r="Q1189" t="s">
        <v>66</v>
      </c>
      <c r="R1189" t="s">
        <v>6628</v>
      </c>
      <c r="S1189" t="s">
        <v>30</v>
      </c>
      <c r="T1189" t="s">
        <v>41</v>
      </c>
      <c r="U1189" t="s">
        <v>6629</v>
      </c>
      <c r="V1189" s="3">
        <v>4774.53</v>
      </c>
      <c r="W1189" s="4">
        <v>1</v>
      </c>
      <c r="X1189" s="2">
        <v>0.1</v>
      </c>
      <c r="Y1189" s="3">
        <v>1239.8</v>
      </c>
      <c r="Z1189" t="str">
        <f t="shared" si="218"/>
        <v>Outlier</v>
      </c>
      <c r="AA1189" t="str">
        <f t="shared" si="219"/>
        <v>Medium</v>
      </c>
      <c r="AB1189" t="str">
        <f t="shared" si="223"/>
        <v>High Profit</v>
      </c>
      <c r="AC1189" s="3">
        <f t="shared" si="224"/>
        <v>0.25966953815349364</v>
      </c>
      <c r="AD1189" s="3">
        <f t="shared" si="225"/>
        <v>4774.53</v>
      </c>
      <c r="AE1189" s="3">
        <f t="shared" si="226"/>
        <v>1239.8</v>
      </c>
      <c r="AF1189" t="str">
        <f t="shared" si="227"/>
        <v>Regular</v>
      </c>
    </row>
    <row r="1190" spans="1:32" x14ac:dyDescent="0.25">
      <c r="A1190" t="s">
        <v>3781</v>
      </c>
      <c r="B1190" s="1">
        <v>45508</v>
      </c>
      <c r="C1190" s="1">
        <v>45516</v>
      </c>
      <c r="D1190" s="4">
        <f t="shared" si="216"/>
        <v>8</v>
      </c>
      <c r="E1190" s="4" t="str">
        <f>TEXT(Table1[[#This Row],[Order_Date]],"dddd")</f>
        <v>Sunday</v>
      </c>
      <c r="F1190" s="4">
        <f t="shared" si="217"/>
        <v>8</v>
      </c>
      <c r="G1190" t="str">
        <f t="shared" si="220"/>
        <v>August</v>
      </c>
      <c r="H1190">
        <f t="shared" si="221"/>
        <v>2024</v>
      </c>
      <c r="I1190" t="str">
        <f t="shared" si="222"/>
        <v>2024-Q3</v>
      </c>
      <c r="J1190" t="s">
        <v>21</v>
      </c>
      <c r="K1190" t="s">
        <v>3782</v>
      </c>
      <c r="L1190" t="s">
        <v>3783</v>
      </c>
      <c r="M1190" t="s">
        <v>47</v>
      </c>
      <c r="N1190" t="s">
        <v>25</v>
      </c>
      <c r="O1190" t="s">
        <v>201</v>
      </c>
      <c r="P1190" t="s">
        <v>113</v>
      </c>
      <c r="Q1190" t="s">
        <v>28</v>
      </c>
      <c r="R1190" t="s">
        <v>3784</v>
      </c>
      <c r="S1190" t="s">
        <v>30</v>
      </c>
      <c r="T1190" t="s">
        <v>41</v>
      </c>
      <c r="U1190" t="s">
        <v>3785</v>
      </c>
      <c r="V1190" s="3">
        <v>2837.19</v>
      </c>
      <c r="W1190" s="4">
        <v>4</v>
      </c>
      <c r="X1190" s="2">
        <v>0.3</v>
      </c>
      <c r="Y1190" s="3">
        <v>-246.83</v>
      </c>
      <c r="Z1190" t="str">
        <f t="shared" si="218"/>
        <v>Normal</v>
      </c>
      <c r="AA1190" t="str">
        <f t="shared" si="219"/>
        <v>High</v>
      </c>
      <c r="AB1190" t="str">
        <f t="shared" si="223"/>
        <v>Loss</v>
      </c>
      <c r="AC1190" s="3">
        <f t="shared" si="224"/>
        <v>-8.6998050888379003E-2</v>
      </c>
      <c r="AD1190" s="3">
        <f t="shared" si="225"/>
        <v>709.29750000000001</v>
      </c>
      <c r="AE1190" s="3">
        <f t="shared" si="226"/>
        <v>-61.707500000000003</v>
      </c>
      <c r="AF1190" t="str">
        <f t="shared" si="227"/>
        <v>Regular</v>
      </c>
    </row>
    <row r="1191" spans="1:32" x14ac:dyDescent="0.25">
      <c r="A1191" t="s">
        <v>2598</v>
      </c>
      <c r="B1191" s="1">
        <v>45509</v>
      </c>
      <c r="C1191" s="1">
        <v>45514</v>
      </c>
      <c r="D1191" s="4">
        <f t="shared" si="216"/>
        <v>5</v>
      </c>
      <c r="E1191" s="4" t="str">
        <f>TEXT(Table1[[#This Row],[Order_Date]],"dddd")</f>
        <v>Monday</v>
      </c>
      <c r="F1191" s="4">
        <f t="shared" si="217"/>
        <v>8</v>
      </c>
      <c r="G1191" t="str">
        <f t="shared" si="220"/>
        <v>August</v>
      </c>
      <c r="H1191">
        <f t="shared" si="221"/>
        <v>2024</v>
      </c>
      <c r="I1191" t="str">
        <f t="shared" si="222"/>
        <v>2024-Q3</v>
      </c>
      <c r="J1191" t="s">
        <v>44</v>
      </c>
      <c r="K1191" t="s">
        <v>2599</v>
      </c>
      <c r="L1191" t="s">
        <v>2600</v>
      </c>
      <c r="M1191" t="s">
        <v>47</v>
      </c>
      <c r="N1191" t="s">
        <v>25</v>
      </c>
      <c r="O1191" t="s">
        <v>179</v>
      </c>
      <c r="P1191" t="s">
        <v>27</v>
      </c>
      <c r="Q1191" t="s">
        <v>66</v>
      </c>
      <c r="R1191" t="s">
        <v>2601</v>
      </c>
      <c r="S1191" t="s">
        <v>59</v>
      </c>
      <c r="T1191" t="s">
        <v>303</v>
      </c>
      <c r="U1191" t="s">
        <v>2602</v>
      </c>
      <c r="V1191" s="3">
        <v>3539.33</v>
      </c>
      <c r="W1191" s="4">
        <v>3</v>
      </c>
      <c r="X1191" s="2">
        <v>0.2</v>
      </c>
      <c r="Y1191" s="3">
        <v>564.73</v>
      </c>
      <c r="Z1191" t="str">
        <f t="shared" si="218"/>
        <v>Normal</v>
      </c>
      <c r="AA1191" t="str">
        <f t="shared" si="219"/>
        <v>High</v>
      </c>
      <c r="AB1191" t="str">
        <f t="shared" si="223"/>
        <v>High Profit</v>
      </c>
      <c r="AC1191" s="3">
        <f t="shared" si="224"/>
        <v>0.15955844750277595</v>
      </c>
      <c r="AD1191" s="3">
        <f t="shared" si="225"/>
        <v>1179.7766666666666</v>
      </c>
      <c r="AE1191" s="3">
        <f t="shared" si="226"/>
        <v>188.24333333333334</v>
      </c>
      <c r="AF1191" t="str">
        <f t="shared" si="227"/>
        <v>Regular</v>
      </c>
    </row>
    <row r="1192" spans="1:32" x14ac:dyDescent="0.25">
      <c r="A1192" t="s">
        <v>2711</v>
      </c>
      <c r="B1192" s="1">
        <v>45509</v>
      </c>
      <c r="C1192" s="1">
        <v>45516</v>
      </c>
      <c r="D1192" s="4">
        <f t="shared" si="216"/>
        <v>7</v>
      </c>
      <c r="E1192" s="4" t="str">
        <f>TEXT(Table1[[#This Row],[Order_Date]],"dddd")</f>
        <v>Monday</v>
      </c>
      <c r="F1192" s="4">
        <f t="shared" si="217"/>
        <v>8</v>
      </c>
      <c r="G1192" t="str">
        <f t="shared" si="220"/>
        <v>August</v>
      </c>
      <c r="H1192">
        <f t="shared" si="221"/>
        <v>2024</v>
      </c>
      <c r="I1192" t="str">
        <f t="shared" si="222"/>
        <v>2024-Q3</v>
      </c>
      <c r="J1192" t="s">
        <v>104</v>
      </c>
      <c r="K1192" t="s">
        <v>2712</v>
      </c>
      <c r="L1192" t="s">
        <v>2713</v>
      </c>
      <c r="M1192" t="s">
        <v>47</v>
      </c>
      <c r="N1192" t="s">
        <v>25</v>
      </c>
      <c r="O1192" t="s">
        <v>156</v>
      </c>
      <c r="P1192" t="s">
        <v>143</v>
      </c>
      <c r="Q1192" t="s">
        <v>39</v>
      </c>
      <c r="R1192" t="s">
        <v>2714</v>
      </c>
      <c r="S1192" t="s">
        <v>51</v>
      </c>
      <c r="T1192" t="s">
        <v>94</v>
      </c>
      <c r="U1192" t="s">
        <v>797</v>
      </c>
      <c r="V1192" s="3">
        <v>883.36</v>
      </c>
      <c r="W1192" s="4">
        <v>1</v>
      </c>
      <c r="X1192" s="2">
        <v>0.4</v>
      </c>
      <c r="Y1192" s="3">
        <v>219.7</v>
      </c>
      <c r="Z1192" t="str">
        <f t="shared" si="218"/>
        <v>Normal</v>
      </c>
      <c r="AA1192" t="str">
        <f t="shared" si="219"/>
        <v>High</v>
      </c>
      <c r="AB1192" t="str">
        <f t="shared" si="223"/>
        <v>Low Profit</v>
      </c>
      <c r="AC1192" s="3">
        <f t="shared" si="224"/>
        <v>0.24870947292157217</v>
      </c>
      <c r="AD1192" s="3">
        <f t="shared" si="225"/>
        <v>883.36</v>
      </c>
      <c r="AE1192" s="3">
        <f t="shared" si="226"/>
        <v>219.7</v>
      </c>
      <c r="AF1192" t="str">
        <f t="shared" si="227"/>
        <v>Regular</v>
      </c>
    </row>
    <row r="1193" spans="1:32" x14ac:dyDescent="0.25">
      <c r="A1193" t="s">
        <v>2296</v>
      </c>
      <c r="B1193" s="1">
        <v>45509</v>
      </c>
      <c r="C1193" s="1">
        <v>45510</v>
      </c>
      <c r="D1193" s="4">
        <f t="shared" si="216"/>
        <v>1</v>
      </c>
      <c r="E1193" s="4" t="str">
        <f>TEXT(Table1[[#This Row],[Order_Date]],"dddd")</f>
        <v>Monday</v>
      </c>
      <c r="F1193" s="4">
        <f t="shared" si="217"/>
        <v>8</v>
      </c>
      <c r="G1193" t="str">
        <f t="shared" si="220"/>
        <v>August</v>
      </c>
      <c r="H1193">
        <f t="shared" si="221"/>
        <v>2024</v>
      </c>
      <c r="I1193" t="str">
        <f t="shared" si="222"/>
        <v>2024-Q3</v>
      </c>
      <c r="J1193" t="s">
        <v>44</v>
      </c>
      <c r="K1193" t="s">
        <v>2297</v>
      </c>
      <c r="L1193" t="s">
        <v>2298</v>
      </c>
      <c r="M1193" t="s">
        <v>36</v>
      </c>
      <c r="N1193" t="s">
        <v>25</v>
      </c>
      <c r="O1193" t="s">
        <v>99</v>
      </c>
      <c r="P1193" t="s">
        <v>74</v>
      </c>
      <c r="Q1193" t="s">
        <v>66</v>
      </c>
      <c r="R1193" t="s">
        <v>2299</v>
      </c>
      <c r="S1193" t="s">
        <v>51</v>
      </c>
      <c r="T1193" t="s">
        <v>108</v>
      </c>
      <c r="U1193" t="s">
        <v>2300</v>
      </c>
      <c r="V1193" s="3">
        <v>2575.86</v>
      </c>
      <c r="W1193" s="4">
        <v>5</v>
      </c>
      <c r="X1193" s="2">
        <v>0.2</v>
      </c>
      <c r="Y1193" s="3">
        <v>601.79999999999995</v>
      </c>
      <c r="Z1193" t="str">
        <f t="shared" si="218"/>
        <v>Normal</v>
      </c>
      <c r="AA1193" t="str">
        <f t="shared" si="219"/>
        <v>High</v>
      </c>
      <c r="AB1193" t="str">
        <f t="shared" si="223"/>
        <v>High Profit</v>
      </c>
      <c r="AC1193" s="3">
        <f t="shared" si="224"/>
        <v>0.23363070974354194</v>
      </c>
      <c r="AD1193" s="3">
        <f t="shared" si="225"/>
        <v>515.17200000000003</v>
      </c>
      <c r="AE1193" s="3">
        <f t="shared" si="226"/>
        <v>120.35999999999999</v>
      </c>
      <c r="AF1193" t="str">
        <f t="shared" si="227"/>
        <v>Regular</v>
      </c>
    </row>
    <row r="1194" spans="1:32" x14ac:dyDescent="0.25">
      <c r="A1194" t="s">
        <v>3950</v>
      </c>
      <c r="B1194" s="1">
        <v>45509</v>
      </c>
      <c r="C1194" s="1">
        <v>45510</v>
      </c>
      <c r="D1194" s="4">
        <f t="shared" si="216"/>
        <v>1</v>
      </c>
      <c r="E1194" s="4" t="str">
        <f>TEXT(Table1[[#This Row],[Order_Date]],"dddd")</f>
        <v>Monday</v>
      </c>
      <c r="F1194" s="4">
        <f t="shared" si="217"/>
        <v>8</v>
      </c>
      <c r="G1194" t="str">
        <f t="shared" si="220"/>
        <v>August</v>
      </c>
      <c r="H1194">
        <f t="shared" si="221"/>
        <v>2024</v>
      </c>
      <c r="I1194" t="str">
        <f t="shared" si="222"/>
        <v>2024-Q3</v>
      </c>
      <c r="J1194" t="s">
        <v>55</v>
      </c>
      <c r="K1194" t="s">
        <v>3951</v>
      </c>
      <c r="L1194" t="s">
        <v>3952</v>
      </c>
      <c r="M1194" t="s">
        <v>47</v>
      </c>
      <c r="N1194" t="s">
        <v>25</v>
      </c>
      <c r="O1194" t="s">
        <v>611</v>
      </c>
      <c r="P1194" t="s">
        <v>74</v>
      </c>
      <c r="Q1194" t="s">
        <v>66</v>
      </c>
      <c r="R1194" t="s">
        <v>3953</v>
      </c>
      <c r="S1194" t="s">
        <v>59</v>
      </c>
      <c r="T1194" t="s">
        <v>60</v>
      </c>
      <c r="U1194" t="s">
        <v>3954</v>
      </c>
      <c r="V1194" s="3">
        <v>519.1</v>
      </c>
      <c r="W1194" s="4">
        <v>3</v>
      </c>
      <c r="X1194" s="2">
        <v>0.1</v>
      </c>
      <c r="Y1194" s="3">
        <v>131.15</v>
      </c>
      <c r="Z1194" t="str">
        <f t="shared" si="218"/>
        <v>Normal</v>
      </c>
      <c r="AA1194" t="str">
        <f t="shared" si="219"/>
        <v>Medium</v>
      </c>
      <c r="AB1194" t="str">
        <f t="shared" si="223"/>
        <v>Low Profit</v>
      </c>
      <c r="AC1194" s="3">
        <f t="shared" si="224"/>
        <v>0.25264881525717586</v>
      </c>
      <c r="AD1194" s="3">
        <f t="shared" si="225"/>
        <v>173.03333333333333</v>
      </c>
      <c r="AE1194" s="3">
        <f t="shared" si="226"/>
        <v>43.716666666666669</v>
      </c>
      <c r="AF1194" t="str">
        <f t="shared" si="227"/>
        <v>Regular</v>
      </c>
    </row>
    <row r="1195" spans="1:32" x14ac:dyDescent="0.25">
      <c r="A1195" t="s">
        <v>7290</v>
      </c>
      <c r="B1195" s="1">
        <v>45510</v>
      </c>
      <c r="C1195" s="1">
        <v>45517</v>
      </c>
      <c r="D1195" s="4">
        <f t="shared" si="216"/>
        <v>7</v>
      </c>
      <c r="E1195" s="4" t="str">
        <f>TEXT(Table1[[#This Row],[Order_Date]],"dddd")</f>
        <v>Tuesday</v>
      </c>
      <c r="F1195" s="4">
        <f t="shared" si="217"/>
        <v>8</v>
      </c>
      <c r="G1195" t="str">
        <f t="shared" si="220"/>
        <v>August</v>
      </c>
      <c r="H1195">
        <f t="shared" si="221"/>
        <v>2024</v>
      </c>
      <c r="I1195" t="str">
        <f t="shared" si="222"/>
        <v>2024-Q3</v>
      </c>
      <c r="J1195" t="s">
        <v>104</v>
      </c>
      <c r="K1195" t="s">
        <v>7291</v>
      </c>
      <c r="L1195" t="s">
        <v>7292</v>
      </c>
      <c r="M1195" t="s">
        <v>47</v>
      </c>
      <c r="N1195" t="s">
        <v>25</v>
      </c>
      <c r="O1195" t="s">
        <v>201</v>
      </c>
      <c r="P1195" t="s">
        <v>113</v>
      </c>
      <c r="Q1195" t="s">
        <v>87</v>
      </c>
      <c r="R1195" t="s">
        <v>7293</v>
      </c>
      <c r="S1195" t="s">
        <v>59</v>
      </c>
      <c r="T1195" t="s">
        <v>60</v>
      </c>
      <c r="U1195" t="s">
        <v>7294</v>
      </c>
      <c r="V1195" s="3">
        <v>1908.87</v>
      </c>
      <c r="W1195" s="4">
        <v>6</v>
      </c>
      <c r="X1195" s="2">
        <v>0.3</v>
      </c>
      <c r="Y1195" s="3">
        <v>232.55</v>
      </c>
      <c r="Z1195" t="str">
        <f t="shared" si="218"/>
        <v>Normal</v>
      </c>
      <c r="AA1195" t="str">
        <f t="shared" si="219"/>
        <v>High</v>
      </c>
      <c r="AB1195" t="str">
        <f t="shared" si="223"/>
        <v>Low Profit</v>
      </c>
      <c r="AC1195" s="3">
        <f t="shared" si="224"/>
        <v>0.12182600177068109</v>
      </c>
      <c r="AD1195" s="3">
        <f t="shared" si="225"/>
        <v>318.14499999999998</v>
      </c>
      <c r="AE1195" s="3">
        <f t="shared" si="226"/>
        <v>38.758333333333333</v>
      </c>
      <c r="AF1195" t="str">
        <f t="shared" si="227"/>
        <v>Regular</v>
      </c>
    </row>
    <row r="1196" spans="1:32" x14ac:dyDescent="0.25">
      <c r="A1196" t="s">
        <v>2311</v>
      </c>
      <c r="B1196" s="1">
        <v>45510</v>
      </c>
      <c r="C1196" s="1">
        <v>45518</v>
      </c>
      <c r="D1196" s="4">
        <f t="shared" si="216"/>
        <v>8</v>
      </c>
      <c r="E1196" s="4" t="str">
        <f>TEXT(Table1[[#This Row],[Order_Date]],"dddd")</f>
        <v>Tuesday</v>
      </c>
      <c r="F1196" s="4">
        <f t="shared" si="217"/>
        <v>8</v>
      </c>
      <c r="G1196" t="str">
        <f t="shared" si="220"/>
        <v>August</v>
      </c>
      <c r="H1196">
        <f t="shared" si="221"/>
        <v>2024</v>
      </c>
      <c r="I1196" t="str">
        <f t="shared" si="222"/>
        <v>2024-Q3</v>
      </c>
      <c r="J1196" t="s">
        <v>21</v>
      </c>
      <c r="K1196" t="s">
        <v>7402</v>
      </c>
      <c r="L1196" t="s">
        <v>2312</v>
      </c>
      <c r="M1196" t="s">
        <v>24</v>
      </c>
      <c r="N1196" t="s">
        <v>25</v>
      </c>
      <c r="O1196" t="s">
        <v>99</v>
      </c>
      <c r="P1196" t="s">
        <v>74</v>
      </c>
      <c r="Q1196" t="s">
        <v>87</v>
      </c>
      <c r="R1196" t="s">
        <v>2313</v>
      </c>
      <c r="S1196" t="s">
        <v>51</v>
      </c>
      <c r="T1196" t="s">
        <v>127</v>
      </c>
      <c r="U1196" t="s">
        <v>2314</v>
      </c>
      <c r="V1196" s="3">
        <v>1547</v>
      </c>
      <c r="W1196" s="4">
        <v>10</v>
      </c>
      <c r="X1196" s="2">
        <v>0.3</v>
      </c>
      <c r="Y1196" s="3">
        <v>280.54000000000002</v>
      </c>
      <c r="Z1196" t="str">
        <f t="shared" si="218"/>
        <v>Normal</v>
      </c>
      <c r="AA1196" t="str">
        <f t="shared" si="219"/>
        <v>High</v>
      </c>
      <c r="AB1196" t="str">
        <f t="shared" si="223"/>
        <v>Low Profit</v>
      </c>
      <c r="AC1196" s="3">
        <f t="shared" si="224"/>
        <v>0.18134453781512605</v>
      </c>
      <c r="AD1196" s="3">
        <f t="shared" si="225"/>
        <v>154.69999999999999</v>
      </c>
      <c r="AE1196" s="3">
        <f t="shared" si="226"/>
        <v>28.054000000000002</v>
      </c>
      <c r="AF1196" t="str">
        <f t="shared" si="227"/>
        <v>Regular</v>
      </c>
    </row>
    <row r="1197" spans="1:32" x14ac:dyDescent="0.25">
      <c r="A1197" t="s">
        <v>3185</v>
      </c>
      <c r="B1197" s="1">
        <v>45510</v>
      </c>
      <c r="C1197" s="1">
        <v>45515</v>
      </c>
      <c r="D1197" s="4">
        <f t="shared" si="216"/>
        <v>5</v>
      </c>
      <c r="E1197" s="4" t="str">
        <f>TEXT(Table1[[#This Row],[Order_Date]],"dddd")</f>
        <v>Tuesday</v>
      </c>
      <c r="F1197" s="4">
        <f t="shared" si="217"/>
        <v>8</v>
      </c>
      <c r="G1197" t="str">
        <f t="shared" si="220"/>
        <v>August</v>
      </c>
      <c r="H1197">
        <f t="shared" si="221"/>
        <v>2024</v>
      </c>
      <c r="I1197" t="str">
        <f t="shared" si="222"/>
        <v>2024-Q3</v>
      </c>
      <c r="J1197" t="s">
        <v>21</v>
      </c>
      <c r="K1197" t="s">
        <v>3186</v>
      </c>
      <c r="L1197" t="s">
        <v>3187</v>
      </c>
      <c r="M1197" t="s">
        <v>47</v>
      </c>
      <c r="N1197" t="s">
        <v>25</v>
      </c>
      <c r="O1197" t="s">
        <v>113</v>
      </c>
      <c r="P1197" t="s">
        <v>113</v>
      </c>
      <c r="Q1197" t="s">
        <v>66</v>
      </c>
      <c r="R1197" t="s">
        <v>3188</v>
      </c>
      <c r="S1197" t="s">
        <v>30</v>
      </c>
      <c r="T1197" t="s">
        <v>82</v>
      </c>
      <c r="U1197" t="s">
        <v>3189</v>
      </c>
      <c r="V1197" s="3">
        <v>2711.93</v>
      </c>
      <c r="W1197" s="4">
        <v>4</v>
      </c>
      <c r="X1197" s="2">
        <v>0.4</v>
      </c>
      <c r="Y1197" s="3">
        <v>537.35</v>
      </c>
      <c r="Z1197" t="str">
        <f t="shared" si="218"/>
        <v>Normal</v>
      </c>
      <c r="AA1197" t="str">
        <f t="shared" si="219"/>
        <v>High</v>
      </c>
      <c r="AB1197" t="str">
        <f t="shared" si="223"/>
        <v>High Profit</v>
      </c>
      <c r="AC1197" s="3">
        <f t="shared" si="224"/>
        <v>0.19814301991570582</v>
      </c>
      <c r="AD1197" s="3">
        <f t="shared" si="225"/>
        <v>677.98249999999996</v>
      </c>
      <c r="AE1197" s="3">
        <f t="shared" si="226"/>
        <v>134.33750000000001</v>
      </c>
      <c r="AF1197" t="str">
        <f t="shared" si="227"/>
        <v>Regular</v>
      </c>
    </row>
    <row r="1198" spans="1:32" x14ac:dyDescent="0.25">
      <c r="A1198" t="s">
        <v>1961</v>
      </c>
      <c r="B1198" s="1">
        <v>45510</v>
      </c>
      <c r="C1198" s="1">
        <v>45513</v>
      </c>
      <c r="D1198" s="4">
        <f t="shared" si="216"/>
        <v>3</v>
      </c>
      <c r="E1198" s="4" t="str">
        <f>TEXT(Table1[[#This Row],[Order_Date]],"dddd")</f>
        <v>Tuesday</v>
      </c>
      <c r="F1198" s="4">
        <f t="shared" si="217"/>
        <v>8</v>
      </c>
      <c r="G1198" t="str">
        <f t="shared" si="220"/>
        <v>August</v>
      </c>
      <c r="H1198">
        <f t="shared" si="221"/>
        <v>2024</v>
      </c>
      <c r="I1198" t="str">
        <f t="shared" si="222"/>
        <v>2024-Q3</v>
      </c>
      <c r="J1198" t="s">
        <v>104</v>
      </c>
      <c r="K1198" t="s">
        <v>1962</v>
      </c>
      <c r="L1198" t="s">
        <v>1963</v>
      </c>
      <c r="M1198" t="s">
        <v>24</v>
      </c>
      <c r="N1198" t="s">
        <v>25</v>
      </c>
      <c r="O1198" t="s">
        <v>611</v>
      </c>
      <c r="P1198" t="s">
        <v>74</v>
      </c>
      <c r="Q1198" t="s">
        <v>66</v>
      </c>
      <c r="R1198" t="s">
        <v>1964</v>
      </c>
      <c r="S1198" t="s">
        <v>51</v>
      </c>
      <c r="T1198" t="s">
        <v>127</v>
      </c>
      <c r="U1198" t="s">
        <v>1965</v>
      </c>
      <c r="V1198" s="3">
        <v>1979.06</v>
      </c>
      <c r="W1198" s="4">
        <v>10</v>
      </c>
      <c r="X1198" s="2">
        <v>0.2</v>
      </c>
      <c r="Y1198" s="3">
        <v>-37.9</v>
      </c>
      <c r="Z1198" t="str">
        <f t="shared" si="218"/>
        <v>Normal</v>
      </c>
      <c r="AA1198" t="str">
        <f t="shared" si="219"/>
        <v>High</v>
      </c>
      <c r="AB1198" t="str">
        <f t="shared" si="223"/>
        <v>Loss</v>
      </c>
      <c r="AC1198" s="3">
        <f t="shared" si="224"/>
        <v>-1.9150505795680776E-2</v>
      </c>
      <c r="AD1198" s="3">
        <f t="shared" si="225"/>
        <v>197.90600000000001</v>
      </c>
      <c r="AE1198" s="3">
        <f t="shared" si="226"/>
        <v>-3.79</v>
      </c>
      <c r="AF1198" t="str">
        <f t="shared" si="227"/>
        <v>Regular</v>
      </c>
    </row>
    <row r="1199" spans="1:32" x14ac:dyDescent="0.25">
      <c r="A1199" t="s">
        <v>6841</v>
      </c>
      <c r="B1199" s="1">
        <v>45511</v>
      </c>
      <c r="C1199" s="1">
        <v>45512</v>
      </c>
      <c r="D1199" s="4">
        <f t="shared" si="216"/>
        <v>1</v>
      </c>
      <c r="E1199" s="4" t="str">
        <f>TEXT(Table1[[#This Row],[Order_Date]],"dddd")</f>
        <v>Wednesday</v>
      </c>
      <c r="F1199" s="4">
        <f t="shared" si="217"/>
        <v>8</v>
      </c>
      <c r="G1199" t="str">
        <f t="shared" si="220"/>
        <v>August</v>
      </c>
      <c r="H1199">
        <f t="shared" si="221"/>
        <v>2024</v>
      </c>
      <c r="I1199" t="str">
        <f t="shared" si="222"/>
        <v>2024-Q3</v>
      </c>
      <c r="J1199" t="s">
        <v>21</v>
      </c>
      <c r="K1199" t="s">
        <v>6842</v>
      </c>
      <c r="L1199" t="s">
        <v>6843</v>
      </c>
      <c r="M1199" t="s">
        <v>24</v>
      </c>
      <c r="N1199" t="s">
        <v>25</v>
      </c>
      <c r="O1199" t="s">
        <v>156</v>
      </c>
      <c r="P1199" t="s">
        <v>143</v>
      </c>
      <c r="Q1199" t="s">
        <v>39</v>
      </c>
      <c r="R1199" t="s">
        <v>6844</v>
      </c>
      <c r="S1199" t="s">
        <v>51</v>
      </c>
      <c r="T1199" t="s">
        <v>94</v>
      </c>
      <c r="U1199" t="s">
        <v>6845</v>
      </c>
      <c r="V1199" s="3">
        <v>3584.58</v>
      </c>
      <c r="W1199" s="4">
        <v>5</v>
      </c>
      <c r="X1199" s="2">
        <v>0.4</v>
      </c>
      <c r="Y1199" s="3">
        <v>-704.54</v>
      </c>
      <c r="Z1199" t="str">
        <f t="shared" si="218"/>
        <v>Normal</v>
      </c>
      <c r="AA1199" t="str">
        <f t="shared" si="219"/>
        <v>High</v>
      </c>
      <c r="AB1199" t="str">
        <f t="shared" si="223"/>
        <v>Loss</v>
      </c>
      <c r="AC1199" s="3">
        <f t="shared" si="224"/>
        <v>-0.19654743373003253</v>
      </c>
      <c r="AD1199" s="3">
        <f t="shared" si="225"/>
        <v>716.91599999999994</v>
      </c>
      <c r="AE1199" s="3">
        <f t="shared" si="226"/>
        <v>-140.90799999999999</v>
      </c>
      <c r="AF1199" t="str">
        <f t="shared" si="227"/>
        <v>Regular</v>
      </c>
    </row>
    <row r="1200" spans="1:32" x14ac:dyDescent="0.25">
      <c r="A1200" t="s">
        <v>6105</v>
      </c>
      <c r="B1200" s="1">
        <v>45511</v>
      </c>
      <c r="C1200" s="1">
        <v>45521</v>
      </c>
      <c r="D1200" s="4">
        <f t="shared" si="216"/>
        <v>10</v>
      </c>
      <c r="E1200" s="4" t="str">
        <f>TEXT(Table1[[#This Row],[Order_Date]],"dddd")</f>
        <v>Wednesday</v>
      </c>
      <c r="F1200" s="4">
        <f t="shared" si="217"/>
        <v>8</v>
      </c>
      <c r="G1200" t="str">
        <f t="shared" si="220"/>
        <v>August</v>
      </c>
      <c r="H1200">
        <f t="shared" si="221"/>
        <v>2024</v>
      </c>
      <c r="I1200" t="str">
        <f t="shared" si="222"/>
        <v>2024-Q3</v>
      </c>
      <c r="J1200" t="s">
        <v>55</v>
      </c>
      <c r="K1200" t="s">
        <v>6106</v>
      </c>
      <c r="L1200" t="s">
        <v>6107</v>
      </c>
      <c r="M1200" t="s">
        <v>47</v>
      </c>
      <c r="N1200" t="s">
        <v>25</v>
      </c>
      <c r="O1200" t="s">
        <v>99</v>
      </c>
      <c r="P1200" t="s">
        <v>74</v>
      </c>
      <c r="Q1200" t="s">
        <v>66</v>
      </c>
      <c r="R1200" t="s">
        <v>6108</v>
      </c>
      <c r="S1200" t="s">
        <v>30</v>
      </c>
      <c r="T1200" t="s">
        <v>82</v>
      </c>
      <c r="U1200" t="s">
        <v>6109</v>
      </c>
      <c r="V1200" s="3">
        <v>2409.2199999999998</v>
      </c>
      <c r="W1200" s="4">
        <v>10</v>
      </c>
      <c r="X1200" s="2">
        <v>0</v>
      </c>
      <c r="Y1200" s="3">
        <v>655.09</v>
      </c>
      <c r="Z1200" t="str">
        <f t="shared" si="218"/>
        <v>Normal</v>
      </c>
      <c r="AA1200" t="str">
        <f t="shared" si="219"/>
        <v>Low</v>
      </c>
      <c r="AB1200" t="str">
        <f t="shared" si="223"/>
        <v>High Profit</v>
      </c>
      <c r="AC1200" s="3">
        <f t="shared" si="224"/>
        <v>0.2719095806941666</v>
      </c>
      <c r="AD1200" s="3">
        <f t="shared" si="225"/>
        <v>240.92199999999997</v>
      </c>
      <c r="AE1200" s="3">
        <f t="shared" si="226"/>
        <v>65.509</v>
      </c>
      <c r="AF1200" t="str">
        <f t="shared" si="227"/>
        <v>Regular</v>
      </c>
    </row>
    <row r="1201" spans="1:32" x14ac:dyDescent="0.25">
      <c r="A1201" t="s">
        <v>3592</v>
      </c>
      <c r="B1201" s="1">
        <v>45512</v>
      </c>
      <c r="C1201" s="1">
        <v>45517</v>
      </c>
      <c r="D1201" s="4">
        <f t="shared" si="216"/>
        <v>5</v>
      </c>
      <c r="E1201" s="4" t="str">
        <f>TEXT(Table1[[#This Row],[Order_Date]],"dddd")</f>
        <v>Thursday</v>
      </c>
      <c r="F1201" s="4">
        <f t="shared" si="217"/>
        <v>8</v>
      </c>
      <c r="G1201" t="str">
        <f t="shared" si="220"/>
        <v>August</v>
      </c>
      <c r="H1201">
        <f t="shared" si="221"/>
        <v>2024</v>
      </c>
      <c r="I1201" t="str">
        <f t="shared" si="222"/>
        <v>2024-Q3</v>
      </c>
      <c r="J1201" t="s">
        <v>44</v>
      </c>
      <c r="K1201" t="s">
        <v>3593</v>
      </c>
      <c r="L1201" t="s">
        <v>3594</v>
      </c>
      <c r="M1201" t="s">
        <v>24</v>
      </c>
      <c r="N1201" t="s">
        <v>25</v>
      </c>
      <c r="O1201" t="s">
        <v>119</v>
      </c>
      <c r="P1201" t="s">
        <v>120</v>
      </c>
      <c r="Q1201" t="s">
        <v>87</v>
      </c>
      <c r="R1201" t="s">
        <v>3595</v>
      </c>
      <c r="S1201" t="s">
        <v>59</v>
      </c>
      <c r="T1201" t="s">
        <v>60</v>
      </c>
      <c r="U1201" t="s">
        <v>3405</v>
      </c>
      <c r="V1201" s="3">
        <v>2650.4</v>
      </c>
      <c r="W1201" s="4">
        <v>8</v>
      </c>
      <c r="X1201" s="2">
        <v>0.4</v>
      </c>
      <c r="Y1201" s="3">
        <v>-433.81</v>
      </c>
      <c r="Z1201" t="str">
        <f t="shared" si="218"/>
        <v>Normal</v>
      </c>
      <c r="AA1201" t="str">
        <f t="shared" si="219"/>
        <v>High</v>
      </c>
      <c r="AB1201" t="str">
        <f t="shared" si="223"/>
        <v>Loss</v>
      </c>
      <c r="AC1201" s="3">
        <f t="shared" si="224"/>
        <v>-0.16367718080289767</v>
      </c>
      <c r="AD1201" s="3">
        <f t="shared" si="225"/>
        <v>331.3</v>
      </c>
      <c r="AE1201" s="3">
        <f t="shared" si="226"/>
        <v>-54.22625</v>
      </c>
      <c r="AF1201" t="str">
        <f t="shared" si="227"/>
        <v>Regular</v>
      </c>
    </row>
    <row r="1202" spans="1:32" x14ac:dyDescent="0.25">
      <c r="A1202" t="s">
        <v>3288</v>
      </c>
      <c r="B1202" s="1">
        <v>45512</v>
      </c>
      <c r="C1202" s="1">
        <v>45522</v>
      </c>
      <c r="D1202" s="4">
        <f t="shared" si="216"/>
        <v>10</v>
      </c>
      <c r="E1202" s="4" t="str">
        <f>TEXT(Table1[[#This Row],[Order_Date]],"dddd")</f>
        <v>Thursday</v>
      </c>
      <c r="F1202" s="4">
        <f t="shared" si="217"/>
        <v>8</v>
      </c>
      <c r="G1202" t="str">
        <f t="shared" si="220"/>
        <v>August</v>
      </c>
      <c r="H1202">
        <f t="shared" si="221"/>
        <v>2024</v>
      </c>
      <c r="I1202" t="str">
        <f t="shared" si="222"/>
        <v>2024-Q3</v>
      </c>
      <c r="J1202" t="s">
        <v>44</v>
      </c>
      <c r="K1202" t="s">
        <v>3289</v>
      </c>
      <c r="L1202" t="s">
        <v>3290</v>
      </c>
      <c r="M1202" t="s">
        <v>24</v>
      </c>
      <c r="N1202" t="s">
        <v>25</v>
      </c>
      <c r="O1202" t="s">
        <v>162</v>
      </c>
      <c r="P1202" t="s">
        <v>163</v>
      </c>
      <c r="Q1202" t="s">
        <v>39</v>
      </c>
      <c r="R1202" t="s">
        <v>3291</v>
      </c>
      <c r="S1202" t="s">
        <v>30</v>
      </c>
      <c r="T1202" t="s">
        <v>31</v>
      </c>
      <c r="U1202" t="s">
        <v>3292</v>
      </c>
      <c r="V1202" s="3">
        <v>310.11</v>
      </c>
      <c r="W1202" s="4">
        <v>3</v>
      </c>
      <c r="X1202" s="2">
        <v>0.3</v>
      </c>
      <c r="Y1202" s="3">
        <v>-60.98</v>
      </c>
      <c r="Z1202" t="str">
        <f t="shared" si="218"/>
        <v>Normal</v>
      </c>
      <c r="AA1202" t="str">
        <f t="shared" si="219"/>
        <v>High</v>
      </c>
      <c r="AB1202" t="str">
        <f t="shared" si="223"/>
        <v>Loss</v>
      </c>
      <c r="AC1202" s="3">
        <f t="shared" si="224"/>
        <v>-0.19663990197026859</v>
      </c>
      <c r="AD1202" s="3">
        <f t="shared" si="225"/>
        <v>103.37</v>
      </c>
      <c r="AE1202" s="3">
        <f t="shared" si="226"/>
        <v>-20.326666666666664</v>
      </c>
      <c r="AF1202" t="str">
        <f t="shared" si="227"/>
        <v>Regular</v>
      </c>
    </row>
    <row r="1203" spans="1:32" x14ac:dyDescent="0.25">
      <c r="A1203" t="s">
        <v>3078</v>
      </c>
      <c r="B1203" s="1">
        <v>45512</v>
      </c>
      <c r="C1203" s="1">
        <v>45514</v>
      </c>
      <c r="D1203" s="4">
        <f t="shared" si="216"/>
        <v>2</v>
      </c>
      <c r="E1203" s="4" t="str">
        <f>TEXT(Table1[[#This Row],[Order_Date]],"dddd")</f>
        <v>Thursday</v>
      </c>
      <c r="F1203" s="4">
        <f t="shared" si="217"/>
        <v>8</v>
      </c>
      <c r="G1203" t="str">
        <f t="shared" si="220"/>
        <v>August</v>
      </c>
      <c r="H1203">
        <f t="shared" si="221"/>
        <v>2024</v>
      </c>
      <c r="I1203" t="str">
        <f t="shared" si="222"/>
        <v>2024-Q3</v>
      </c>
      <c r="J1203" t="s">
        <v>21</v>
      </c>
      <c r="K1203" t="s">
        <v>3079</v>
      </c>
      <c r="L1203" t="s">
        <v>3080</v>
      </c>
      <c r="M1203" t="s">
        <v>36</v>
      </c>
      <c r="N1203" t="s">
        <v>25</v>
      </c>
      <c r="O1203" t="s">
        <v>149</v>
      </c>
      <c r="P1203" t="s">
        <v>113</v>
      </c>
      <c r="Q1203" t="s">
        <v>66</v>
      </c>
      <c r="R1203" t="s">
        <v>3081</v>
      </c>
      <c r="S1203" t="s">
        <v>30</v>
      </c>
      <c r="T1203" t="s">
        <v>41</v>
      </c>
      <c r="U1203" t="s">
        <v>3082</v>
      </c>
      <c r="V1203" s="3">
        <v>3457.51</v>
      </c>
      <c r="W1203" s="4">
        <v>1</v>
      </c>
      <c r="X1203" s="2">
        <v>0</v>
      </c>
      <c r="Y1203" s="3">
        <v>-133.97999999999999</v>
      </c>
      <c r="Z1203" t="str">
        <f t="shared" si="218"/>
        <v>Normal</v>
      </c>
      <c r="AA1203" t="str">
        <f t="shared" si="219"/>
        <v>Low</v>
      </c>
      <c r="AB1203" t="str">
        <f t="shared" si="223"/>
        <v>Loss</v>
      </c>
      <c r="AC1203" s="3">
        <f t="shared" si="224"/>
        <v>-3.8750430222906071E-2</v>
      </c>
      <c r="AD1203" s="3">
        <f t="shared" si="225"/>
        <v>3457.51</v>
      </c>
      <c r="AE1203" s="3">
        <f t="shared" si="226"/>
        <v>-133.97999999999999</v>
      </c>
      <c r="AF1203" t="str">
        <f t="shared" si="227"/>
        <v>Regular</v>
      </c>
    </row>
    <row r="1204" spans="1:32" x14ac:dyDescent="0.25">
      <c r="A1204" t="s">
        <v>3673</v>
      </c>
      <c r="B1204" s="1">
        <v>45513</v>
      </c>
      <c r="C1204" s="1">
        <v>45516</v>
      </c>
      <c r="D1204" s="4">
        <f t="shared" si="216"/>
        <v>3</v>
      </c>
      <c r="E1204" s="4" t="str">
        <f>TEXT(Table1[[#This Row],[Order_Date]],"dddd")</f>
        <v>Friday</v>
      </c>
      <c r="F1204" s="4">
        <f t="shared" si="217"/>
        <v>8</v>
      </c>
      <c r="G1204" t="str">
        <f t="shared" si="220"/>
        <v>August</v>
      </c>
      <c r="H1204">
        <f t="shared" si="221"/>
        <v>2024</v>
      </c>
      <c r="I1204" t="str">
        <f t="shared" si="222"/>
        <v>2024-Q3</v>
      </c>
      <c r="J1204" t="s">
        <v>21</v>
      </c>
      <c r="K1204" t="s">
        <v>3674</v>
      </c>
      <c r="L1204" t="s">
        <v>3675</v>
      </c>
      <c r="M1204" t="s">
        <v>36</v>
      </c>
      <c r="N1204" t="s">
        <v>25</v>
      </c>
      <c r="O1204" t="s">
        <v>233</v>
      </c>
      <c r="P1204" t="s">
        <v>163</v>
      </c>
      <c r="Q1204" t="s">
        <v>87</v>
      </c>
      <c r="R1204" t="s">
        <v>3676</v>
      </c>
      <c r="S1204" t="s">
        <v>51</v>
      </c>
      <c r="T1204" t="s">
        <v>108</v>
      </c>
      <c r="U1204" t="s">
        <v>3677</v>
      </c>
      <c r="V1204" s="3">
        <v>741.07</v>
      </c>
      <c r="W1204" s="4">
        <v>6</v>
      </c>
      <c r="X1204" s="2">
        <v>0.3</v>
      </c>
      <c r="Y1204" s="3">
        <v>-122.03</v>
      </c>
      <c r="Z1204" t="str">
        <f t="shared" si="218"/>
        <v>Normal</v>
      </c>
      <c r="AA1204" t="str">
        <f t="shared" si="219"/>
        <v>High</v>
      </c>
      <c r="AB1204" t="str">
        <f t="shared" si="223"/>
        <v>Loss</v>
      </c>
      <c r="AC1204" s="3">
        <f t="shared" si="224"/>
        <v>-0.16466730538275737</v>
      </c>
      <c r="AD1204" s="3">
        <f t="shared" si="225"/>
        <v>123.51166666666667</v>
      </c>
      <c r="AE1204" s="3">
        <f t="shared" si="226"/>
        <v>-20.338333333333335</v>
      </c>
      <c r="AF1204" t="str">
        <f t="shared" si="227"/>
        <v>Regular</v>
      </c>
    </row>
    <row r="1205" spans="1:32" x14ac:dyDescent="0.25">
      <c r="A1205" t="s">
        <v>4940</v>
      </c>
      <c r="B1205" s="1">
        <v>45513</v>
      </c>
      <c r="C1205" s="1">
        <v>45523</v>
      </c>
      <c r="D1205" s="4">
        <f t="shared" si="216"/>
        <v>10</v>
      </c>
      <c r="E1205" s="4" t="str">
        <f>TEXT(Table1[[#This Row],[Order_Date]],"dddd")</f>
        <v>Friday</v>
      </c>
      <c r="F1205" s="4">
        <f t="shared" si="217"/>
        <v>8</v>
      </c>
      <c r="G1205" t="str">
        <f t="shared" si="220"/>
        <v>August</v>
      </c>
      <c r="H1205">
        <f t="shared" si="221"/>
        <v>2024</v>
      </c>
      <c r="I1205" t="str">
        <f t="shared" si="222"/>
        <v>2024-Q3</v>
      </c>
      <c r="J1205" t="s">
        <v>44</v>
      </c>
      <c r="K1205" t="s">
        <v>4941</v>
      </c>
      <c r="L1205" t="s">
        <v>4942</v>
      </c>
      <c r="M1205" t="s">
        <v>47</v>
      </c>
      <c r="N1205" t="s">
        <v>25</v>
      </c>
      <c r="O1205" t="s">
        <v>156</v>
      </c>
      <c r="P1205" t="s">
        <v>143</v>
      </c>
      <c r="Q1205" t="s">
        <v>28</v>
      </c>
      <c r="R1205" t="s">
        <v>4943</v>
      </c>
      <c r="S1205" t="s">
        <v>30</v>
      </c>
      <c r="T1205" t="s">
        <v>68</v>
      </c>
      <c r="U1205" t="s">
        <v>4944</v>
      </c>
      <c r="V1205" s="3">
        <v>393.84</v>
      </c>
      <c r="W1205" s="4">
        <v>2</v>
      </c>
      <c r="X1205" s="2">
        <v>0.3</v>
      </c>
      <c r="Y1205" s="3">
        <v>32.4</v>
      </c>
      <c r="Z1205" t="str">
        <f t="shared" si="218"/>
        <v>Normal</v>
      </c>
      <c r="AA1205" t="str">
        <f t="shared" si="219"/>
        <v>High</v>
      </c>
      <c r="AB1205" t="str">
        <f t="shared" si="223"/>
        <v>Low Profit</v>
      </c>
      <c r="AC1205" s="3">
        <f t="shared" si="224"/>
        <v>8.226691042047532E-2</v>
      </c>
      <c r="AD1205" s="3">
        <f t="shared" si="225"/>
        <v>196.92</v>
      </c>
      <c r="AE1205" s="3">
        <f t="shared" si="226"/>
        <v>16.2</v>
      </c>
      <c r="AF1205" t="str">
        <f t="shared" si="227"/>
        <v>Regular</v>
      </c>
    </row>
    <row r="1206" spans="1:32" x14ac:dyDescent="0.25">
      <c r="A1206" t="s">
        <v>3416</v>
      </c>
      <c r="B1206" s="1">
        <v>45513</v>
      </c>
      <c r="C1206" s="1">
        <v>45517</v>
      </c>
      <c r="D1206" s="4">
        <f t="shared" si="216"/>
        <v>4</v>
      </c>
      <c r="E1206" s="4" t="str">
        <f>TEXT(Table1[[#This Row],[Order_Date]],"dddd")</f>
        <v>Friday</v>
      </c>
      <c r="F1206" s="4">
        <f t="shared" si="217"/>
        <v>8</v>
      </c>
      <c r="G1206" t="str">
        <f t="shared" si="220"/>
        <v>August</v>
      </c>
      <c r="H1206">
        <f t="shared" si="221"/>
        <v>2024</v>
      </c>
      <c r="I1206" t="str">
        <f t="shared" si="222"/>
        <v>2024-Q3</v>
      </c>
      <c r="J1206" t="s">
        <v>44</v>
      </c>
      <c r="K1206" t="s">
        <v>3417</v>
      </c>
      <c r="L1206" t="s">
        <v>3418</v>
      </c>
      <c r="M1206" t="s">
        <v>47</v>
      </c>
      <c r="N1206" t="s">
        <v>25</v>
      </c>
      <c r="O1206" t="s">
        <v>142</v>
      </c>
      <c r="P1206" t="s">
        <v>143</v>
      </c>
      <c r="Q1206" t="s">
        <v>28</v>
      </c>
      <c r="R1206" t="s">
        <v>3419</v>
      </c>
      <c r="S1206" t="s">
        <v>59</v>
      </c>
      <c r="T1206" t="s">
        <v>303</v>
      </c>
      <c r="U1206" t="s">
        <v>3420</v>
      </c>
      <c r="V1206" s="3">
        <v>4570.51</v>
      </c>
      <c r="W1206" s="4">
        <v>1</v>
      </c>
      <c r="X1206" s="2">
        <v>0</v>
      </c>
      <c r="Y1206" s="3">
        <v>797.61</v>
      </c>
      <c r="Z1206" t="str">
        <f t="shared" si="218"/>
        <v>Normal</v>
      </c>
      <c r="AA1206" t="str">
        <f t="shared" si="219"/>
        <v>Low</v>
      </c>
      <c r="AB1206" t="str">
        <f t="shared" si="223"/>
        <v>High Profit</v>
      </c>
      <c r="AC1206" s="3">
        <f t="shared" si="224"/>
        <v>0.1745122535559489</v>
      </c>
      <c r="AD1206" s="3">
        <f t="shared" si="225"/>
        <v>4570.51</v>
      </c>
      <c r="AE1206" s="3">
        <f t="shared" si="226"/>
        <v>797.61</v>
      </c>
      <c r="AF1206" t="str">
        <f t="shared" si="227"/>
        <v>Regular</v>
      </c>
    </row>
    <row r="1207" spans="1:32" x14ac:dyDescent="0.25">
      <c r="A1207" t="s">
        <v>3112</v>
      </c>
      <c r="B1207" s="1">
        <v>45514</v>
      </c>
      <c r="C1207" s="1">
        <v>45523</v>
      </c>
      <c r="D1207" s="4">
        <f t="shared" si="216"/>
        <v>9</v>
      </c>
      <c r="E1207" s="4" t="str">
        <f>TEXT(Table1[[#This Row],[Order_Date]],"dddd")</f>
        <v>Saturday</v>
      </c>
      <c r="F1207" s="4">
        <f t="shared" si="217"/>
        <v>8</v>
      </c>
      <c r="G1207" t="str">
        <f t="shared" si="220"/>
        <v>August</v>
      </c>
      <c r="H1207">
        <f t="shared" si="221"/>
        <v>2024</v>
      </c>
      <c r="I1207" t="str">
        <f t="shared" si="222"/>
        <v>2024-Q3</v>
      </c>
      <c r="J1207" t="s">
        <v>21</v>
      </c>
      <c r="K1207" t="s">
        <v>3113</v>
      </c>
      <c r="L1207" t="s">
        <v>3114</v>
      </c>
      <c r="M1207" t="s">
        <v>24</v>
      </c>
      <c r="N1207" t="s">
        <v>25</v>
      </c>
      <c r="O1207" t="s">
        <v>201</v>
      </c>
      <c r="P1207" t="s">
        <v>113</v>
      </c>
      <c r="Q1207" t="s">
        <v>87</v>
      </c>
      <c r="R1207" t="s">
        <v>3115</v>
      </c>
      <c r="S1207" t="s">
        <v>59</v>
      </c>
      <c r="T1207" t="s">
        <v>101</v>
      </c>
      <c r="U1207" t="s">
        <v>3116</v>
      </c>
      <c r="V1207" s="3">
        <v>966.44</v>
      </c>
      <c r="W1207" s="4">
        <v>1</v>
      </c>
      <c r="X1207" s="2">
        <v>0</v>
      </c>
      <c r="Y1207" s="3">
        <v>33.74</v>
      </c>
      <c r="Z1207" t="str">
        <f t="shared" si="218"/>
        <v>Normal</v>
      </c>
      <c r="AA1207" t="str">
        <f t="shared" si="219"/>
        <v>Low</v>
      </c>
      <c r="AB1207" t="str">
        <f t="shared" si="223"/>
        <v>Low Profit</v>
      </c>
      <c r="AC1207" s="3">
        <f t="shared" si="224"/>
        <v>3.4911634452216379E-2</v>
      </c>
      <c r="AD1207" s="3">
        <f t="shared" si="225"/>
        <v>966.44</v>
      </c>
      <c r="AE1207" s="3">
        <f t="shared" si="226"/>
        <v>33.74</v>
      </c>
      <c r="AF1207" t="str">
        <f t="shared" si="227"/>
        <v>Regular</v>
      </c>
    </row>
    <row r="1208" spans="1:32" x14ac:dyDescent="0.25">
      <c r="A1208" t="s">
        <v>1131</v>
      </c>
      <c r="B1208" s="1">
        <v>45514</v>
      </c>
      <c r="C1208" s="1">
        <v>45519</v>
      </c>
      <c r="D1208" s="4">
        <f t="shared" si="216"/>
        <v>5</v>
      </c>
      <c r="E1208" s="4" t="str">
        <f>TEXT(Table1[[#This Row],[Order_Date]],"dddd")</f>
        <v>Saturday</v>
      </c>
      <c r="F1208" s="4">
        <f t="shared" si="217"/>
        <v>8</v>
      </c>
      <c r="G1208" t="str">
        <f t="shared" si="220"/>
        <v>August</v>
      </c>
      <c r="H1208">
        <f t="shared" si="221"/>
        <v>2024</v>
      </c>
      <c r="I1208" t="str">
        <f t="shared" si="222"/>
        <v>2024-Q3</v>
      </c>
      <c r="J1208" t="s">
        <v>55</v>
      </c>
      <c r="K1208" t="s">
        <v>1132</v>
      </c>
      <c r="L1208" t="s">
        <v>1133</v>
      </c>
      <c r="M1208" t="s">
        <v>24</v>
      </c>
      <c r="N1208" t="s">
        <v>25</v>
      </c>
      <c r="O1208" t="s">
        <v>244</v>
      </c>
      <c r="P1208" t="s">
        <v>163</v>
      </c>
      <c r="Q1208" t="s">
        <v>87</v>
      </c>
      <c r="R1208" t="s">
        <v>1134</v>
      </c>
      <c r="S1208" t="s">
        <v>59</v>
      </c>
      <c r="T1208" t="s">
        <v>60</v>
      </c>
      <c r="U1208" t="s">
        <v>1135</v>
      </c>
      <c r="V1208" s="3">
        <v>2419.62</v>
      </c>
      <c r="W1208" s="4">
        <v>3</v>
      </c>
      <c r="X1208" s="2">
        <v>0.1</v>
      </c>
      <c r="Y1208" s="3">
        <v>-294.81</v>
      </c>
      <c r="Z1208" t="str">
        <f t="shared" si="218"/>
        <v>Normal</v>
      </c>
      <c r="AA1208" t="str">
        <f t="shared" si="219"/>
        <v>Medium</v>
      </c>
      <c r="AB1208" t="str">
        <f t="shared" si="223"/>
        <v>Loss</v>
      </c>
      <c r="AC1208" s="3">
        <f t="shared" si="224"/>
        <v>-0.12184144617749895</v>
      </c>
      <c r="AD1208" s="3">
        <f t="shared" si="225"/>
        <v>806.54</v>
      </c>
      <c r="AE1208" s="3">
        <f t="shared" si="226"/>
        <v>-98.27</v>
      </c>
      <c r="AF1208" t="str">
        <f t="shared" si="227"/>
        <v>Regular</v>
      </c>
    </row>
    <row r="1209" spans="1:32" x14ac:dyDescent="0.25">
      <c r="A1209" t="s">
        <v>858</v>
      </c>
      <c r="B1209" s="1">
        <v>45515</v>
      </c>
      <c r="C1209" s="1">
        <v>45518</v>
      </c>
      <c r="D1209" s="4">
        <f t="shared" si="216"/>
        <v>3</v>
      </c>
      <c r="E1209" s="4" t="str">
        <f>TEXT(Table1[[#This Row],[Order_Date]],"dddd")</f>
        <v>Sunday</v>
      </c>
      <c r="F1209" s="4">
        <f t="shared" si="217"/>
        <v>8</v>
      </c>
      <c r="G1209" t="str">
        <f t="shared" si="220"/>
        <v>August</v>
      </c>
      <c r="H1209">
        <f t="shared" si="221"/>
        <v>2024</v>
      </c>
      <c r="I1209" t="str">
        <f t="shared" si="222"/>
        <v>2024-Q3</v>
      </c>
      <c r="J1209" t="s">
        <v>104</v>
      </c>
      <c r="K1209" t="s">
        <v>859</v>
      </c>
      <c r="L1209" t="s">
        <v>860</v>
      </c>
      <c r="M1209" t="s">
        <v>47</v>
      </c>
      <c r="N1209" t="s">
        <v>25</v>
      </c>
      <c r="O1209" t="s">
        <v>26</v>
      </c>
      <c r="P1209" t="s">
        <v>27</v>
      </c>
      <c r="Q1209" t="s">
        <v>39</v>
      </c>
      <c r="R1209" t="s">
        <v>861</v>
      </c>
      <c r="S1209" t="s">
        <v>30</v>
      </c>
      <c r="T1209" t="s">
        <v>41</v>
      </c>
      <c r="U1209" t="s">
        <v>862</v>
      </c>
      <c r="V1209" s="3">
        <v>3549.59</v>
      </c>
      <c r="W1209" s="4">
        <v>4</v>
      </c>
      <c r="X1209" s="2">
        <v>0.1</v>
      </c>
      <c r="Y1209" s="3">
        <v>1031.5999999999999</v>
      </c>
      <c r="Z1209" t="str">
        <f t="shared" si="218"/>
        <v>Outlier</v>
      </c>
      <c r="AA1209" t="str">
        <f t="shared" si="219"/>
        <v>Medium</v>
      </c>
      <c r="AB1209" t="str">
        <f t="shared" si="223"/>
        <v>High Profit</v>
      </c>
      <c r="AC1209" s="3">
        <f t="shared" si="224"/>
        <v>0.29062511444983785</v>
      </c>
      <c r="AD1209" s="3">
        <f t="shared" si="225"/>
        <v>887.39750000000004</v>
      </c>
      <c r="AE1209" s="3">
        <f t="shared" si="226"/>
        <v>257.89999999999998</v>
      </c>
      <c r="AF1209" t="str">
        <f t="shared" si="227"/>
        <v>Regular</v>
      </c>
    </row>
    <row r="1210" spans="1:32" x14ac:dyDescent="0.25">
      <c r="A1210" t="s">
        <v>2182</v>
      </c>
      <c r="B1210" s="1">
        <v>45516</v>
      </c>
      <c r="C1210" s="1">
        <v>45522</v>
      </c>
      <c r="D1210" s="4">
        <f t="shared" si="216"/>
        <v>6</v>
      </c>
      <c r="E1210" s="4" t="str">
        <f>TEXT(Table1[[#This Row],[Order_Date]],"dddd")</f>
        <v>Monday</v>
      </c>
      <c r="F1210" s="4">
        <f t="shared" si="217"/>
        <v>8</v>
      </c>
      <c r="G1210" t="str">
        <f t="shared" si="220"/>
        <v>August</v>
      </c>
      <c r="H1210">
        <f t="shared" si="221"/>
        <v>2024</v>
      </c>
      <c r="I1210" t="str">
        <f t="shared" si="222"/>
        <v>2024-Q3</v>
      </c>
      <c r="J1210" t="s">
        <v>44</v>
      </c>
      <c r="K1210" t="s">
        <v>2183</v>
      </c>
      <c r="L1210" t="s">
        <v>2184</v>
      </c>
      <c r="M1210" t="s">
        <v>47</v>
      </c>
      <c r="N1210" t="s">
        <v>25</v>
      </c>
      <c r="O1210" t="s">
        <v>65</v>
      </c>
      <c r="P1210" t="s">
        <v>27</v>
      </c>
      <c r="Q1210" t="s">
        <v>87</v>
      </c>
      <c r="R1210" t="s">
        <v>2185</v>
      </c>
      <c r="S1210" t="s">
        <v>51</v>
      </c>
      <c r="T1210" t="s">
        <v>94</v>
      </c>
      <c r="U1210" t="s">
        <v>2186</v>
      </c>
      <c r="V1210" s="3">
        <v>4108.16</v>
      </c>
      <c r="W1210" s="4">
        <v>1</v>
      </c>
      <c r="X1210" s="2">
        <v>0.2</v>
      </c>
      <c r="Y1210" s="3">
        <v>1147.23</v>
      </c>
      <c r="Z1210" t="str">
        <f t="shared" si="218"/>
        <v>Outlier</v>
      </c>
      <c r="AA1210" t="str">
        <f t="shared" si="219"/>
        <v>High</v>
      </c>
      <c r="AB1210" t="str">
        <f t="shared" si="223"/>
        <v>High Profit</v>
      </c>
      <c r="AC1210" s="3">
        <f t="shared" si="224"/>
        <v>0.27925640676117774</v>
      </c>
      <c r="AD1210" s="3">
        <f t="shared" si="225"/>
        <v>4108.16</v>
      </c>
      <c r="AE1210" s="3">
        <f t="shared" si="226"/>
        <v>1147.23</v>
      </c>
      <c r="AF1210" t="str">
        <f t="shared" si="227"/>
        <v>Regular</v>
      </c>
    </row>
    <row r="1211" spans="1:32" x14ac:dyDescent="0.25">
      <c r="A1211" t="s">
        <v>4701</v>
      </c>
      <c r="B1211" s="1">
        <v>45516</v>
      </c>
      <c r="C1211" s="1">
        <v>45518</v>
      </c>
      <c r="D1211" s="4">
        <f t="shared" si="216"/>
        <v>2</v>
      </c>
      <c r="E1211" s="4" t="str">
        <f>TEXT(Table1[[#This Row],[Order_Date]],"dddd")</f>
        <v>Monday</v>
      </c>
      <c r="F1211" s="4">
        <f t="shared" si="217"/>
        <v>8</v>
      </c>
      <c r="G1211" t="str">
        <f t="shared" si="220"/>
        <v>August</v>
      </c>
      <c r="H1211">
        <f t="shared" si="221"/>
        <v>2024</v>
      </c>
      <c r="I1211" t="str">
        <f t="shared" si="222"/>
        <v>2024-Q3</v>
      </c>
      <c r="J1211" t="s">
        <v>55</v>
      </c>
      <c r="K1211" t="s">
        <v>4702</v>
      </c>
      <c r="L1211" t="s">
        <v>4703</v>
      </c>
      <c r="M1211" t="s">
        <v>36</v>
      </c>
      <c r="N1211" t="s">
        <v>25</v>
      </c>
      <c r="O1211" t="s">
        <v>451</v>
      </c>
      <c r="P1211" t="s">
        <v>38</v>
      </c>
      <c r="Q1211" t="s">
        <v>39</v>
      </c>
      <c r="R1211" t="s">
        <v>4704</v>
      </c>
      <c r="S1211" t="s">
        <v>30</v>
      </c>
      <c r="T1211" t="s">
        <v>31</v>
      </c>
      <c r="U1211" t="s">
        <v>4705</v>
      </c>
      <c r="V1211" s="3">
        <v>1325.6</v>
      </c>
      <c r="W1211" s="4">
        <v>1</v>
      </c>
      <c r="X1211" s="2">
        <v>0.4</v>
      </c>
      <c r="Y1211" s="3">
        <v>336.62</v>
      </c>
      <c r="Z1211" t="str">
        <f t="shared" si="218"/>
        <v>Normal</v>
      </c>
      <c r="AA1211" t="str">
        <f t="shared" si="219"/>
        <v>High</v>
      </c>
      <c r="AB1211" t="str">
        <f t="shared" si="223"/>
        <v>Low Profit</v>
      </c>
      <c r="AC1211" s="3">
        <f t="shared" si="224"/>
        <v>0.25393783946891973</v>
      </c>
      <c r="AD1211" s="3">
        <f t="shared" si="225"/>
        <v>1325.6</v>
      </c>
      <c r="AE1211" s="3">
        <f t="shared" si="226"/>
        <v>336.62</v>
      </c>
      <c r="AF1211" t="str">
        <f t="shared" si="227"/>
        <v>Regular</v>
      </c>
    </row>
    <row r="1212" spans="1:32" x14ac:dyDescent="0.25">
      <c r="A1212" t="s">
        <v>6586</v>
      </c>
      <c r="B1212" s="1">
        <v>45517</v>
      </c>
      <c r="C1212" s="1">
        <v>45519</v>
      </c>
      <c r="D1212" s="4">
        <f t="shared" si="216"/>
        <v>2</v>
      </c>
      <c r="E1212" s="4" t="str">
        <f>TEXT(Table1[[#This Row],[Order_Date]],"dddd")</f>
        <v>Tuesday</v>
      </c>
      <c r="F1212" s="4">
        <f t="shared" si="217"/>
        <v>8</v>
      </c>
      <c r="G1212" t="str">
        <f t="shared" si="220"/>
        <v>August</v>
      </c>
      <c r="H1212">
        <f t="shared" si="221"/>
        <v>2024</v>
      </c>
      <c r="I1212" t="str">
        <f t="shared" si="222"/>
        <v>2024-Q3</v>
      </c>
      <c r="J1212" t="s">
        <v>44</v>
      </c>
      <c r="K1212" t="s">
        <v>6587</v>
      </c>
      <c r="L1212" t="s">
        <v>6588</v>
      </c>
      <c r="M1212" t="s">
        <v>47</v>
      </c>
      <c r="N1212" t="s">
        <v>25</v>
      </c>
      <c r="O1212" t="s">
        <v>179</v>
      </c>
      <c r="P1212" t="s">
        <v>27</v>
      </c>
      <c r="Q1212" t="s">
        <v>87</v>
      </c>
      <c r="R1212" t="s">
        <v>6589</v>
      </c>
      <c r="S1212" t="s">
        <v>30</v>
      </c>
      <c r="T1212" t="s">
        <v>41</v>
      </c>
      <c r="U1212" t="s">
        <v>6590</v>
      </c>
      <c r="V1212" s="3">
        <v>762.18</v>
      </c>
      <c r="W1212" s="4">
        <v>3</v>
      </c>
      <c r="X1212" s="2">
        <v>0.4</v>
      </c>
      <c r="Y1212" s="3">
        <v>-119.54</v>
      </c>
      <c r="Z1212" t="str">
        <f t="shared" si="218"/>
        <v>Normal</v>
      </c>
      <c r="AA1212" t="str">
        <f t="shared" si="219"/>
        <v>High</v>
      </c>
      <c r="AB1212" t="str">
        <f t="shared" si="223"/>
        <v>Loss</v>
      </c>
      <c r="AC1212" s="3">
        <f t="shared" si="224"/>
        <v>-0.15683959169749931</v>
      </c>
      <c r="AD1212" s="3">
        <f t="shared" si="225"/>
        <v>254.05999999999997</v>
      </c>
      <c r="AE1212" s="3">
        <f t="shared" si="226"/>
        <v>-39.846666666666671</v>
      </c>
      <c r="AF1212" t="str">
        <f t="shared" si="227"/>
        <v>Regular</v>
      </c>
    </row>
    <row r="1213" spans="1:32" x14ac:dyDescent="0.25">
      <c r="A1213" t="s">
        <v>3426</v>
      </c>
      <c r="B1213" s="1">
        <v>45519</v>
      </c>
      <c r="C1213" s="1">
        <v>45521</v>
      </c>
      <c r="D1213" s="4">
        <f t="shared" si="216"/>
        <v>2</v>
      </c>
      <c r="E1213" s="4" t="str">
        <f>TEXT(Table1[[#This Row],[Order_Date]],"dddd")</f>
        <v>Thursday</v>
      </c>
      <c r="F1213" s="4">
        <f t="shared" si="217"/>
        <v>8</v>
      </c>
      <c r="G1213" t="str">
        <f t="shared" si="220"/>
        <v>August</v>
      </c>
      <c r="H1213">
        <f t="shared" si="221"/>
        <v>2024</v>
      </c>
      <c r="I1213" t="str">
        <f t="shared" si="222"/>
        <v>2024-Q3</v>
      </c>
      <c r="J1213" t="s">
        <v>104</v>
      </c>
      <c r="K1213" t="s">
        <v>3427</v>
      </c>
      <c r="L1213" t="s">
        <v>3428</v>
      </c>
      <c r="M1213" t="s">
        <v>47</v>
      </c>
      <c r="N1213" t="s">
        <v>25</v>
      </c>
      <c r="O1213" t="s">
        <v>511</v>
      </c>
      <c r="P1213" t="s">
        <v>120</v>
      </c>
      <c r="Q1213" t="s">
        <v>39</v>
      </c>
      <c r="R1213" t="s">
        <v>3429</v>
      </c>
      <c r="S1213" t="s">
        <v>59</v>
      </c>
      <c r="T1213" t="s">
        <v>277</v>
      </c>
      <c r="U1213" t="s">
        <v>3165</v>
      </c>
      <c r="V1213" s="3">
        <v>2060.33</v>
      </c>
      <c r="W1213" s="4">
        <v>7</v>
      </c>
      <c r="X1213" s="2">
        <v>0</v>
      </c>
      <c r="Y1213" s="3">
        <v>-259.14999999999998</v>
      </c>
      <c r="Z1213" t="str">
        <f t="shared" si="218"/>
        <v>Normal</v>
      </c>
      <c r="AA1213" t="str">
        <f t="shared" si="219"/>
        <v>Low</v>
      </c>
      <c r="AB1213" t="str">
        <f t="shared" si="223"/>
        <v>Loss</v>
      </c>
      <c r="AC1213" s="3">
        <f t="shared" si="224"/>
        <v>-0.1257808215188829</v>
      </c>
      <c r="AD1213" s="3">
        <f t="shared" si="225"/>
        <v>294.33285714285711</v>
      </c>
      <c r="AE1213" s="3">
        <f t="shared" si="226"/>
        <v>-37.021428571428565</v>
      </c>
      <c r="AF1213" t="str">
        <f t="shared" si="227"/>
        <v>Regular</v>
      </c>
    </row>
    <row r="1214" spans="1:32" x14ac:dyDescent="0.25">
      <c r="A1214" t="s">
        <v>1031</v>
      </c>
      <c r="B1214" s="1">
        <v>45519</v>
      </c>
      <c r="C1214" s="1">
        <v>45523</v>
      </c>
      <c r="D1214" s="4">
        <f t="shared" si="216"/>
        <v>4</v>
      </c>
      <c r="E1214" s="4" t="str">
        <f>TEXT(Table1[[#This Row],[Order_Date]],"dddd")</f>
        <v>Thursday</v>
      </c>
      <c r="F1214" s="4">
        <f t="shared" si="217"/>
        <v>8</v>
      </c>
      <c r="G1214" t="str">
        <f t="shared" si="220"/>
        <v>August</v>
      </c>
      <c r="H1214">
        <f t="shared" si="221"/>
        <v>2024</v>
      </c>
      <c r="I1214" t="str">
        <f t="shared" si="222"/>
        <v>2024-Q3</v>
      </c>
      <c r="J1214" t="s">
        <v>21</v>
      </c>
      <c r="K1214" t="s">
        <v>1032</v>
      </c>
      <c r="L1214" t="s">
        <v>1033</v>
      </c>
      <c r="M1214" t="s">
        <v>36</v>
      </c>
      <c r="N1214" t="s">
        <v>25</v>
      </c>
      <c r="O1214" t="s">
        <v>190</v>
      </c>
      <c r="P1214" t="s">
        <v>120</v>
      </c>
      <c r="Q1214" t="s">
        <v>39</v>
      </c>
      <c r="R1214" t="s">
        <v>1034</v>
      </c>
      <c r="S1214" t="s">
        <v>30</v>
      </c>
      <c r="T1214" t="s">
        <v>82</v>
      </c>
      <c r="U1214" t="s">
        <v>1035</v>
      </c>
      <c r="V1214" s="3">
        <v>341.17</v>
      </c>
      <c r="W1214" s="4">
        <v>7</v>
      </c>
      <c r="X1214" s="2">
        <v>0.4</v>
      </c>
      <c r="Y1214" s="3">
        <v>56.16</v>
      </c>
      <c r="Z1214" t="str">
        <f t="shared" si="218"/>
        <v>Normal</v>
      </c>
      <c r="AA1214" t="str">
        <f t="shared" si="219"/>
        <v>High</v>
      </c>
      <c r="AB1214" t="str">
        <f t="shared" si="223"/>
        <v>Low Profit</v>
      </c>
      <c r="AC1214" s="3">
        <f t="shared" si="224"/>
        <v>0.16461001846586742</v>
      </c>
      <c r="AD1214" s="3">
        <f t="shared" si="225"/>
        <v>48.738571428571433</v>
      </c>
      <c r="AE1214" s="3">
        <f t="shared" si="226"/>
        <v>8.0228571428571431</v>
      </c>
      <c r="AF1214" t="str">
        <f t="shared" si="227"/>
        <v>Regular</v>
      </c>
    </row>
    <row r="1215" spans="1:32" x14ac:dyDescent="0.25">
      <c r="A1215" t="s">
        <v>7275</v>
      </c>
      <c r="B1215" s="1">
        <v>45519</v>
      </c>
      <c r="C1215" s="1">
        <v>45520</v>
      </c>
      <c r="D1215" s="4">
        <f t="shared" si="216"/>
        <v>1</v>
      </c>
      <c r="E1215" s="4" t="str">
        <f>TEXT(Table1[[#This Row],[Order_Date]],"dddd")</f>
        <v>Thursday</v>
      </c>
      <c r="F1215" s="4">
        <f t="shared" si="217"/>
        <v>8</v>
      </c>
      <c r="G1215" t="str">
        <f t="shared" si="220"/>
        <v>August</v>
      </c>
      <c r="H1215">
        <f t="shared" si="221"/>
        <v>2024</v>
      </c>
      <c r="I1215" t="str">
        <f t="shared" si="222"/>
        <v>2024-Q3</v>
      </c>
      <c r="J1215" t="s">
        <v>55</v>
      </c>
      <c r="K1215" t="s">
        <v>7276</v>
      </c>
      <c r="L1215" t="s">
        <v>7277</v>
      </c>
      <c r="M1215" t="s">
        <v>36</v>
      </c>
      <c r="N1215" t="s">
        <v>25</v>
      </c>
      <c r="O1215" t="s">
        <v>162</v>
      </c>
      <c r="P1215" t="s">
        <v>163</v>
      </c>
      <c r="Q1215" t="s">
        <v>39</v>
      </c>
      <c r="R1215" t="s">
        <v>7278</v>
      </c>
      <c r="S1215" t="s">
        <v>59</v>
      </c>
      <c r="T1215" t="s">
        <v>277</v>
      </c>
      <c r="U1215" t="s">
        <v>7279</v>
      </c>
      <c r="V1215" s="3">
        <v>4780.96</v>
      </c>
      <c r="W1215" s="4">
        <v>5</v>
      </c>
      <c r="X1215" s="2">
        <v>0.3</v>
      </c>
      <c r="Y1215" s="3">
        <v>249.04</v>
      </c>
      <c r="Z1215" t="str">
        <f t="shared" si="218"/>
        <v>Normal</v>
      </c>
      <c r="AA1215" t="str">
        <f t="shared" si="219"/>
        <v>High</v>
      </c>
      <c r="AB1215" t="str">
        <f t="shared" si="223"/>
        <v>Low Profit</v>
      </c>
      <c r="AC1215" s="3">
        <f t="shared" si="224"/>
        <v>5.2089956828754058E-2</v>
      </c>
      <c r="AD1215" s="3">
        <f t="shared" si="225"/>
        <v>956.19200000000001</v>
      </c>
      <c r="AE1215" s="3">
        <f t="shared" si="226"/>
        <v>49.808</v>
      </c>
      <c r="AF1215" t="str">
        <f t="shared" si="227"/>
        <v>Regular</v>
      </c>
    </row>
    <row r="1216" spans="1:32" x14ac:dyDescent="0.25">
      <c r="A1216" t="s">
        <v>1897</v>
      </c>
      <c r="B1216" s="1">
        <v>45521</v>
      </c>
      <c r="C1216" s="1">
        <v>45531</v>
      </c>
      <c r="D1216" s="4">
        <f t="shared" si="216"/>
        <v>10</v>
      </c>
      <c r="E1216" s="4" t="str">
        <f>TEXT(Table1[[#This Row],[Order_Date]],"dddd")</f>
        <v>Saturday</v>
      </c>
      <c r="F1216" s="4">
        <f t="shared" si="217"/>
        <v>8</v>
      </c>
      <c r="G1216" t="str">
        <f t="shared" si="220"/>
        <v>August</v>
      </c>
      <c r="H1216">
        <f t="shared" si="221"/>
        <v>2024</v>
      </c>
      <c r="I1216" t="str">
        <f t="shared" si="222"/>
        <v>2024-Q3</v>
      </c>
      <c r="J1216" t="s">
        <v>44</v>
      </c>
      <c r="K1216" t="s">
        <v>1898</v>
      </c>
      <c r="L1216" t="s">
        <v>1899</v>
      </c>
      <c r="M1216" t="s">
        <v>36</v>
      </c>
      <c r="N1216" t="s">
        <v>25</v>
      </c>
      <c r="O1216" t="s">
        <v>233</v>
      </c>
      <c r="P1216" t="s">
        <v>163</v>
      </c>
      <c r="Q1216" t="s">
        <v>66</v>
      </c>
      <c r="R1216" t="s">
        <v>1900</v>
      </c>
      <c r="S1216" t="s">
        <v>30</v>
      </c>
      <c r="T1216" t="s">
        <v>68</v>
      </c>
      <c r="U1216" t="s">
        <v>1901</v>
      </c>
      <c r="V1216" s="3">
        <v>491.74</v>
      </c>
      <c r="W1216" s="4">
        <v>2</v>
      </c>
      <c r="X1216" s="2">
        <v>0.3</v>
      </c>
      <c r="Y1216" s="3">
        <v>131.35</v>
      </c>
      <c r="Z1216" t="str">
        <f t="shared" si="218"/>
        <v>Normal</v>
      </c>
      <c r="AA1216" t="str">
        <f t="shared" si="219"/>
        <v>High</v>
      </c>
      <c r="AB1216" t="str">
        <f t="shared" si="223"/>
        <v>Low Profit</v>
      </c>
      <c r="AC1216" s="3">
        <f t="shared" si="224"/>
        <v>0.26711270183430269</v>
      </c>
      <c r="AD1216" s="3">
        <f t="shared" si="225"/>
        <v>245.87</v>
      </c>
      <c r="AE1216" s="3">
        <f t="shared" si="226"/>
        <v>65.674999999999997</v>
      </c>
      <c r="AF1216" t="str">
        <f t="shared" si="227"/>
        <v>Regular</v>
      </c>
    </row>
    <row r="1217" spans="1:32" x14ac:dyDescent="0.25">
      <c r="A1217" t="s">
        <v>5855</v>
      </c>
      <c r="B1217" s="1">
        <v>45521</v>
      </c>
      <c r="C1217" s="1">
        <v>45529</v>
      </c>
      <c r="D1217" s="4">
        <f t="shared" si="216"/>
        <v>8</v>
      </c>
      <c r="E1217" s="4" t="str">
        <f>TEXT(Table1[[#This Row],[Order_Date]],"dddd")</f>
        <v>Saturday</v>
      </c>
      <c r="F1217" s="4">
        <f t="shared" si="217"/>
        <v>8</v>
      </c>
      <c r="G1217" t="str">
        <f t="shared" si="220"/>
        <v>August</v>
      </c>
      <c r="H1217">
        <f t="shared" si="221"/>
        <v>2024</v>
      </c>
      <c r="I1217" t="str">
        <f t="shared" si="222"/>
        <v>2024-Q3</v>
      </c>
      <c r="J1217" t="s">
        <v>55</v>
      </c>
      <c r="K1217" t="s">
        <v>5856</v>
      </c>
      <c r="L1217" t="s">
        <v>5857</v>
      </c>
      <c r="M1217" t="s">
        <v>36</v>
      </c>
      <c r="N1217" t="s">
        <v>25</v>
      </c>
      <c r="O1217" t="s">
        <v>26</v>
      </c>
      <c r="P1217" t="s">
        <v>27</v>
      </c>
      <c r="Q1217" t="s">
        <v>39</v>
      </c>
      <c r="R1217" t="s">
        <v>5858</v>
      </c>
      <c r="S1217" t="s">
        <v>51</v>
      </c>
      <c r="T1217" t="s">
        <v>94</v>
      </c>
      <c r="U1217" t="s">
        <v>5859</v>
      </c>
      <c r="V1217" s="3">
        <v>1846.39</v>
      </c>
      <c r="W1217" s="4">
        <v>6</v>
      </c>
      <c r="X1217" s="2">
        <v>0.4</v>
      </c>
      <c r="Y1217" s="3">
        <v>179.42</v>
      </c>
      <c r="Z1217" t="str">
        <f t="shared" si="218"/>
        <v>Normal</v>
      </c>
      <c r="AA1217" t="str">
        <f t="shared" si="219"/>
        <v>High</v>
      </c>
      <c r="AB1217" t="str">
        <f t="shared" si="223"/>
        <v>Low Profit</v>
      </c>
      <c r="AC1217" s="3">
        <f t="shared" si="224"/>
        <v>9.7173403235502775E-2</v>
      </c>
      <c r="AD1217" s="3">
        <f t="shared" si="225"/>
        <v>307.73166666666668</v>
      </c>
      <c r="AE1217" s="3">
        <f t="shared" si="226"/>
        <v>29.903333333333332</v>
      </c>
      <c r="AF1217" t="str">
        <f t="shared" si="227"/>
        <v>Regular</v>
      </c>
    </row>
    <row r="1218" spans="1:32" x14ac:dyDescent="0.25">
      <c r="A1218" t="s">
        <v>6693</v>
      </c>
      <c r="B1218" s="1">
        <v>45521</v>
      </c>
      <c r="C1218" s="1">
        <v>45529</v>
      </c>
      <c r="D1218" s="4">
        <f t="shared" ref="D1218:D1281" si="228">C1218-B1218</f>
        <v>8</v>
      </c>
      <c r="E1218" s="4" t="str">
        <f>TEXT(Table1[[#This Row],[Order_Date]],"dddd")</f>
        <v>Saturday</v>
      </c>
      <c r="F1218" s="4">
        <f t="shared" ref="F1218:F1281" si="229">MONTH(B1218)</f>
        <v>8</v>
      </c>
      <c r="G1218" t="str">
        <f t="shared" si="220"/>
        <v>August</v>
      </c>
      <c r="H1218">
        <f t="shared" si="221"/>
        <v>2024</v>
      </c>
      <c r="I1218" t="str">
        <f t="shared" si="222"/>
        <v>2024-Q3</v>
      </c>
      <c r="J1218" t="s">
        <v>104</v>
      </c>
      <c r="K1218" t="s">
        <v>6694</v>
      </c>
      <c r="L1218" t="s">
        <v>6695</v>
      </c>
      <c r="M1218" t="s">
        <v>47</v>
      </c>
      <c r="N1218" t="s">
        <v>25</v>
      </c>
      <c r="O1218" t="s">
        <v>142</v>
      </c>
      <c r="P1218" t="s">
        <v>143</v>
      </c>
      <c r="Q1218" t="s">
        <v>39</v>
      </c>
      <c r="R1218" t="s">
        <v>6696</v>
      </c>
      <c r="S1218" t="s">
        <v>51</v>
      </c>
      <c r="T1218" t="s">
        <v>127</v>
      </c>
      <c r="U1218" t="s">
        <v>6697</v>
      </c>
      <c r="V1218" s="3">
        <v>1915.31</v>
      </c>
      <c r="W1218" s="4">
        <v>2</v>
      </c>
      <c r="X1218" s="2">
        <v>0</v>
      </c>
      <c r="Y1218" s="3">
        <v>573.98</v>
      </c>
      <c r="Z1218" t="str">
        <f t="shared" ref="Z1218:Z1281" si="230">IF(OR(Y1218&lt;-800.884,Y1218&gt;1030.126),"Outlier","Normal")</f>
        <v>Normal</v>
      </c>
      <c r="AA1218" t="str">
        <f t="shared" ref="AA1218:AA1281" si="231">IF(X1218&lt;10%,"Low",IF(X1218&lt;0.2,"Medium","High"))</f>
        <v>Low</v>
      </c>
      <c r="AB1218" t="str">
        <f t="shared" si="223"/>
        <v>High Profit</v>
      </c>
      <c r="AC1218" s="3">
        <f t="shared" si="224"/>
        <v>0.29967994737144382</v>
      </c>
      <c r="AD1218" s="3">
        <f t="shared" si="225"/>
        <v>957.65499999999997</v>
      </c>
      <c r="AE1218" s="3">
        <f t="shared" si="226"/>
        <v>286.99</v>
      </c>
      <c r="AF1218" t="str">
        <f t="shared" si="227"/>
        <v>Regular</v>
      </c>
    </row>
    <row r="1219" spans="1:32" x14ac:dyDescent="0.25">
      <c r="A1219" t="s">
        <v>1307</v>
      </c>
      <c r="B1219" s="1">
        <v>45521</v>
      </c>
      <c r="C1219" s="1">
        <v>45524</v>
      </c>
      <c r="D1219" s="4">
        <f t="shared" si="228"/>
        <v>3</v>
      </c>
      <c r="E1219" s="4" t="str">
        <f>TEXT(Table1[[#This Row],[Order_Date]],"dddd")</f>
        <v>Saturday</v>
      </c>
      <c r="F1219" s="4">
        <f t="shared" si="229"/>
        <v>8</v>
      </c>
      <c r="G1219" t="str">
        <f t="shared" ref="G1219:G1282" si="232">TEXT(B1219,"mmmm")</f>
        <v>August</v>
      </c>
      <c r="H1219">
        <f t="shared" ref="H1219:H1282" si="233">YEAR(B1219)</f>
        <v>2024</v>
      </c>
      <c r="I1219" t="str">
        <f t="shared" ref="I1219:I1282" si="234">H1219 &amp; "-Q" &amp; INT((MONTH(B1219)+2)/3)</f>
        <v>2024-Q3</v>
      </c>
      <c r="J1219" t="s">
        <v>21</v>
      </c>
      <c r="K1219" t="s">
        <v>1308</v>
      </c>
      <c r="L1219" t="s">
        <v>1309</v>
      </c>
      <c r="M1219" t="s">
        <v>36</v>
      </c>
      <c r="N1219" t="s">
        <v>25</v>
      </c>
      <c r="O1219" t="s">
        <v>611</v>
      </c>
      <c r="P1219" t="s">
        <v>74</v>
      </c>
      <c r="Q1219" t="s">
        <v>28</v>
      </c>
      <c r="R1219" t="s">
        <v>1310</v>
      </c>
      <c r="S1219" t="s">
        <v>30</v>
      </c>
      <c r="T1219" t="s">
        <v>41</v>
      </c>
      <c r="U1219" t="s">
        <v>1311</v>
      </c>
      <c r="V1219" s="3">
        <v>201.02</v>
      </c>
      <c r="W1219" s="4">
        <v>4</v>
      </c>
      <c r="X1219" s="2">
        <v>0.2</v>
      </c>
      <c r="Y1219" s="3">
        <v>-20.440000000000001</v>
      </c>
      <c r="Z1219" t="str">
        <f t="shared" si="230"/>
        <v>Normal</v>
      </c>
      <c r="AA1219" t="str">
        <f t="shared" si="231"/>
        <v>High</v>
      </c>
      <c r="AB1219" t="str">
        <f t="shared" ref="AB1219:AB1282" si="235">IF(Y1219&lt;0, "Loss", IF(Y1219&lt;500,"Low Profit", "High Profit"))</f>
        <v>Loss</v>
      </c>
      <c r="AC1219" s="3">
        <f t="shared" ref="AC1219:AC1282" si="236">Y1219/V1219</f>
        <v>-0.10168142473385733</v>
      </c>
      <c r="AD1219" s="3">
        <f t="shared" ref="AD1219:AD1282" si="237">V1219/W1219</f>
        <v>50.255000000000003</v>
      </c>
      <c r="AE1219" s="3">
        <f t="shared" ref="AE1219:AE1282" si="238">Y1219/W1219</f>
        <v>-5.1100000000000003</v>
      </c>
      <c r="AF1219" t="str">
        <f t="shared" ref="AF1219:AF1282" si="239">IF(V1219&gt;5000,"High value", "Regular")</f>
        <v>Regular</v>
      </c>
    </row>
    <row r="1220" spans="1:32" x14ac:dyDescent="0.25">
      <c r="A1220" t="s">
        <v>3864</v>
      </c>
      <c r="B1220" s="1">
        <v>45522</v>
      </c>
      <c r="C1220" s="1">
        <v>45529</v>
      </c>
      <c r="D1220" s="4">
        <f t="shared" si="228"/>
        <v>7</v>
      </c>
      <c r="E1220" s="4" t="str">
        <f>TEXT(Table1[[#This Row],[Order_Date]],"dddd")</f>
        <v>Sunday</v>
      </c>
      <c r="F1220" s="4">
        <f t="shared" si="229"/>
        <v>8</v>
      </c>
      <c r="G1220" t="str">
        <f t="shared" si="232"/>
        <v>August</v>
      </c>
      <c r="H1220">
        <f t="shared" si="233"/>
        <v>2024</v>
      </c>
      <c r="I1220" t="str">
        <f t="shared" si="234"/>
        <v>2024-Q3</v>
      </c>
      <c r="J1220" t="s">
        <v>21</v>
      </c>
      <c r="K1220" t="s">
        <v>3865</v>
      </c>
      <c r="L1220" t="s">
        <v>3866</v>
      </c>
      <c r="M1220" t="s">
        <v>47</v>
      </c>
      <c r="N1220" t="s">
        <v>25</v>
      </c>
      <c r="O1220" t="s">
        <v>26</v>
      </c>
      <c r="P1220" t="s">
        <v>27</v>
      </c>
      <c r="Q1220" t="s">
        <v>39</v>
      </c>
      <c r="R1220" t="s">
        <v>3867</v>
      </c>
      <c r="S1220" t="s">
        <v>59</v>
      </c>
      <c r="T1220" t="s">
        <v>303</v>
      </c>
      <c r="U1220" t="s">
        <v>3868</v>
      </c>
      <c r="V1220" s="3">
        <v>4425.22</v>
      </c>
      <c r="W1220" s="4">
        <v>2</v>
      </c>
      <c r="X1220" s="2">
        <v>0.3</v>
      </c>
      <c r="Y1220" s="3">
        <v>920.92</v>
      </c>
      <c r="Z1220" t="str">
        <f t="shared" si="230"/>
        <v>Normal</v>
      </c>
      <c r="AA1220" t="str">
        <f t="shared" si="231"/>
        <v>High</v>
      </c>
      <c r="AB1220" t="str">
        <f t="shared" si="235"/>
        <v>High Profit</v>
      </c>
      <c r="AC1220" s="3">
        <f t="shared" si="236"/>
        <v>0.20810716755325157</v>
      </c>
      <c r="AD1220" s="3">
        <f t="shared" si="237"/>
        <v>2212.61</v>
      </c>
      <c r="AE1220" s="3">
        <f t="shared" si="238"/>
        <v>460.46</v>
      </c>
      <c r="AF1220" t="str">
        <f t="shared" si="239"/>
        <v>Regular</v>
      </c>
    </row>
    <row r="1221" spans="1:32" x14ac:dyDescent="0.25">
      <c r="A1221" t="s">
        <v>1751</v>
      </c>
      <c r="B1221" s="1">
        <v>45522</v>
      </c>
      <c r="C1221" s="1">
        <v>45526</v>
      </c>
      <c r="D1221" s="4">
        <f t="shared" si="228"/>
        <v>4</v>
      </c>
      <c r="E1221" s="4" t="str">
        <f>TEXT(Table1[[#This Row],[Order_Date]],"dddd")</f>
        <v>Sunday</v>
      </c>
      <c r="F1221" s="4">
        <f t="shared" si="229"/>
        <v>8</v>
      </c>
      <c r="G1221" t="str">
        <f t="shared" si="232"/>
        <v>August</v>
      </c>
      <c r="H1221">
        <f t="shared" si="233"/>
        <v>2024</v>
      </c>
      <c r="I1221" t="str">
        <f t="shared" si="234"/>
        <v>2024-Q3</v>
      </c>
      <c r="J1221" t="s">
        <v>21</v>
      </c>
      <c r="K1221" t="s">
        <v>1752</v>
      </c>
      <c r="L1221" t="s">
        <v>1753</v>
      </c>
      <c r="M1221" t="s">
        <v>36</v>
      </c>
      <c r="N1221" t="s">
        <v>25</v>
      </c>
      <c r="O1221" t="s">
        <v>142</v>
      </c>
      <c r="P1221" t="s">
        <v>143</v>
      </c>
      <c r="Q1221" t="s">
        <v>87</v>
      </c>
      <c r="R1221" t="s">
        <v>1754</v>
      </c>
      <c r="S1221" t="s">
        <v>30</v>
      </c>
      <c r="T1221" t="s">
        <v>41</v>
      </c>
      <c r="U1221" t="s">
        <v>1755</v>
      </c>
      <c r="V1221" s="3">
        <v>4224.67</v>
      </c>
      <c r="W1221" s="4">
        <v>4</v>
      </c>
      <c r="X1221" s="2">
        <v>0.3</v>
      </c>
      <c r="Y1221" s="3">
        <v>-632.28</v>
      </c>
      <c r="Z1221" t="str">
        <f t="shared" si="230"/>
        <v>Normal</v>
      </c>
      <c r="AA1221" t="str">
        <f t="shared" si="231"/>
        <v>High</v>
      </c>
      <c r="AB1221" t="str">
        <f t="shared" si="235"/>
        <v>Loss</v>
      </c>
      <c r="AC1221" s="3">
        <f t="shared" si="236"/>
        <v>-0.14966376071977219</v>
      </c>
      <c r="AD1221" s="3">
        <f t="shared" si="237"/>
        <v>1056.1675</v>
      </c>
      <c r="AE1221" s="3">
        <f t="shared" si="238"/>
        <v>-158.07</v>
      </c>
      <c r="AF1221" t="str">
        <f t="shared" si="239"/>
        <v>Regular</v>
      </c>
    </row>
    <row r="1222" spans="1:32" x14ac:dyDescent="0.25">
      <c r="A1222" t="s">
        <v>2330</v>
      </c>
      <c r="B1222" s="1">
        <v>45523</v>
      </c>
      <c r="C1222" s="1">
        <v>45529</v>
      </c>
      <c r="D1222" s="4">
        <f t="shared" si="228"/>
        <v>6</v>
      </c>
      <c r="E1222" s="4" t="str">
        <f>TEXT(Table1[[#This Row],[Order_Date]],"dddd")</f>
        <v>Monday</v>
      </c>
      <c r="F1222" s="4">
        <f t="shared" si="229"/>
        <v>8</v>
      </c>
      <c r="G1222" t="str">
        <f t="shared" si="232"/>
        <v>August</v>
      </c>
      <c r="H1222">
        <f t="shared" si="233"/>
        <v>2024</v>
      </c>
      <c r="I1222" t="str">
        <f t="shared" si="234"/>
        <v>2024-Q3</v>
      </c>
      <c r="J1222" t="s">
        <v>55</v>
      </c>
      <c r="K1222" t="s">
        <v>2331</v>
      </c>
      <c r="L1222" t="s">
        <v>2332</v>
      </c>
      <c r="M1222" t="s">
        <v>47</v>
      </c>
      <c r="N1222" t="s">
        <v>25</v>
      </c>
      <c r="O1222" t="s">
        <v>511</v>
      </c>
      <c r="P1222" t="s">
        <v>120</v>
      </c>
      <c r="Q1222" t="s">
        <v>87</v>
      </c>
      <c r="R1222" t="s">
        <v>2333</v>
      </c>
      <c r="S1222" t="s">
        <v>30</v>
      </c>
      <c r="T1222" t="s">
        <v>31</v>
      </c>
      <c r="U1222" t="s">
        <v>2334</v>
      </c>
      <c r="V1222" s="3">
        <v>1671.73</v>
      </c>
      <c r="W1222" s="4">
        <v>5</v>
      </c>
      <c r="X1222" s="2">
        <v>0.2</v>
      </c>
      <c r="Y1222" s="3">
        <v>170.2</v>
      </c>
      <c r="Z1222" t="str">
        <f t="shared" si="230"/>
        <v>Normal</v>
      </c>
      <c r="AA1222" t="str">
        <f t="shared" si="231"/>
        <v>High</v>
      </c>
      <c r="AB1222" t="str">
        <f t="shared" si="235"/>
        <v>Low Profit</v>
      </c>
      <c r="AC1222" s="3">
        <f t="shared" si="236"/>
        <v>0.1018106990961459</v>
      </c>
      <c r="AD1222" s="3">
        <f t="shared" si="237"/>
        <v>334.346</v>
      </c>
      <c r="AE1222" s="3">
        <f t="shared" si="238"/>
        <v>34.04</v>
      </c>
      <c r="AF1222" t="str">
        <f t="shared" si="239"/>
        <v>Regular</v>
      </c>
    </row>
    <row r="1223" spans="1:32" x14ac:dyDescent="0.25">
      <c r="A1223" t="s">
        <v>2735</v>
      </c>
      <c r="B1223" s="1">
        <v>45523</v>
      </c>
      <c r="C1223" s="1">
        <v>45527</v>
      </c>
      <c r="D1223" s="4">
        <f t="shared" si="228"/>
        <v>4</v>
      </c>
      <c r="E1223" s="4" t="str">
        <f>TEXT(Table1[[#This Row],[Order_Date]],"dddd")</f>
        <v>Monday</v>
      </c>
      <c r="F1223" s="4">
        <f t="shared" si="229"/>
        <v>8</v>
      </c>
      <c r="G1223" t="str">
        <f t="shared" si="232"/>
        <v>August</v>
      </c>
      <c r="H1223">
        <f t="shared" si="233"/>
        <v>2024</v>
      </c>
      <c r="I1223" t="str">
        <f t="shared" si="234"/>
        <v>2024-Q3</v>
      </c>
      <c r="J1223" t="s">
        <v>104</v>
      </c>
      <c r="K1223" t="s">
        <v>2736</v>
      </c>
      <c r="L1223" t="s">
        <v>2737</v>
      </c>
      <c r="M1223" t="s">
        <v>36</v>
      </c>
      <c r="N1223" t="s">
        <v>25</v>
      </c>
      <c r="O1223" t="s">
        <v>119</v>
      </c>
      <c r="P1223" t="s">
        <v>120</v>
      </c>
      <c r="Q1223" t="s">
        <v>87</v>
      </c>
      <c r="R1223" t="s">
        <v>2738</v>
      </c>
      <c r="S1223" t="s">
        <v>51</v>
      </c>
      <c r="T1223" t="s">
        <v>151</v>
      </c>
      <c r="U1223" t="s">
        <v>2739</v>
      </c>
      <c r="V1223" s="3">
        <v>3477.74</v>
      </c>
      <c r="W1223" s="4">
        <v>5</v>
      </c>
      <c r="X1223" s="2">
        <v>0.1</v>
      </c>
      <c r="Y1223" s="3">
        <v>618.69000000000005</v>
      </c>
      <c r="Z1223" t="str">
        <f t="shared" si="230"/>
        <v>Normal</v>
      </c>
      <c r="AA1223" t="str">
        <f t="shared" si="231"/>
        <v>Medium</v>
      </c>
      <c r="AB1223" t="str">
        <f t="shared" si="235"/>
        <v>High Profit</v>
      </c>
      <c r="AC1223" s="3">
        <f t="shared" si="236"/>
        <v>0.17790001552732523</v>
      </c>
      <c r="AD1223" s="3">
        <f t="shared" si="237"/>
        <v>695.548</v>
      </c>
      <c r="AE1223" s="3">
        <f t="shared" si="238"/>
        <v>123.73800000000001</v>
      </c>
      <c r="AF1223" t="str">
        <f t="shared" si="239"/>
        <v>Regular</v>
      </c>
    </row>
    <row r="1224" spans="1:32" x14ac:dyDescent="0.25">
      <c r="A1224" t="s">
        <v>4734</v>
      </c>
      <c r="B1224" s="1">
        <v>45524</v>
      </c>
      <c r="C1224" s="1">
        <v>45530</v>
      </c>
      <c r="D1224" s="4">
        <f t="shared" si="228"/>
        <v>6</v>
      </c>
      <c r="E1224" s="4" t="str">
        <f>TEXT(Table1[[#This Row],[Order_Date]],"dddd")</f>
        <v>Tuesday</v>
      </c>
      <c r="F1224" s="4">
        <f t="shared" si="229"/>
        <v>8</v>
      </c>
      <c r="G1224" t="str">
        <f t="shared" si="232"/>
        <v>August</v>
      </c>
      <c r="H1224">
        <f t="shared" si="233"/>
        <v>2024</v>
      </c>
      <c r="I1224" t="str">
        <f t="shared" si="234"/>
        <v>2024-Q3</v>
      </c>
      <c r="J1224" t="s">
        <v>21</v>
      </c>
      <c r="K1224" t="s">
        <v>4735</v>
      </c>
      <c r="L1224" t="s">
        <v>4736</v>
      </c>
      <c r="M1224" t="s">
        <v>47</v>
      </c>
      <c r="N1224" t="s">
        <v>25</v>
      </c>
      <c r="O1224" t="s">
        <v>190</v>
      </c>
      <c r="P1224" t="s">
        <v>120</v>
      </c>
      <c r="Q1224" t="s">
        <v>39</v>
      </c>
      <c r="R1224" t="s">
        <v>4737</v>
      </c>
      <c r="S1224" t="s">
        <v>51</v>
      </c>
      <c r="T1224" t="s">
        <v>127</v>
      </c>
      <c r="U1224" t="s">
        <v>4738</v>
      </c>
      <c r="V1224" s="3">
        <v>2956.77</v>
      </c>
      <c r="W1224" s="4">
        <v>3</v>
      </c>
      <c r="X1224" s="2">
        <v>0</v>
      </c>
      <c r="Y1224" s="3">
        <v>-119.72</v>
      </c>
      <c r="Z1224" t="str">
        <f t="shared" si="230"/>
        <v>Normal</v>
      </c>
      <c r="AA1224" t="str">
        <f t="shared" si="231"/>
        <v>Low</v>
      </c>
      <c r="AB1224" t="str">
        <f t="shared" si="235"/>
        <v>Loss</v>
      </c>
      <c r="AC1224" s="3">
        <f t="shared" si="236"/>
        <v>-4.0490129431778599E-2</v>
      </c>
      <c r="AD1224" s="3">
        <f t="shared" si="237"/>
        <v>985.59</v>
      </c>
      <c r="AE1224" s="3">
        <f t="shared" si="238"/>
        <v>-39.906666666666666</v>
      </c>
      <c r="AF1224" t="str">
        <f t="shared" si="239"/>
        <v>Regular</v>
      </c>
    </row>
    <row r="1225" spans="1:32" x14ac:dyDescent="0.25">
      <c r="A1225" t="s">
        <v>429</v>
      </c>
      <c r="B1225" s="1">
        <v>45524</v>
      </c>
      <c r="C1225" s="1">
        <v>45533</v>
      </c>
      <c r="D1225" s="4">
        <f t="shared" si="228"/>
        <v>9</v>
      </c>
      <c r="E1225" s="4" t="str">
        <f>TEXT(Table1[[#This Row],[Order_Date]],"dddd")</f>
        <v>Tuesday</v>
      </c>
      <c r="F1225" s="4">
        <f t="shared" si="229"/>
        <v>8</v>
      </c>
      <c r="G1225" t="str">
        <f t="shared" si="232"/>
        <v>August</v>
      </c>
      <c r="H1225">
        <f t="shared" si="233"/>
        <v>2024</v>
      </c>
      <c r="I1225" t="str">
        <f t="shared" si="234"/>
        <v>2024-Q3</v>
      </c>
      <c r="J1225" t="s">
        <v>55</v>
      </c>
      <c r="K1225" t="s">
        <v>7402</v>
      </c>
      <c r="L1225" t="s">
        <v>430</v>
      </c>
      <c r="M1225" t="s">
        <v>24</v>
      </c>
      <c r="N1225" t="s">
        <v>25</v>
      </c>
      <c r="O1225" t="s">
        <v>80</v>
      </c>
      <c r="P1225" t="s">
        <v>49</v>
      </c>
      <c r="Q1225" t="s">
        <v>66</v>
      </c>
      <c r="R1225" t="s">
        <v>431</v>
      </c>
      <c r="S1225" t="s">
        <v>59</v>
      </c>
      <c r="T1225" t="s">
        <v>101</v>
      </c>
      <c r="U1225" t="s">
        <v>432</v>
      </c>
      <c r="V1225" s="3">
        <v>855.72</v>
      </c>
      <c r="W1225" s="4">
        <v>1</v>
      </c>
      <c r="X1225" s="2">
        <v>0.2</v>
      </c>
      <c r="Y1225" s="3">
        <v>-68.78</v>
      </c>
      <c r="Z1225" t="str">
        <f t="shared" si="230"/>
        <v>Normal</v>
      </c>
      <c r="AA1225" t="str">
        <f t="shared" si="231"/>
        <v>High</v>
      </c>
      <c r="AB1225" t="str">
        <f t="shared" si="235"/>
        <v>Loss</v>
      </c>
      <c r="AC1225" s="3">
        <f t="shared" si="236"/>
        <v>-8.0376758752863084E-2</v>
      </c>
      <c r="AD1225" s="3">
        <f t="shared" si="237"/>
        <v>855.72</v>
      </c>
      <c r="AE1225" s="3">
        <f t="shared" si="238"/>
        <v>-68.78</v>
      </c>
      <c r="AF1225" t="str">
        <f t="shared" si="239"/>
        <v>Regular</v>
      </c>
    </row>
    <row r="1226" spans="1:32" x14ac:dyDescent="0.25">
      <c r="A1226" t="s">
        <v>4597</v>
      </c>
      <c r="B1226" s="1">
        <v>45524</v>
      </c>
      <c r="C1226" s="1">
        <v>45534</v>
      </c>
      <c r="D1226" s="4">
        <f t="shared" si="228"/>
        <v>10</v>
      </c>
      <c r="E1226" s="4" t="str">
        <f>TEXT(Table1[[#This Row],[Order_Date]],"dddd")</f>
        <v>Tuesday</v>
      </c>
      <c r="F1226" s="4">
        <f t="shared" si="229"/>
        <v>8</v>
      </c>
      <c r="G1226" t="str">
        <f t="shared" si="232"/>
        <v>August</v>
      </c>
      <c r="H1226">
        <f t="shared" si="233"/>
        <v>2024</v>
      </c>
      <c r="I1226" t="str">
        <f t="shared" si="234"/>
        <v>2024-Q3</v>
      </c>
      <c r="J1226" t="s">
        <v>21</v>
      </c>
      <c r="K1226" t="s">
        <v>4598</v>
      </c>
      <c r="L1226" t="s">
        <v>4599</v>
      </c>
      <c r="M1226" t="s">
        <v>24</v>
      </c>
      <c r="N1226" t="s">
        <v>25</v>
      </c>
      <c r="O1226" t="s">
        <v>80</v>
      </c>
      <c r="P1226" t="s">
        <v>49</v>
      </c>
      <c r="Q1226" t="s">
        <v>39</v>
      </c>
      <c r="R1226" t="s">
        <v>4600</v>
      </c>
      <c r="S1226" t="s">
        <v>59</v>
      </c>
      <c r="T1226" t="s">
        <v>101</v>
      </c>
      <c r="U1226" t="s">
        <v>4601</v>
      </c>
      <c r="V1226" s="3">
        <v>2559.9</v>
      </c>
      <c r="W1226" s="4">
        <v>6</v>
      </c>
      <c r="X1226" s="2">
        <v>0</v>
      </c>
      <c r="Y1226" s="3">
        <v>-256.36</v>
      </c>
      <c r="Z1226" t="str">
        <f t="shared" si="230"/>
        <v>Normal</v>
      </c>
      <c r="AA1226" t="str">
        <f t="shared" si="231"/>
        <v>Low</v>
      </c>
      <c r="AB1226" t="str">
        <f t="shared" si="235"/>
        <v>Loss</v>
      </c>
      <c r="AC1226" s="3">
        <f t="shared" si="236"/>
        <v>-0.1001445368959725</v>
      </c>
      <c r="AD1226" s="3">
        <f t="shared" si="237"/>
        <v>426.65000000000003</v>
      </c>
      <c r="AE1226" s="3">
        <f t="shared" si="238"/>
        <v>-42.726666666666667</v>
      </c>
      <c r="AF1226" t="str">
        <f t="shared" si="239"/>
        <v>Regular</v>
      </c>
    </row>
    <row r="1227" spans="1:32" x14ac:dyDescent="0.25">
      <c r="A1227" t="s">
        <v>2045</v>
      </c>
      <c r="B1227" s="1">
        <v>45526</v>
      </c>
      <c r="C1227" s="1">
        <v>45531</v>
      </c>
      <c r="D1227" s="4">
        <f t="shared" si="228"/>
        <v>5</v>
      </c>
      <c r="E1227" s="4" t="str">
        <f>TEXT(Table1[[#This Row],[Order_Date]],"dddd")</f>
        <v>Thursday</v>
      </c>
      <c r="F1227" s="4">
        <f t="shared" si="229"/>
        <v>8</v>
      </c>
      <c r="G1227" t="str">
        <f t="shared" si="232"/>
        <v>August</v>
      </c>
      <c r="H1227">
        <f t="shared" si="233"/>
        <v>2024</v>
      </c>
      <c r="I1227" t="str">
        <f t="shared" si="234"/>
        <v>2024-Q3</v>
      </c>
      <c r="J1227" t="s">
        <v>21</v>
      </c>
      <c r="K1227" t="s">
        <v>2046</v>
      </c>
      <c r="L1227" t="s">
        <v>2047</v>
      </c>
      <c r="M1227" t="s">
        <v>24</v>
      </c>
      <c r="N1227" t="s">
        <v>25</v>
      </c>
      <c r="O1227" t="s">
        <v>233</v>
      </c>
      <c r="P1227" t="s">
        <v>163</v>
      </c>
      <c r="Q1227" t="s">
        <v>28</v>
      </c>
      <c r="R1227" t="s">
        <v>2048</v>
      </c>
      <c r="S1227" t="s">
        <v>30</v>
      </c>
      <c r="T1227" t="s">
        <v>31</v>
      </c>
      <c r="U1227" t="s">
        <v>2049</v>
      </c>
      <c r="V1227" s="3">
        <v>3009.28</v>
      </c>
      <c r="W1227" s="4">
        <v>4</v>
      </c>
      <c r="X1227" s="2">
        <v>0</v>
      </c>
      <c r="Y1227" s="3">
        <v>-164.11</v>
      </c>
      <c r="Z1227" t="str">
        <f t="shared" si="230"/>
        <v>Normal</v>
      </c>
      <c r="AA1227" t="str">
        <f t="shared" si="231"/>
        <v>Low</v>
      </c>
      <c r="AB1227" t="str">
        <f t="shared" si="235"/>
        <v>Loss</v>
      </c>
      <c r="AC1227" s="3">
        <f t="shared" si="236"/>
        <v>-5.4534639515099959E-2</v>
      </c>
      <c r="AD1227" s="3">
        <f t="shared" si="237"/>
        <v>752.32</v>
      </c>
      <c r="AE1227" s="3">
        <f t="shared" si="238"/>
        <v>-41.027500000000003</v>
      </c>
      <c r="AF1227" t="str">
        <f t="shared" si="239"/>
        <v>Regular</v>
      </c>
    </row>
    <row r="1228" spans="1:32" x14ac:dyDescent="0.25">
      <c r="A1228" t="s">
        <v>410</v>
      </c>
      <c r="B1228" s="1">
        <v>45526</v>
      </c>
      <c r="C1228" s="1">
        <v>45531</v>
      </c>
      <c r="D1228" s="4">
        <f t="shared" si="228"/>
        <v>5</v>
      </c>
      <c r="E1228" s="4" t="str">
        <f>TEXT(Table1[[#This Row],[Order_Date]],"dddd")</f>
        <v>Thursday</v>
      </c>
      <c r="F1228" s="4">
        <f t="shared" si="229"/>
        <v>8</v>
      </c>
      <c r="G1228" t="str">
        <f t="shared" si="232"/>
        <v>August</v>
      </c>
      <c r="H1228">
        <f t="shared" si="233"/>
        <v>2024</v>
      </c>
      <c r="I1228" t="str">
        <f t="shared" si="234"/>
        <v>2024-Q3</v>
      </c>
      <c r="J1228" t="s">
        <v>44</v>
      </c>
      <c r="K1228" t="s">
        <v>411</v>
      </c>
      <c r="L1228" t="s">
        <v>412</v>
      </c>
      <c r="M1228" t="s">
        <v>47</v>
      </c>
      <c r="N1228" t="s">
        <v>25</v>
      </c>
      <c r="O1228" t="s">
        <v>26</v>
      </c>
      <c r="P1228" t="s">
        <v>27</v>
      </c>
      <c r="Q1228" t="s">
        <v>28</v>
      </c>
      <c r="R1228" t="s">
        <v>413</v>
      </c>
      <c r="S1228" t="s">
        <v>51</v>
      </c>
      <c r="T1228" t="s">
        <v>127</v>
      </c>
      <c r="U1228" t="s">
        <v>165</v>
      </c>
      <c r="V1228" s="3">
        <v>4025.06</v>
      </c>
      <c r="W1228" s="4">
        <v>10</v>
      </c>
      <c r="X1228" s="2">
        <v>0</v>
      </c>
      <c r="Y1228" s="3">
        <v>51.3</v>
      </c>
      <c r="Z1228" t="str">
        <f t="shared" si="230"/>
        <v>Normal</v>
      </c>
      <c r="AA1228" t="str">
        <f t="shared" si="231"/>
        <v>Low</v>
      </c>
      <c r="AB1228" t="str">
        <f t="shared" si="235"/>
        <v>Low Profit</v>
      </c>
      <c r="AC1228" s="3">
        <f t="shared" si="236"/>
        <v>1.2745151625068942E-2</v>
      </c>
      <c r="AD1228" s="3">
        <f t="shared" si="237"/>
        <v>402.50599999999997</v>
      </c>
      <c r="AE1228" s="3">
        <f t="shared" si="238"/>
        <v>5.13</v>
      </c>
      <c r="AF1228" t="str">
        <f t="shared" si="239"/>
        <v>Regular</v>
      </c>
    </row>
    <row r="1229" spans="1:32" x14ac:dyDescent="0.25">
      <c r="A1229" t="s">
        <v>3401</v>
      </c>
      <c r="B1229" s="1">
        <v>45526</v>
      </c>
      <c r="C1229" s="1">
        <v>45536</v>
      </c>
      <c r="D1229" s="4">
        <f t="shared" si="228"/>
        <v>10</v>
      </c>
      <c r="E1229" s="4" t="str">
        <f>TEXT(Table1[[#This Row],[Order_Date]],"dddd")</f>
        <v>Thursday</v>
      </c>
      <c r="F1229" s="4">
        <f t="shared" si="229"/>
        <v>8</v>
      </c>
      <c r="G1229" t="str">
        <f t="shared" si="232"/>
        <v>August</v>
      </c>
      <c r="H1229">
        <f t="shared" si="233"/>
        <v>2024</v>
      </c>
      <c r="I1229" t="str">
        <f t="shared" si="234"/>
        <v>2024-Q3</v>
      </c>
      <c r="J1229" t="s">
        <v>44</v>
      </c>
      <c r="K1229" t="s">
        <v>3402</v>
      </c>
      <c r="L1229" t="s">
        <v>3403</v>
      </c>
      <c r="M1229" t="s">
        <v>36</v>
      </c>
      <c r="N1229" t="s">
        <v>25</v>
      </c>
      <c r="O1229" t="s">
        <v>156</v>
      </c>
      <c r="P1229" t="s">
        <v>143</v>
      </c>
      <c r="Q1229" t="s">
        <v>28</v>
      </c>
      <c r="R1229" t="s">
        <v>3404</v>
      </c>
      <c r="S1229" t="s">
        <v>59</v>
      </c>
      <c r="T1229" t="s">
        <v>60</v>
      </c>
      <c r="U1229" t="s">
        <v>3405</v>
      </c>
      <c r="V1229" s="3">
        <v>2270.29</v>
      </c>
      <c r="W1229" s="4">
        <v>4</v>
      </c>
      <c r="X1229" s="2">
        <v>0</v>
      </c>
      <c r="Y1229" s="3">
        <v>70.319999999999993</v>
      </c>
      <c r="Z1229" t="str">
        <f t="shared" si="230"/>
        <v>Normal</v>
      </c>
      <c r="AA1229" t="str">
        <f t="shared" si="231"/>
        <v>Low</v>
      </c>
      <c r="AB1229" t="str">
        <f t="shared" si="235"/>
        <v>Low Profit</v>
      </c>
      <c r="AC1229" s="3">
        <f t="shared" si="236"/>
        <v>3.0974016535332487E-2</v>
      </c>
      <c r="AD1229" s="3">
        <f t="shared" si="237"/>
        <v>567.57249999999999</v>
      </c>
      <c r="AE1229" s="3">
        <f t="shared" si="238"/>
        <v>17.579999999999998</v>
      </c>
      <c r="AF1229" t="str">
        <f t="shared" si="239"/>
        <v>Regular</v>
      </c>
    </row>
    <row r="1230" spans="1:32" x14ac:dyDescent="0.25">
      <c r="A1230" t="s">
        <v>3435</v>
      </c>
      <c r="B1230" s="1">
        <v>45526</v>
      </c>
      <c r="C1230" s="1">
        <v>45532</v>
      </c>
      <c r="D1230" s="4">
        <f t="shared" si="228"/>
        <v>6</v>
      </c>
      <c r="E1230" s="4" t="str">
        <f>TEXT(Table1[[#This Row],[Order_Date]],"dddd")</f>
        <v>Thursday</v>
      </c>
      <c r="F1230" s="4">
        <f t="shared" si="229"/>
        <v>8</v>
      </c>
      <c r="G1230" t="str">
        <f t="shared" si="232"/>
        <v>August</v>
      </c>
      <c r="H1230">
        <f t="shared" si="233"/>
        <v>2024</v>
      </c>
      <c r="I1230" t="str">
        <f t="shared" si="234"/>
        <v>2024-Q3</v>
      </c>
      <c r="J1230" t="s">
        <v>104</v>
      </c>
      <c r="K1230" t="s">
        <v>3436</v>
      </c>
      <c r="L1230" t="s">
        <v>3437</v>
      </c>
      <c r="M1230" t="s">
        <v>36</v>
      </c>
      <c r="N1230" t="s">
        <v>25</v>
      </c>
      <c r="O1230" t="s">
        <v>227</v>
      </c>
      <c r="P1230" t="s">
        <v>49</v>
      </c>
      <c r="Q1230" t="s">
        <v>66</v>
      </c>
      <c r="R1230" t="s">
        <v>3438</v>
      </c>
      <c r="S1230" t="s">
        <v>30</v>
      </c>
      <c r="T1230" t="s">
        <v>82</v>
      </c>
      <c r="U1230" t="s">
        <v>3439</v>
      </c>
      <c r="V1230" s="3">
        <v>3512.07</v>
      </c>
      <c r="W1230" s="4">
        <v>10</v>
      </c>
      <c r="X1230" s="2">
        <v>0.4</v>
      </c>
      <c r="Y1230" s="3">
        <v>198.35</v>
      </c>
      <c r="Z1230" t="str">
        <f t="shared" si="230"/>
        <v>Normal</v>
      </c>
      <c r="AA1230" t="str">
        <f t="shared" si="231"/>
        <v>High</v>
      </c>
      <c r="AB1230" t="str">
        <f t="shared" si="235"/>
        <v>Low Profit</v>
      </c>
      <c r="AC1230" s="3">
        <f t="shared" si="236"/>
        <v>5.6476664758959814E-2</v>
      </c>
      <c r="AD1230" s="3">
        <f t="shared" si="237"/>
        <v>351.20699999999999</v>
      </c>
      <c r="AE1230" s="3">
        <f t="shared" si="238"/>
        <v>19.835000000000001</v>
      </c>
      <c r="AF1230" t="str">
        <f t="shared" si="239"/>
        <v>Regular</v>
      </c>
    </row>
    <row r="1231" spans="1:32" x14ac:dyDescent="0.25">
      <c r="A1231" t="s">
        <v>1902</v>
      </c>
      <c r="B1231" s="1">
        <v>45527</v>
      </c>
      <c r="C1231" s="1">
        <v>45529</v>
      </c>
      <c r="D1231" s="4">
        <f t="shared" si="228"/>
        <v>2</v>
      </c>
      <c r="E1231" s="4" t="str">
        <f>TEXT(Table1[[#This Row],[Order_Date]],"dddd")</f>
        <v>Friday</v>
      </c>
      <c r="F1231" s="4">
        <f t="shared" si="229"/>
        <v>8</v>
      </c>
      <c r="G1231" t="str">
        <f t="shared" si="232"/>
        <v>August</v>
      </c>
      <c r="H1231">
        <f t="shared" si="233"/>
        <v>2024</v>
      </c>
      <c r="I1231" t="str">
        <f t="shared" si="234"/>
        <v>2024-Q3</v>
      </c>
      <c r="J1231" t="s">
        <v>21</v>
      </c>
      <c r="K1231" t="s">
        <v>1903</v>
      </c>
      <c r="L1231" t="s">
        <v>1904</v>
      </c>
      <c r="M1231" t="s">
        <v>36</v>
      </c>
      <c r="N1231" t="s">
        <v>25</v>
      </c>
      <c r="O1231" t="s">
        <v>179</v>
      </c>
      <c r="P1231" t="s">
        <v>27</v>
      </c>
      <c r="Q1231" t="s">
        <v>28</v>
      </c>
      <c r="R1231" t="s">
        <v>1905</v>
      </c>
      <c r="S1231" t="s">
        <v>59</v>
      </c>
      <c r="T1231" t="s">
        <v>60</v>
      </c>
      <c r="U1231" t="s">
        <v>1906</v>
      </c>
      <c r="V1231" s="3">
        <v>3819.13</v>
      </c>
      <c r="W1231" s="4">
        <v>10</v>
      </c>
      <c r="X1231" s="2">
        <v>0</v>
      </c>
      <c r="Y1231" s="3">
        <v>999.75</v>
      </c>
      <c r="Z1231" t="str">
        <f t="shared" si="230"/>
        <v>Normal</v>
      </c>
      <c r="AA1231" t="str">
        <f t="shared" si="231"/>
        <v>Low</v>
      </c>
      <c r="AB1231" t="str">
        <f t="shared" si="235"/>
        <v>High Profit</v>
      </c>
      <c r="AC1231" s="3">
        <f t="shared" si="236"/>
        <v>0.26177427843514101</v>
      </c>
      <c r="AD1231" s="3">
        <f t="shared" si="237"/>
        <v>381.91300000000001</v>
      </c>
      <c r="AE1231" s="3">
        <f t="shared" si="238"/>
        <v>99.974999999999994</v>
      </c>
      <c r="AF1231" t="str">
        <f t="shared" si="239"/>
        <v>Regular</v>
      </c>
    </row>
    <row r="1232" spans="1:32" x14ac:dyDescent="0.25">
      <c r="A1232" t="s">
        <v>5974</v>
      </c>
      <c r="B1232" s="1">
        <v>45527</v>
      </c>
      <c r="C1232" s="1">
        <v>45529</v>
      </c>
      <c r="D1232" s="4">
        <f t="shared" si="228"/>
        <v>2</v>
      </c>
      <c r="E1232" s="4" t="str">
        <f>TEXT(Table1[[#This Row],[Order_Date]],"dddd")</f>
        <v>Friday</v>
      </c>
      <c r="F1232" s="4">
        <f t="shared" si="229"/>
        <v>8</v>
      </c>
      <c r="G1232" t="str">
        <f t="shared" si="232"/>
        <v>August</v>
      </c>
      <c r="H1232">
        <f t="shared" si="233"/>
        <v>2024</v>
      </c>
      <c r="I1232" t="str">
        <f t="shared" si="234"/>
        <v>2024-Q3</v>
      </c>
      <c r="J1232" t="s">
        <v>104</v>
      </c>
      <c r="K1232" t="s">
        <v>5975</v>
      </c>
      <c r="L1232" t="s">
        <v>5976</v>
      </c>
      <c r="M1232" t="s">
        <v>24</v>
      </c>
      <c r="N1232" t="s">
        <v>25</v>
      </c>
      <c r="O1232" t="s">
        <v>179</v>
      </c>
      <c r="P1232" t="s">
        <v>27</v>
      </c>
      <c r="Q1232" t="s">
        <v>87</v>
      </c>
      <c r="R1232" t="s">
        <v>5977</v>
      </c>
      <c r="S1232" t="s">
        <v>59</v>
      </c>
      <c r="T1232" t="s">
        <v>101</v>
      </c>
      <c r="U1232" t="s">
        <v>5978</v>
      </c>
      <c r="V1232" s="3">
        <v>620.49</v>
      </c>
      <c r="W1232" s="4">
        <v>2</v>
      </c>
      <c r="X1232" s="2">
        <v>0.3</v>
      </c>
      <c r="Y1232" s="3">
        <v>-113.49</v>
      </c>
      <c r="Z1232" t="str">
        <f t="shared" si="230"/>
        <v>Normal</v>
      </c>
      <c r="AA1232" t="str">
        <f t="shared" si="231"/>
        <v>High</v>
      </c>
      <c r="AB1232" t="str">
        <f t="shared" si="235"/>
        <v>Loss</v>
      </c>
      <c r="AC1232" s="3">
        <f t="shared" si="236"/>
        <v>-0.18290383406662475</v>
      </c>
      <c r="AD1232" s="3">
        <f t="shared" si="237"/>
        <v>310.245</v>
      </c>
      <c r="AE1232" s="3">
        <f t="shared" si="238"/>
        <v>-56.744999999999997</v>
      </c>
      <c r="AF1232" t="str">
        <f t="shared" si="239"/>
        <v>Regular</v>
      </c>
    </row>
    <row r="1233" spans="1:32" x14ac:dyDescent="0.25">
      <c r="A1233" t="s">
        <v>5288</v>
      </c>
      <c r="B1233" s="1">
        <v>45527</v>
      </c>
      <c r="C1233" s="1">
        <v>45529</v>
      </c>
      <c r="D1233" s="4">
        <f t="shared" si="228"/>
        <v>2</v>
      </c>
      <c r="E1233" s="4" t="str">
        <f>TEXT(Table1[[#This Row],[Order_Date]],"dddd")</f>
        <v>Friday</v>
      </c>
      <c r="F1233" s="4">
        <f t="shared" si="229"/>
        <v>8</v>
      </c>
      <c r="G1233" t="str">
        <f t="shared" si="232"/>
        <v>August</v>
      </c>
      <c r="H1233">
        <f t="shared" si="233"/>
        <v>2024</v>
      </c>
      <c r="I1233" t="str">
        <f t="shared" si="234"/>
        <v>2024-Q3</v>
      </c>
      <c r="J1233" t="s">
        <v>104</v>
      </c>
      <c r="K1233" t="s">
        <v>5289</v>
      </c>
      <c r="L1233" t="s">
        <v>5290</v>
      </c>
      <c r="M1233" t="s">
        <v>24</v>
      </c>
      <c r="N1233" t="s">
        <v>25</v>
      </c>
      <c r="O1233" t="s">
        <v>190</v>
      </c>
      <c r="P1233" t="s">
        <v>120</v>
      </c>
      <c r="Q1233" t="s">
        <v>39</v>
      </c>
      <c r="R1233" t="s">
        <v>5291</v>
      </c>
      <c r="S1233" t="s">
        <v>51</v>
      </c>
      <c r="T1233" t="s">
        <v>151</v>
      </c>
      <c r="U1233" t="s">
        <v>5292</v>
      </c>
      <c r="V1233" s="3">
        <v>650.08000000000004</v>
      </c>
      <c r="W1233" s="4">
        <v>8</v>
      </c>
      <c r="X1233" s="2">
        <v>0.4</v>
      </c>
      <c r="Y1233" s="3">
        <v>169.52</v>
      </c>
      <c r="Z1233" t="str">
        <f t="shared" si="230"/>
        <v>Normal</v>
      </c>
      <c r="AA1233" t="str">
        <f t="shared" si="231"/>
        <v>High</v>
      </c>
      <c r="AB1233" t="str">
        <f t="shared" si="235"/>
        <v>Low Profit</v>
      </c>
      <c r="AC1233" s="3">
        <f t="shared" si="236"/>
        <v>0.26076790548855527</v>
      </c>
      <c r="AD1233" s="3">
        <f t="shared" si="237"/>
        <v>81.260000000000005</v>
      </c>
      <c r="AE1233" s="3">
        <f t="shared" si="238"/>
        <v>21.19</v>
      </c>
      <c r="AF1233" t="str">
        <f t="shared" si="239"/>
        <v>Regular</v>
      </c>
    </row>
    <row r="1234" spans="1:32" x14ac:dyDescent="0.25">
      <c r="A1234" t="s">
        <v>2055</v>
      </c>
      <c r="B1234" s="1">
        <v>45528</v>
      </c>
      <c r="C1234" s="1">
        <v>45536</v>
      </c>
      <c r="D1234" s="4">
        <f t="shared" si="228"/>
        <v>8</v>
      </c>
      <c r="E1234" s="4" t="str">
        <f>TEXT(Table1[[#This Row],[Order_Date]],"dddd")</f>
        <v>Saturday</v>
      </c>
      <c r="F1234" s="4">
        <f t="shared" si="229"/>
        <v>8</v>
      </c>
      <c r="G1234" t="str">
        <f t="shared" si="232"/>
        <v>August</v>
      </c>
      <c r="H1234">
        <f t="shared" si="233"/>
        <v>2024</v>
      </c>
      <c r="I1234" t="str">
        <f t="shared" si="234"/>
        <v>2024-Q3</v>
      </c>
      <c r="J1234" t="s">
        <v>44</v>
      </c>
      <c r="K1234" t="s">
        <v>2056</v>
      </c>
      <c r="L1234" t="s">
        <v>2057</v>
      </c>
      <c r="M1234" t="s">
        <v>24</v>
      </c>
      <c r="N1234" t="s">
        <v>25</v>
      </c>
      <c r="O1234" t="s">
        <v>227</v>
      </c>
      <c r="P1234" t="s">
        <v>49</v>
      </c>
      <c r="Q1234" t="s">
        <v>28</v>
      </c>
      <c r="R1234" t="s">
        <v>2058</v>
      </c>
      <c r="S1234" t="s">
        <v>51</v>
      </c>
      <c r="T1234" t="s">
        <v>127</v>
      </c>
      <c r="U1234" t="s">
        <v>2059</v>
      </c>
      <c r="V1234" s="3">
        <v>326.69</v>
      </c>
      <c r="W1234" s="4">
        <v>1</v>
      </c>
      <c r="X1234" s="2">
        <v>0.4</v>
      </c>
      <c r="Y1234" s="3">
        <v>-30.96</v>
      </c>
      <c r="Z1234" t="str">
        <f t="shared" si="230"/>
        <v>Normal</v>
      </c>
      <c r="AA1234" t="str">
        <f t="shared" si="231"/>
        <v>High</v>
      </c>
      <c r="AB1234" t="str">
        <f t="shared" si="235"/>
        <v>Loss</v>
      </c>
      <c r="AC1234" s="3">
        <f t="shared" si="236"/>
        <v>-9.4768741008295326E-2</v>
      </c>
      <c r="AD1234" s="3">
        <f t="shared" si="237"/>
        <v>326.69</v>
      </c>
      <c r="AE1234" s="3">
        <f t="shared" si="238"/>
        <v>-30.96</v>
      </c>
      <c r="AF1234" t="str">
        <f t="shared" si="239"/>
        <v>Regular</v>
      </c>
    </row>
    <row r="1235" spans="1:32" x14ac:dyDescent="0.25">
      <c r="A1235" t="s">
        <v>7092</v>
      </c>
      <c r="B1235" s="1">
        <v>45529</v>
      </c>
      <c r="C1235" s="1">
        <v>45537</v>
      </c>
      <c r="D1235" s="4">
        <f t="shared" si="228"/>
        <v>8</v>
      </c>
      <c r="E1235" s="4" t="str">
        <f>TEXT(Table1[[#This Row],[Order_Date]],"dddd")</f>
        <v>Sunday</v>
      </c>
      <c r="F1235" s="4">
        <f t="shared" si="229"/>
        <v>8</v>
      </c>
      <c r="G1235" t="str">
        <f t="shared" si="232"/>
        <v>August</v>
      </c>
      <c r="H1235">
        <f t="shared" si="233"/>
        <v>2024</v>
      </c>
      <c r="I1235" t="str">
        <f t="shared" si="234"/>
        <v>2024-Q3</v>
      </c>
      <c r="J1235" t="s">
        <v>21</v>
      </c>
      <c r="K1235" t="s">
        <v>7093</v>
      </c>
      <c r="L1235" t="s">
        <v>7094</v>
      </c>
      <c r="M1235" t="s">
        <v>24</v>
      </c>
      <c r="N1235" t="s">
        <v>25</v>
      </c>
      <c r="O1235" t="s">
        <v>65</v>
      </c>
      <c r="P1235" t="s">
        <v>27</v>
      </c>
      <c r="Q1235" t="s">
        <v>66</v>
      </c>
      <c r="R1235" t="s">
        <v>7095</v>
      </c>
      <c r="S1235" t="s">
        <v>59</v>
      </c>
      <c r="T1235" t="s">
        <v>101</v>
      </c>
      <c r="U1235" t="s">
        <v>7096</v>
      </c>
      <c r="V1235" s="3">
        <v>4306.1000000000004</v>
      </c>
      <c r="W1235" s="4">
        <v>9</v>
      </c>
      <c r="X1235" s="2">
        <v>0.4</v>
      </c>
      <c r="Y1235" s="3">
        <v>-693.71</v>
      </c>
      <c r="Z1235" t="str">
        <f t="shared" si="230"/>
        <v>Normal</v>
      </c>
      <c r="AA1235" t="str">
        <f t="shared" si="231"/>
        <v>High</v>
      </c>
      <c r="AB1235" t="str">
        <f t="shared" si="235"/>
        <v>Loss</v>
      </c>
      <c r="AC1235" s="3">
        <f t="shared" si="236"/>
        <v>-0.1610993706602262</v>
      </c>
      <c r="AD1235" s="3">
        <f t="shared" si="237"/>
        <v>478.45555555555558</v>
      </c>
      <c r="AE1235" s="3">
        <f t="shared" si="238"/>
        <v>-77.078888888888898</v>
      </c>
      <c r="AF1235" t="str">
        <f t="shared" si="239"/>
        <v>Regular</v>
      </c>
    </row>
    <row r="1236" spans="1:32" x14ac:dyDescent="0.25">
      <c r="A1236" t="s">
        <v>3796</v>
      </c>
      <c r="B1236" s="1">
        <v>45529</v>
      </c>
      <c r="C1236" s="1">
        <v>45533</v>
      </c>
      <c r="D1236" s="4">
        <f t="shared" si="228"/>
        <v>4</v>
      </c>
      <c r="E1236" s="4" t="str">
        <f>TEXT(Table1[[#This Row],[Order_Date]],"dddd")</f>
        <v>Sunday</v>
      </c>
      <c r="F1236" s="4">
        <f t="shared" si="229"/>
        <v>8</v>
      </c>
      <c r="G1236" t="str">
        <f t="shared" si="232"/>
        <v>August</v>
      </c>
      <c r="H1236">
        <f t="shared" si="233"/>
        <v>2024</v>
      </c>
      <c r="I1236" t="str">
        <f t="shared" si="234"/>
        <v>2024-Q3</v>
      </c>
      <c r="J1236" t="s">
        <v>104</v>
      </c>
      <c r="K1236" t="s">
        <v>3797</v>
      </c>
      <c r="L1236" t="s">
        <v>3798</v>
      </c>
      <c r="M1236" t="s">
        <v>47</v>
      </c>
      <c r="N1236" t="s">
        <v>25</v>
      </c>
      <c r="O1236" t="s">
        <v>162</v>
      </c>
      <c r="P1236" t="s">
        <v>163</v>
      </c>
      <c r="Q1236" t="s">
        <v>39</v>
      </c>
      <c r="R1236" t="s">
        <v>3799</v>
      </c>
      <c r="S1236" t="s">
        <v>51</v>
      </c>
      <c r="T1236" t="s">
        <v>108</v>
      </c>
      <c r="U1236" t="s">
        <v>3800</v>
      </c>
      <c r="V1236" s="3">
        <v>4920.58</v>
      </c>
      <c r="W1236" s="4">
        <v>1</v>
      </c>
      <c r="X1236" s="2">
        <v>0</v>
      </c>
      <c r="Y1236" s="3">
        <v>1281.26</v>
      </c>
      <c r="Z1236" t="str">
        <f t="shared" si="230"/>
        <v>Outlier</v>
      </c>
      <c r="AA1236" t="str">
        <f t="shared" si="231"/>
        <v>Low</v>
      </c>
      <c r="AB1236" t="str">
        <f t="shared" si="235"/>
        <v>High Profit</v>
      </c>
      <c r="AC1236" s="3">
        <f t="shared" si="236"/>
        <v>0.26038800304029203</v>
      </c>
      <c r="AD1236" s="3">
        <f t="shared" si="237"/>
        <v>4920.58</v>
      </c>
      <c r="AE1236" s="3">
        <f t="shared" si="238"/>
        <v>1281.26</v>
      </c>
      <c r="AF1236" t="str">
        <f t="shared" si="239"/>
        <v>Regular</v>
      </c>
    </row>
    <row r="1237" spans="1:32" x14ac:dyDescent="0.25">
      <c r="A1237" t="s">
        <v>1830</v>
      </c>
      <c r="B1237" s="1">
        <v>45529</v>
      </c>
      <c r="C1237" s="1">
        <v>45532</v>
      </c>
      <c r="D1237" s="4">
        <f t="shared" si="228"/>
        <v>3</v>
      </c>
      <c r="E1237" s="4" t="str">
        <f>TEXT(Table1[[#This Row],[Order_Date]],"dddd")</f>
        <v>Sunday</v>
      </c>
      <c r="F1237" s="4">
        <f t="shared" si="229"/>
        <v>8</v>
      </c>
      <c r="G1237" t="str">
        <f t="shared" si="232"/>
        <v>August</v>
      </c>
      <c r="H1237">
        <f t="shared" si="233"/>
        <v>2024</v>
      </c>
      <c r="I1237" t="str">
        <f t="shared" si="234"/>
        <v>2024-Q3</v>
      </c>
      <c r="J1237" t="s">
        <v>104</v>
      </c>
      <c r="K1237" t="s">
        <v>1831</v>
      </c>
      <c r="L1237" t="s">
        <v>1832</v>
      </c>
      <c r="M1237" t="s">
        <v>47</v>
      </c>
      <c r="N1237" t="s">
        <v>25</v>
      </c>
      <c r="O1237" t="s">
        <v>244</v>
      </c>
      <c r="P1237" t="s">
        <v>163</v>
      </c>
      <c r="Q1237" t="s">
        <v>87</v>
      </c>
      <c r="R1237" t="s">
        <v>7403</v>
      </c>
      <c r="S1237" t="s">
        <v>51</v>
      </c>
      <c r="T1237" t="s">
        <v>127</v>
      </c>
      <c r="U1237" t="s">
        <v>1833</v>
      </c>
      <c r="V1237" s="3">
        <v>895.8</v>
      </c>
      <c r="W1237" s="4">
        <v>5</v>
      </c>
      <c r="X1237" s="2">
        <v>0</v>
      </c>
      <c r="Y1237" s="3">
        <v>-102.69</v>
      </c>
      <c r="Z1237" t="str">
        <f t="shared" si="230"/>
        <v>Normal</v>
      </c>
      <c r="AA1237" t="str">
        <f t="shared" si="231"/>
        <v>Low</v>
      </c>
      <c r="AB1237" t="str">
        <f t="shared" si="235"/>
        <v>Loss</v>
      </c>
      <c r="AC1237" s="3">
        <f t="shared" si="236"/>
        <v>-0.11463496316141997</v>
      </c>
      <c r="AD1237" s="3">
        <f t="shared" si="237"/>
        <v>179.16</v>
      </c>
      <c r="AE1237" s="3">
        <f t="shared" si="238"/>
        <v>-20.538</v>
      </c>
      <c r="AF1237" t="str">
        <f t="shared" si="239"/>
        <v>Regular</v>
      </c>
    </row>
    <row r="1238" spans="1:32" x14ac:dyDescent="0.25">
      <c r="A1238" t="s">
        <v>4475</v>
      </c>
      <c r="B1238" s="1">
        <v>45530</v>
      </c>
      <c r="C1238" s="1">
        <v>45540</v>
      </c>
      <c r="D1238" s="4">
        <f t="shared" si="228"/>
        <v>10</v>
      </c>
      <c r="E1238" s="4" t="str">
        <f>TEXT(Table1[[#This Row],[Order_Date]],"dddd")</f>
        <v>Monday</v>
      </c>
      <c r="F1238" s="4">
        <f t="shared" si="229"/>
        <v>8</v>
      </c>
      <c r="G1238" t="str">
        <f t="shared" si="232"/>
        <v>August</v>
      </c>
      <c r="H1238">
        <f t="shared" si="233"/>
        <v>2024</v>
      </c>
      <c r="I1238" t="str">
        <f t="shared" si="234"/>
        <v>2024-Q3</v>
      </c>
      <c r="J1238" t="s">
        <v>44</v>
      </c>
      <c r="K1238" t="s">
        <v>4476</v>
      </c>
      <c r="L1238" t="s">
        <v>4477</v>
      </c>
      <c r="M1238" t="s">
        <v>47</v>
      </c>
      <c r="N1238" t="s">
        <v>25</v>
      </c>
      <c r="O1238" t="s">
        <v>142</v>
      </c>
      <c r="P1238" t="s">
        <v>143</v>
      </c>
      <c r="Q1238" t="s">
        <v>28</v>
      </c>
      <c r="R1238" t="s">
        <v>4478</v>
      </c>
      <c r="S1238" t="s">
        <v>30</v>
      </c>
      <c r="T1238" t="s">
        <v>41</v>
      </c>
      <c r="U1238" t="s">
        <v>4479</v>
      </c>
      <c r="V1238" s="3">
        <v>2859.7</v>
      </c>
      <c r="W1238" s="4">
        <v>3</v>
      </c>
      <c r="X1238" s="2">
        <v>0.4</v>
      </c>
      <c r="Y1238" s="3">
        <v>718.34</v>
      </c>
      <c r="Z1238" t="str">
        <f t="shared" si="230"/>
        <v>Normal</v>
      </c>
      <c r="AA1238" t="str">
        <f t="shared" si="231"/>
        <v>High</v>
      </c>
      <c r="AB1238" t="str">
        <f t="shared" si="235"/>
        <v>High Profit</v>
      </c>
      <c r="AC1238" s="3">
        <f t="shared" si="236"/>
        <v>0.25119418120781906</v>
      </c>
      <c r="AD1238" s="3">
        <f t="shared" si="237"/>
        <v>953.23333333333323</v>
      </c>
      <c r="AE1238" s="3">
        <f t="shared" si="238"/>
        <v>239.44666666666669</v>
      </c>
      <c r="AF1238" t="str">
        <f t="shared" si="239"/>
        <v>Regular</v>
      </c>
    </row>
    <row r="1239" spans="1:32" x14ac:dyDescent="0.25">
      <c r="A1239" t="s">
        <v>5702</v>
      </c>
      <c r="B1239" s="1">
        <v>45530</v>
      </c>
      <c r="C1239" s="1">
        <v>45539</v>
      </c>
      <c r="D1239" s="4">
        <f t="shared" si="228"/>
        <v>9</v>
      </c>
      <c r="E1239" s="4" t="str">
        <f>TEXT(Table1[[#This Row],[Order_Date]],"dddd")</f>
        <v>Monday</v>
      </c>
      <c r="F1239" s="4">
        <f t="shared" si="229"/>
        <v>8</v>
      </c>
      <c r="G1239" t="str">
        <f t="shared" si="232"/>
        <v>August</v>
      </c>
      <c r="H1239">
        <f t="shared" si="233"/>
        <v>2024</v>
      </c>
      <c r="I1239" t="str">
        <f t="shared" si="234"/>
        <v>2024-Q3</v>
      </c>
      <c r="J1239" t="s">
        <v>104</v>
      </c>
      <c r="K1239" t="s">
        <v>5703</v>
      </c>
      <c r="L1239" t="s">
        <v>5704</v>
      </c>
      <c r="M1239" t="s">
        <v>36</v>
      </c>
      <c r="N1239" t="s">
        <v>25</v>
      </c>
      <c r="O1239" t="s">
        <v>113</v>
      </c>
      <c r="P1239" t="s">
        <v>113</v>
      </c>
      <c r="Q1239" t="s">
        <v>87</v>
      </c>
      <c r="R1239" t="s">
        <v>5705</v>
      </c>
      <c r="S1239" t="s">
        <v>51</v>
      </c>
      <c r="T1239" t="s">
        <v>108</v>
      </c>
      <c r="U1239" t="s">
        <v>5706</v>
      </c>
      <c r="V1239" s="3">
        <v>467.58</v>
      </c>
      <c r="W1239" s="4">
        <v>1</v>
      </c>
      <c r="X1239" s="2">
        <v>0</v>
      </c>
      <c r="Y1239" s="3">
        <v>138.58000000000001</v>
      </c>
      <c r="Z1239" t="str">
        <f t="shared" si="230"/>
        <v>Normal</v>
      </c>
      <c r="AA1239" t="str">
        <f t="shared" si="231"/>
        <v>Low</v>
      </c>
      <c r="AB1239" t="str">
        <f t="shared" si="235"/>
        <v>Low Profit</v>
      </c>
      <c r="AC1239" s="3">
        <f t="shared" si="236"/>
        <v>0.29637709055134953</v>
      </c>
      <c r="AD1239" s="3">
        <f t="shared" si="237"/>
        <v>467.58</v>
      </c>
      <c r="AE1239" s="3">
        <f t="shared" si="238"/>
        <v>138.58000000000001</v>
      </c>
      <c r="AF1239" t="str">
        <f t="shared" si="239"/>
        <v>Regular</v>
      </c>
    </row>
    <row r="1240" spans="1:32" x14ac:dyDescent="0.25">
      <c r="A1240" t="s">
        <v>2286</v>
      </c>
      <c r="B1240" s="1">
        <v>45531</v>
      </c>
      <c r="C1240" s="1">
        <v>45538</v>
      </c>
      <c r="D1240" s="4">
        <f t="shared" si="228"/>
        <v>7</v>
      </c>
      <c r="E1240" s="4" t="str">
        <f>TEXT(Table1[[#This Row],[Order_Date]],"dddd")</f>
        <v>Tuesday</v>
      </c>
      <c r="F1240" s="4">
        <f t="shared" si="229"/>
        <v>8</v>
      </c>
      <c r="G1240" t="str">
        <f t="shared" si="232"/>
        <v>August</v>
      </c>
      <c r="H1240">
        <f t="shared" si="233"/>
        <v>2024</v>
      </c>
      <c r="I1240" t="str">
        <f t="shared" si="234"/>
        <v>2024-Q3</v>
      </c>
      <c r="J1240" t="s">
        <v>21</v>
      </c>
      <c r="K1240" t="s">
        <v>2287</v>
      </c>
      <c r="L1240" t="s">
        <v>2288</v>
      </c>
      <c r="M1240" t="s">
        <v>47</v>
      </c>
      <c r="N1240" t="s">
        <v>25</v>
      </c>
      <c r="O1240" t="s">
        <v>119</v>
      </c>
      <c r="P1240" t="s">
        <v>120</v>
      </c>
      <c r="Q1240" t="s">
        <v>28</v>
      </c>
      <c r="R1240" t="s">
        <v>2289</v>
      </c>
      <c r="S1240" t="s">
        <v>30</v>
      </c>
      <c r="T1240" t="s">
        <v>68</v>
      </c>
      <c r="U1240" t="s">
        <v>2290</v>
      </c>
      <c r="V1240" s="3">
        <v>4531.6400000000003</v>
      </c>
      <c r="W1240" s="4">
        <v>3</v>
      </c>
      <c r="X1240" s="2">
        <v>0.4</v>
      </c>
      <c r="Y1240" s="3">
        <v>-220.33</v>
      </c>
      <c r="Z1240" t="str">
        <f t="shared" si="230"/>
        <v>Normal</v>
      </c>
      <c r="AA1240" t="str">
        <f t="shared" si="231"/>
        <v>High</v>
      </c>
      <c r="AB1240" t="str">
        <f t="shared" si="235"/>
        <v>Loss</v>
      </c>
      <c r="AC1240" s="3">
        <f t="shared" si="236"/>
        <v>-4.8620367019445498E-2</v>
      </c>
      <c r="AD1240" s="3">
        <f t="shared" si="237"/>
        <v>1510.5466666666669</v>
      </c>
      <c r="AE1240" s="3">
        <f t="shared" si="238"/>
        <v>-73.443333333333342</v>
      </c>
      <c r="AF1240" t="str">
        <f t="shared" si="239"/>
        <v>Regular</v>
      </c>
    </row>
    <row r="1241" spans="1:32" x14ac:dyDescent="0.25">
      <c r="A1241" t="s">
        <v>5133</v>
      </c>
      <c r="B1241" s="1">
        <v>45531</v>
      </c>
      <c r="C1241" s="1">
        <v>45539</v>
      </c>
      <c r="D1241" s="4">
        <f t="shared" si="228"/>
        <v>8</v>
      </c>
      <c r="E1241" s="4" t="str">
        <f>TEXT(Table1[[#This Row],[Order_Date]],"dddd")</f>
        <v>Tuesday</v>
      </c>
      <c r="F1241" s="4">
        <f t="shared" si="229"/>
        <v>8</v>
      </c>
      <c r="G1241" t="str">
        <f t="shared" si="232"/>
        <v>August</v>
      </c>
      <c r="H1241">
        <f t="shared" si="233"/>
        <v>2024</v>
      </c>
      <c r="I1241" t="str">
        <f t="shared" si="234"/>
        <v>2024-Q3</v>
      </c>
      <c r="J1241" t="s">
        <v>104</v>
      </c>
      <c r="K1241" t="s">
        <v>5134</v>
      </c>
      <c r="L1241" t="s">
        <v>5135</v>
      </c>
      <c r="M1241" t="s">
        <v>36</v>
      </c>
      <c r="N1241" t="s">
        <v>25</v>
      </c>
      <c r="O1241" t="s">
        <v>451</v>
      </c>
      <c r="P1241" t="s">
        <v>38</v>
      </c>
      <c r="Q1241" t="s">
        <v>39</v>
      </c>
      <c r="R1241" t="s">
        <v>5136</v>
      </c>
      <c r="S1241" t="s">
        <v>51</v>
      </c>
      <c r="T1241" t="s">
        <v>108</v>
      </c>
      <c r="U1241" t="s">
        <v>5137</v>
      </c>
      <c r="V1241" s="3">
        <v>3867.81</v>
      </c>
      <c r="W1241" s="4">
        <v>3</v>
      </c>
      <c r="X1241" s="2">
        <v>0</v>
      </c>
      <c r="Y1241" s="3">
        <v>-344.39</v>
      </c>
      <c r="Z1241" t="str">
        <f t="shared" si="230"/>
        <v>Normal</v>
      </c>
      <c r="AA1241" t="str">
        <f t="shared" si="231"/>
        <v>Low</v>
      </c>
      <c r="AB1241" t="str">
        <f t="shared" si="235"/>
        <v>Loss</v>
      </c>
      <c r="AC1241" s="3">
        <f t="shared" si="236"/>
        <v>-8.9040051088341982E-2</v>
      </c>
      <c r="AD1241" s="3">
        <f t="shared" si="237"/>
        <v>1289.27</v>
      </c>
      <c r="AE1241" s="3">
        <f t="shared" si="238"/>
        <v>-114.79666666666667</v>
      </c>
      <c r="AF1241" t="str">
        <f t="shared" si="239"/>
        <v>Regular</v>
      </c>
    </row>
    <row r="1242" spans="1:32" x14ac:dyDescent="0.25">
      <c r="A1242" t="s">
        <v>6210</v>
      </c>
      <c r="B1242" s="1">
        <v>45532</v>
      </c>
      <c r="C1242" s="1">
        <v>45535</v>
      </c>
      <c r="D1242" s="4">
        <f t="shared" si="228"/>
        <v>3</v>
      </c>
      <c r="E1242" s="4" t="str">
        <f>TEXT(Table1[[#This Row],[Order_Date]],"dddd")</f>
        <v>Wednesday</v>
      </c>
      <c r="F1242" s="4">
        <f t="shared" si="229"/>
        <v>8</v>
      </c>
      <c r="G1242" t="str">
        <f t="shared" si="232"/>
        <v>August</v>
      </c>
      <c r="H1242">
        <f t="shared" si="233"/>
        <v>2024</v>
      </c>
      <c r="I1242" t="str">
        <f t="shared" si="234"/>
        <v>2024-Q3</v>
      </c>
      <c r="J1242" t="s">
        <v>44</v>
      </c>
      <c r="K1242" t="s">
        <v>6211</v>
      </c>
      <c r="L1242" t="s">
        <v>6212</v>
      </c>
      <c r="M1242" t="s">
        <v>47</v>
      </c>
      <c r="N1242" t="s">
        <v>25</v>
      </c>
      <c r="O1242" t="s">
        <v>26</v>
      </c>
      <c r="P1242" t="s">
        <v>27</v>
      </c>
      <c r="Q1242" t="s">
        <v>28</v>
      </c>
      <c r="R1242" t="s">
        <v>6213</v>
      </c>
      <c r="S1242" t="s">
        <v>51</v>
      </c>
      <c r="T1242" t="s">
        <v>108</v>
      </c>
      <c r="U1242" t="s">
        <v>6214</v>
      </c>
      <c r="V1242" s="3">
        <v>515.33000000000004</v>
      </c>
      <c r="W1242" s="4">
        <v>4</v>
      </c>
      <c r="X1242" s="2">
        <v>0.2</v>
      </c>
      <c r="Y1242" s="3">
        <v>16.11</v>
      </c>
      <c r="Z1242" t="str">
        <f t="shared" si="230"/>
        <v>Normal</v>
      </c>
      <c r="AA1242" t="str">
        <f t="shared" si="231"/>
        <v>High</v>
      </c>
      <c r="AB1242" t="str">
        <f t="shared" si="235"/>
        <v>Low Profit</v>
      </c>
      <c r="AC1242" s="3">
        <f t="shared" si="236"/>
        <v>3.1261521743348918E-2</v>
      </c>
      <c r="AD1242" s="3">
        <f t="shared" si="237"/>
        <v>128.83250000000001</v>
      </c>
      <c r="AE1242" s="3">
        <f t="shared" si="238"/>
        <v>4.0274999999999999</v>
      </c>
      <c r="AF1242" t="str">
        <f t="shared" si="239"/>
        <v>Regular</v>
      </c>
    </row>
    <row r="1243" spans="1:32" x14ac:dyDescent="0.25">
      <c r="A1243" t="s">
        <v>6292</v>
      </c>
      <c r="B1243" s="1">
        <v>45533</v>
      </c>
      <c r="C1243" s="1">
        <v>45536</v>
      </c>
      <c r="D1243" s="4">
        <f t="shared" si="228"/>
        <v>3</v>
      </c>
      <c r="E1243" s="4" t="str">
        <f>TEXT(Table1[[#This Row],[Order_Date]],"dddd")</f>
        <v>Thursday</v>
      </c>
      <c r="F1243" s="4">
        <f t="shared" si="229"/>
        <v>8</v>
      </c>
      <c r="G1243" t="str">
        <f t="shared" si="232"/>
        <v>August</v>
      </c>
      <c r="H1243">
        <f t="shared" si="233"/>
        <v>2024</v>
      </c>
      <c r="I1243" t="str">
        <f t="shared" si="234"/>
        <v>2024-Q3</v>
      </c>
      <c r="J1243" t="s">
        <v>44</v>
      </c>
      <c r="K1243" t="s">
        <v>6293</v>
      </c>
      <c r="L1243" t="s">
        <v>6294</v>
      </c>
      <c r="M1243" t="s">
        <v>36</v>
      </c>
      <c r="N1243" t="s">
        <v>25</v>
      </c>
      <c r="O1243" t="s">
        <v>162</v>
      </c>
      <c r="P1243" t="s">
        <v>163</v>
      </c>
      <c r="Q1243" t="s">
        <v>28</v>
      </c>
      <c r="R1243" t="s">
        <v>6295</v>
      </c>
      <c r="S1243" t="s">
        <v>59</v>
      </c>
      <c r="T1243" t="s">
        <v>60</v>
      </c>
      <c r="U1243" t="s">
        <v>6296</v>
      </c>
      <c r="V1243" s="3">
        <v>568.16999999999996</v>
      </c>
      <c r="W1243" s="4">
        <v>7</v>
      </c>
      <c r="X1243" s="2">
        <v>0.3</v>
      </c>
      <c r="Y1243" s="3">
        <v>-50.82</v>
      </c>
      <c r="Z1243" t="str">
        <f t="shared" si="230"/>
        <v>Normal</v>
      </c>
      <c r="AA1243" t="str">
        <f t="shared" si="231"/>
        <v>High</v>
      </c>
      <c r="AB1243" t="str">
        <f t="shared" si="235"/>
        <v>Loss</v>
      </c>
      <c r="AC1243" s="3">
        <f t="shared" si="236"/>
        <v>-8.9445060457257516E-2</v>
      </c>
      <c r="AD1243" s="3">
        <f t="shared" si="237"/>
        <v>81.167142857142849</v>
      </c>
      <c r="AE1243" s="3">
        <f t="shared" si="238"/>
        <v>-7.26</v>
      </c>
      <c r="AF1243" t="str">
        <f t="shared" si="239"/>
        <v>Regular</v>
      </c>
    </row>
    <row r="1244" spans="1:32" x14ac:dyDescent="0.25">
      <c r="A1244" t="s">
        <v>6772</v>
      </c>
      <c r="B1244" s="1">
        <v>45534</v>
      </c>
      <c r="C1244" s="1">
        <v>45540</v>
      </c>
      <c r="D1244" s="4">
        <f t="shared" si="228"/>
        <v>6</v>
      </c>
      <c r="E1244" s="4" t="str">
        <f>TEXT(Table1[[#This Row],[Order_Date]],"dddd")</f>
        <v>Friday</v>
      </c>
      <c r="F1244" s="4">
        <f t="shared" si="229"/>
        <v>8</v>
      </c>
      <c r="G1244" t="str">
        <f t="shared" si="232"/>
        <v>August</v>
      </c>
      <c r="H1244">
        <f t="shared" si="233"/>
        <v>2024</v>
      </c>
      <c r="I1244" t="str">
        <f t="shared" si="234"/>
        <v>2024-Q3</v>
      </c>
      <c r="J1244" t="s">
        <v>55</v>
      </c>
      <c r="K1244" t="s">
        <v>6773</v>
      </c>
      <c r="L1244" t="s">
        <v>6774</v>
      </c>
      <c r="M1244" t="s">
        <v>47</v>
      </c>
      <c r="N1244" t="s">
        <v>25</v>
      </c>
      <c r="O1244" t="s">
        <v>190</v>
      </c>
      <c r="P1244" t="s">
        <v>120</v>
      </c>
      <c r="Q1244" t="s">
        <v>87</v>
      </c>
      <c r="R1244" t="s">
        <v>6775</v>
      </c>
      <c r="S1244" t="s">
        <v>51</v>
      </c>
      <c r="T1244" t="s">
        <v>108</v>
      </c>
      <c r="U1244" t="s">
        <v>6776</v>
      </c>
      <c r="V1244" s="3">
        <v>1217.6500000000001</v>
      </c>
      <c r="W1244" s="4">
        <v>8</v>
      </c>
      <c r="X1244" s="2">
        <v>0.2</v>
      </c>
      <c r="Y1244" s="3">
        <v>-118.17</v>
      </c>
      <c r="Z1244" t="str">
        <f t="shared" si="230"/>
        <v>Normal</v>
      </c>
      <c r="AA1244" t="str">
        <f t="shared" si="231"/>
        <v>High</v>
      </c>
      <c r="AB1244" t="str">
        <f t="shared" si="235"/>
        <v>Loss</v>
      </c>
      <c r="AC1244" s="3">
        <f t="shared" si="236"/>
        <v>-9.7047591672483877E-2</v>
      </c>
      <c r="AD1244" s="3">
        <f t="shared" si="237"/>
        <v>152.20625000000001</v>
      </c>
      <c r="AE1244" s="3">
        <f t="shared" si="238"/>
        <v>-14.77125</v>
      </c>
      <c r="AF1244" t="str">
        <f t="shared" si="239"/>
        <v>Regular</v>
      </c>
    </row>
    <row r="1245" spans="1:32" x14ac:dyDescent="0.25">
      <c r="A1245" t="s">
        <v>433</v>
      </c>
      <c r="B1245" s="1">
        <v>45535</v>
      </c>
      <c r="C1245" s="1">
        <v>45545</v>
      </c>
      <c r="D1245" s="4">
        <f t="shared" si="228"/>
        <v>10</v>
      </c>
      <c r="E1245" s="4" t="str">
        <f>TEXT(Table1[[#This Row],[Order_Date]],"dddd")</f>
        <v>Saturday</v>
      </c>
      <c r="F1245" s="4">
        <f t="shared" si="229"/>
        <v>8</v>
      </c>
      <c r="G1245" t="str">
        <f t="shared" si="232"/>
        <v>August</v>
      </c>
      <c r="H1245">
        <f t="shared" si="233"/>
        <v>2024</v>
      </c>
      <c r="I1245" t="str">
        <f t="shared" si="234"/>
        <v>2024-Q3</v>
      </c>
      <c r="J1245" t="s">
        <v>21</v>
      </c>
      <c r="K1245" t="s">
        <v>434</v>
      </c>
      <c r="L1245" t="s">
        <v>435</v>
      </c>
      <c r="M1245" t="s">
        <v>47</v>
      </c>
      <c r="N1245" t="s">
        <v>25</v>
      </c>
      <c r="O1245" t="s">
        <v>142</v>
      </c>
      <c r="P1245" t="s">
        <v>143</v>
      </c>
      <c r="Q1245" t="s">
        <v>66</v>
      </c>
      <c r="R1245" t="s">
        <v>436</v>
      </c>
      <c r="S1245" t="s">
        <v>30</v>
      </c>
      <c r="T1245" t="s">
        <v>68</v>
      </c>
      <c r="U1245" t="s">
        <v>437</v>
      </c>
      <c r="V1245" s="3">
        <v>4649.2700000000004</v>
      </c>
      <c r="W1245" s="4">
        <v>10</v>
      </c>
      <c r="X1245" s="2">
        <v>0</v>
      </c>
      <c r="Y1245" s="3">
        <v>-322.87</v>
      </c>
      <c r="Z1245" t="str">
        <f t="shared" si="230"/>
        <v>Normal</v>
      </c>
      <c r="AA1245" t="str">
        <f t="shared" si="231"/>
        <v>Low</v>
      </c>
      <c r="AB1245" t="str">
        <f t="shared" si="235"/>
        <v>Loss</v>
      </c>
      <c r="AC1245" s="3">
        <f t="shared" si="236"/>
        <v>-6.9445310769217533E-2</v>
      </c>
      <c r="AD1245" s="3">
        <f t="shared" si="237"/>
        <v>464.92700000000002</v>
      </c>
      <c r="AE1245" s="3">
        <f t="shared" si="238"/>
        <v>-32.286999999999999</v>
      </c>
      <c r="AF1245" t="str">
        <f t="shared" si="239"/>
        <v>Regular</v>
      </c>
    </row>
    <row r="1246" spans="1:32" x14ac:dyDescent="0.25">
      <c r="A1246" t="s">
        <v>6453</v>
      </c>
      <c r="B1246" s="1">
        <v>45536</v>
      </c>
      <c r="C1246" s="1">
        <v>45542</v>
      </c>
      <c r="D1246" s="4">
        <f t="shared" si="228"/>
        <v>6</v>
      </c>
      <c r="E1246" s="4" t="str">
        <f>TEXT(Table1[[#This Row],[Order_Date]],"dddd")</f>
        <v>Sunday</v>
      </c>
      <c r="F1246" s="4">
        <f t="shared" si="229"/>
        <v>9</v>
      </c>
      <c r="G1246" t="str">
        <f t="shared" si="232"/>
        <v>September</v>
      </c>
      <c r="H1246">
        <f t="shared" si="233"/>
        <v>2024</v>
      </c>
      <c r="I1246" t="str">
        <f t="shared" si="234"/>
        <v>2024-Q3</v>
      </c>
      <c r="J1246" t="s">
        <v>44</v>
      </c>
      <c r="K1246" t="s">
        <v>6454</v>
      </c>
      <c r="L1246" t="s">
        <v>6455</v>
      </c>
      <c r="M1246" t="s">
        <v>36</v>
      </c>
      <c r="N1246" t="s">
        <v>25</v>
      </c>
      <c r="O1246" t="s">
        <v>26</v>
      </c>
      <c r="P1246" t="s">
        <v>27</v>
      </c>
      <c r="Q1246" t="s">
        <v>39</v>
      </c>
      <c r="R1246" t="s">
        <v>6456</v>
      </c>
      <c r="S1246" t="s">
        <v>59</v>
      </c>
      <c r="T1246" t="s">
        <v>303</v>
      </c>
      <c r="U1246" t="s">
        <v>3170</v>
      </c>
      <c r="V1246" s="3">
        <v>4189.04</v>
      </c>
      <c r="W1246" s="4">
        <v>6</v>
      </c>
      <c r="X1246" s="2">
        <v>0.2</v>
      </c>
      <c r="Y1246" s="3">
        <v>201.92</v>
      </c>
      <c r="Z1246" t="str">
        <f t="shared" si="230"/>
        <v>Normal</v>
      </c>
      <c r="AA1246" t="str">
        <f t="shared" si="231"/>
        <v>High</v>
      </c>
      <c r="AB1246" t="str">
        <f t="shared" si="235"/>
        <v>Low Profit</v>
      </c>
      <c r="AC1246" s="3">
        <f t="shared" si="236"/>
        <v>4.8201974676775582E-2</v>
      </c>
      <c r="AD1246" s="3">
        <f t="shared" si="237"/>
        <v>698.17333333333329</v>
      </c>
      <c r="AE1246" s="3">
        <f t="shared" si="238"/>
        <v>33.653333333333329</v>
      </c>
      <c r="AF1246" t="str">
        <f t="shared" si="239"/>
        <v>Regular</v>
      </c>
    </row>
    <row r="1247" spans="1:32" x14ac:dyDescent="0.25">
      <c r="A1247" t="s">
        <v>7382</v>
      </c>
      <c r="B1247" s="1">
        <v>45536</v>
      </c>
      <c r="C1247" s="1">
        <v>45539</v>
      </c>
      <c r="D1247" s="4">
        <f t="shared" si="228"/>
        <v>3</v>
      </c>
      <c r="E1247" s="4" t="str">
        <f>TEXT(Table1[[#This Row],[Order_Date]],"dddd")</f>
        <v>Sunday</v>
      </c>
      <c r="F1247" s="4">
        <f t="shared" si="229"/>
        <v>9</v>
      </c>
      <c r="G1247" t="str">
        <f t="shared" si="232"/>
        <v>September</v>
      </c>
      <c r="H1247">
        <f t="shared" si="233"/>
        <v>2024</v>
      </c>
      <c r="I1247" t="str">
        <f t="shared" si="234"/>
        <v>2024-Q3</v>
      </c>
      <c r="J1247" t="s">
        <v>21</v>
      </c>
      <c r="K1247" t="s">
        <v>7383</v>
      </c>
      <c r="L1247" t="s">
        <v>7384</v>
      </c>
      <c r="M1247" t="s">
        <v>24</v>
      </c>
      <c r="N1247" t="s">
        <v>25</v>
      </c>
      <c r="O1247" t="s">
        <v>611</v>
      </c>
      <c r="P1247" t="s">
        <v>74</v>
      </c>
      <c r="Q1247" t="s">
        <v>66</v>
      </c>
      <c r="R1247" t="s">
        <v>7385</v>
      </c>
      <c r="S1247" t="s">
        <v>30</v>
      </c>
      <c r="T1247" t="s">
        <v>68</v>
      </c>
      <c r="U1247" t="s">
        <v>7386</v>
      </c>
      <c r="V1247" s="3">
        <v>2917.67</v>
      </c>
      <c r="W1247" s="4">
        <v>6</v>
      </c>
      <c r="X1247" s="2">
        <v>0</v>
      </c>
      <c r="Y1247" s="3">
        <v>-297.39</v>
      </c>
      <c r="Z1247" t="str">
        <f t="shared" si="230"/>
        <v>Normal</v>
      </c>
      <c r="AA1247" t="str">
        <f t="shared" si="231"/>
        <v>Low</v>
      </c>
      <c r="AB1247" t="str">
        <f t="shared" si="235"/>
        <v>Loss</v>
      </c>
      <c r="AC1247" s="3">
        <f t="shared" si="236"/>
        <v>-0.10192722274965982</v>
      </c>
      <c r="AD1247" s="3">
        <f t="shared" si="237"/>
        <v>486.27833333333336</v>
      </c>
      <c r="AE1247" s="3">
        <f t="shared" si="238"/>
        <v>-49.564999999999998</v>
      </c>
      <c r="AF1247" t="str">
        <f t="shared" si="239"/>
        <v>Regular</v>
      </c>
    </row>
    <row r="1248" spans="1:32" x14ac:dyDescent="0.25">
      <c r="A1248" t="s">
        <v>5399</v>
      </c>
      <c r="B1248" s="1">
        <v>45537</v>
      </c>
      <c r="C1248" s="1">
        <v>45540</v>
      </c>
      <c r="D1248" s="4">
        <f t="shared" si="228"/>
        <v>3</v>
      </c>
      <c r="E1248" s="4" t="str">
        <f>TEXT(Table1[[#This Row],[Order_Date]],"dddd")</f>
        <v>Monday</v>
      </c>
      <c r="F1248" s="4">
        <f t="shared" si="229"/>
        <v>9</v>
      </c>
      <c r="G1248" t="str">
        <f t="shared" si="232"/>
        <v>September</v>
      </c>
      <c r="H1248">
        <f t="shared" si="233"/>
        <v>2024</v>
      </c>
      <c r="I1248" t="str">
        <f t="shared" si="234"/>
        <v>2024-Q3</v>
      </c>
      <c r="J1248" t="s">
        <v>104</v>
      </c>
      <c r="K1248" t="s">
        <v>5400</v>
      </c>
      <c r="L1248" t="s">
        <v>5401</v>
      </c>
      <c r="M1248" t="s">
        <v>36</v>
      </c>
      <c r="N1248" t="s">
        <v>25</v>
      </c>
      <c r="O1248" t="s">
        <v>65</v>
      </c>
      <c r="P1248" t="s">
        <v>27</v>
      </c>
      <c r="Q1248" t="s">
        <v>66</v>
      </c>
      <c r="R1248" t="s">
        <v>5402</v>
      </c>
      <c r="S1248" t="s">
        <v>59</v>
      </c>
      <c r="T1248" t="s">
        <v>277</v>
      </c>
      <c r="U1248" t="s">
        <v>5403</v>
      </c>
      <c r="V1248" s="3">
        <v>4000.55</v>
      </c>
      <c r="W1248" s="4">
        <v>6</v>
      </c>
      <c r="X1248" s="2">
        <v>0</v>
      </c>
      <c r="Y1248" s="3">
        <v>391.82</v>
      </c>
      <c r="Z1248" t="str">
        <f t="shared" si="230"/>
        <v>Normal</v>
      </c>
      <c r="AA1248" t="str">
        <f t="shared" si="231"/>
        <v>Low</v>
      </c>
      <c r="AB1248" t="str">
        <f t="shared" si="235"/>
        <v>Low Profit</v>
      </c>
      <c r="AC1248" s="3">
        <f t="shared" si="236"/>
        <v>9.7941533039207107E-2</v>
      </c>
      <c r="AD1248" s="3">
        <f t="shared" si="237"/>
        <v>666.75833333333333</v>
      </c>
      <c r="AE1248" s="3">
        <f t="shared" si="238"/>
        <v>65.303333333333327</v>
      </c>
      <c r="AF1248" t="str">
        <f t="shared" si="239"/>
        <v>Regular</v>
      </c>
    </row>
    <row r="1249" spans="1:32" x14ac:dyDescent="0.25">
      <c r="A1249" t="s">
        <v>2924</v>
      </c>
      <c r="B1249" s="1">
        <v>45537</v>
      </c>
      <c r="C1249" s="1">
        <v>45546</v>
      </c>
      <c r="D1249" s="4">
        <f t="shared" si="228"/>
        <v>9</v>
      </c>
      <c r="E1249" s="4" t="str">
        <f>TEXT(Table1[[#This Row],[Order_Date]],"dddd")</f>
        <v>Monday</v>
      </c>
      <c r="F1249" s="4">
        <f t="shared" si="229"/>
        <v>9</v>
      </c>
      <c r="G1249" t="str">
        <f t="shared" si="232"/>
        <v>September</v>
      </c>
      <c r="H1249">
        <f t="shared" si="233"/>
        <v>2024</v>
      </c>
      <c r="I1249" t="str">
        <f t="shared" si="234"/>
        <v>2024-Q3</v>
      </c>
      <c r="J1249" t="s">
        <v>55</v>
      </c>
      <c r="K1249" t="s">
        <v>2925</v>
      </c>
      <c r="L1249" t="s">
        <v>2926</v>
      </c>
      <c r="M1249" t="s">
        <v>47</v>
      </c>
      <c r="N1249" t="s">
        <v>25</v>
      </c>
      <c r="O1249" t="s">
        <v>451</v>
      </c>
      <c r="P1249" t="s">
        <v>38</v>
      </c>
      <c r="Q1249" t="s">
        <v>66</v>
      </c>
      <c r="R1249" t="s">
        <v>2927</v>
      </c>
      <c r="S1249" t="s">
        <v>30</v>
      </c>
      <c r="T1249" t="s">
        <v>68</v>
      </c>
      <c r="U1249" t="s">
        <v>2928</v>
      </c>
      <c r="V1249" s="3">
        <v>406.47</v>
      </c>
      <c r="W1249" s="4">
        <v>10</v>
      </c>
      <c r="X1249" s="2">
        <v>0</v>
      </c>
      <c r="Y1249" s="3">
        <v>-51.28</v>
      </c>
      <c r="Z1249" t="str">
        <f t="shared" si="230"/>
        <v>Normal</v>
      </c>
      <c r="AA1249" t="str">
        <f t="shared" si="231"/>
        <v>Low</v>
      </c>
      <c r="AB1249" t="str">
        <f t="shared" si="235"/>
        <v>Loss</v>
      </c>
      <c r="AC1249" s="3">
        <f t="shared" si="236"/>
        <v>-0.12615937215538661</v>
      </c>
      <c r="AD1249" s="3">
        <f t="shared" si="237"/>
        <v>40.647000000000006</v>
      </c>
      <c r="AE1249" s="3">
        <f t="shared" si="238"/>
        <v>-5.1280000000000001</v>
      </c>
      <c r="AF1249" t="str">
        <f t="shared" si="239"/>
        <v>Regular</v>
      </c>
    </row>
    <row r="1250" spans="1:32" x14ac:dyDescent="0.25">
      <c r="A1250" t="s">
        <v>684</v>
      </c>
      <c r="B1250" s="1">
        <v>45537</v>
      </c>
      <c r="C1250" s="1">
        <v>45546</v>
      </c>
      <c r="D1250" s="4">
        <f t="shared" si="228"/>
        <v>9</v>
      </c>
      <c r="E1250" s="4" t="str">
        <f>TEXT(Table1[[#This Row],[Order_Date]],"dddd")</f>
        <v>Monday</v>
      </c>
      <c r="F1250" s="4">
        <f t="shared" si="229"/>
        <v>9</v>
      </c>
      <c r="G1250" t="str">
        <f t="shared" si="232"/>
        <v>September</v>
      </c>
      <c r="H1250">
        <f t="shared" si="233"/>
        <v>2024</v>
      </c>
      <c r="I1250" t="str">
        <f t="shared" si="234"/>
        <v>2024-Q3</v>
      </c>
      <c r="J1250" t="s">
        <v>21</v>
      </c>
      <c r="K1250" t="s">
        <v>685</v>
      </c>
      <c r="L1250" t="s">
        <v>686</v>
      </c>
      <c r="M1250" t="s">
        <v>36</v>
      </c>
      <c r="N1250" t="s">
        <v>25</v>
      </c>
      <c r="O1250" t="s">
        <v>244</v>
      </c>
      <c r="P1250" t="s">
        <v>163</v>
      </c>
      <c r="Q1250" t="s">
        <v>66</v>
      </c>
      <c r="R1250" t="s">
        <v>7403</v>
      </c>
      <c r="S1250" t="s">
        <v>59</v>
      </c>
      <c r="T1250" t="s">
        <v>101</v>
      </c>
      <c r="U1250" t="s">
        <v>687</v>
      </c>
      <c r="V1250" s="3">
        <v>3625.61</v>
      </c>
      <c r="W1250" s="4">
        <v>8</v>
      </c>
      <c r="X1250" s="2">
        <v>0.3</v>
      </c>
      <c r="Y1250" s="3">
        <v>568.64</v>
      </c>
      <c r="Z1250" t="str">
        <f t="shared" si="230"/>
        <v>Normal</v>
      </c>
      <c r="AA1250" t="str">
        <f t="shared" si="231"/>
        <v>High</v>
      </c>
      <c r="AB1250" t="str">
        <f t="shared" si="235"/>
        <v>High Profit</v>
      </c>
      <c r="AC1250" s="3">
        <f t="shared" si="236"/>
        <v>0.15683981454155299</v>
      </c>
      <c r="AD1250" s="3">
        <f t="shared" si="237"/>
        <v>453.20125000000002</v>
      </c>
      <c r="AE1250" s="3">
        <f t="shared" si="238"/>
        <v>71.08</v>
      </c>
      <c r="AF1250" t="str">
        <f t="shared" si="239"/>
        <v>Regular</v>
      </c>
    </row>
    <row r="1251" spans="1:32" x14ac:dyDescent="0.25">
      <c r="A1251" t="s">
        <v>6205</v>
      </c>
      <c r="B1251" s="1">
        <v>45539</v>
      </c>
      <c r="C1251" s="1">
        <v>45542</v>
      </c>
      <c r="D1251" s="4">
        <f t="shared" si="228"/>
        <v>3</v>
      </c>
      <c r="E1251" s="4" t="str">
        <f>TEXT(Table1[[#This Row],[Order_Date]],"dddd")</f>
        <v>Wednesday</v>
      </c>
      <c r="F1251" s="4">
        <f t="shared" si="229"/>
        <v>9</v>
      </c>
      <c r="G1251" t="str">
        <f t="shared" si="232"/>
        <v>September</v>
      </c>
      <c r="H1251">
        <f t="shared" si="233"/>
        <v>2024</v>
      </c>
      <c r="I1251" t="str">
        <f t="shared" si="234"/>
        <v>2024-Q3</v>
      </c>
      <c r="J1251" t="s">
        <v>21</v>
      </c>
      <c r="K1251" t="s">
        <v>6206</v>
      </c>
      <c r="L1251" t="s">
        <v>6207</v>
      </c>
      <c r="M1251" t="s">
        <v>36</v>
      </c>
      <c r="N1251" t="s">
        <v>25</v>
      </c>
      <c r="O1251" t="s">
        <v>233</v>
      </c>
      <c r="P1251" t="s">
        <v>163</v>
      </c>
      <c r="Q1251" t="s">
        <v>39</v>
      </c>
      <c r="R1251" t="s">
        <v>6208</v>
      </c>
      <c r="S1251" t="s">
        <v>59</v>
      </c>
      <c r="T1251" t="s">
        <v>101</v>
      </c>
      <c r="U1251" t="s">
        <v>6209</v>
      </c>
      <c r="V1251" s="3">
        <v>3297.68</v>
      </c>
      <c r="W1251" s="4">
        <v>7</v>
      </c>
      <c r="X1251" s="2">
        <v>0.4</v>
      </c>
      <c r="Y1251" s="3">
        <v>87.78</v>
      </c>
      <c r="Z1251" t="str">
        <f t="shared" si="230"/>
        <v>Normal</v>
      </c>
      <c r="AA1251" t="str">
        <f t="shared" si="231"/>
        <v>High</v>
      </c>
      <c r="AB1251" t="str">
        <f t="shared" si="235"/>
        <v>Low Profit</v>
      </c>
      <c r="AC1251" s="3">
        <f t="shared" si="236"/>
        <v>2.6618713762402661E-2</v>
      </c>
      <c r="AD1251" s="3">
        <f t="shared" si="237"/>
        <v>471.09714285714284</v>
      </c>
      <c r="AE1251" s="3">
        <f t="shared" si="238"/>
        <v>12.540000000000001</v>
      </c>
      <c r="AF1251" t="str">
        <f t="shared" si="239"/>
        <v>Regular</v>
      </c>
    </row>
    <row r="1252" spans="1:32" x14ac:dyDescent="0.25">
      <c r="A1252" t="s">
        <v>2696</v>
      </c>
      <c r="B1252" s="1">
        <v>45539</v>
      </c>
      <c r="C1252" s="1">
        <v>45543</v>
      </c>
      <c r="D1252" s="4">
        <f t="shared" si="228"/>
        <v>4</v>
      </c>
      <c r="E1252" s="4" t="str">
        <f>TEXT(Table1[[#This Row],[Order_Date]],"dddd")</f>
        <v>Wednesday</v>
      </c>
      <c r="F1252" s="4">
        <f t="shared" si="229"/>
        <v>9</v>
      </c>
      <c r="G1252" t="str">
        <f t="shared" si="232"/>
        <v>September</v>
      </c>
      <c r="H1252">
        <f t="shared" si="233"/>
        <v>2024</v>
      </c>
      <c r="I1252" t="str">
        <f t="shared" si="234"/>
        <v>2024-Q3</v>
      </c>
      <c r="J1252" t="s">
        <v>44</v>
      </c>
      <c r="K1252" t="s">
        <v>2697</v>
      </c>
      <c r="L1252" t="s">
        <v>2698</v>
      </c>
      <c r="M1252" t="s">
        <v>24</v>
      </c>
      <c r="N1252" t="s">
        <v>25</v>
      </c>
      <c r="O1252" t="s">
        <v>201</v>
      </c>
      <c r="P1252" t="s">
        <v>113</v>
      </c>
      <c r="Q1252" t="s">
        <v>87</v>
      </c>
      <c r="R1252" t="s">
        <v>2699</v>
      </c>
      <c r="S1252" t="s">
        <v>51</v>
      </c>
      <c r="T1252" t="s">
        <v>94</v>
      </c>
      <c r="U1252" t="s">
        <v>2700</v>
      </c>
      <c r="V1252" s="3">
        <v>3013.05</v>
      </c>
      <c r="W1252" s="4">
        <v>3</v>
      </c>
      <c r="X1252" s="2">
        <v>0.3</v>
      </c>
      <c r="Y1252" s="3">
        <v>120.79</v>
      </c>
      <c r="Z1252" t="str">
        <f t="shared" si="230"/>
        <v>Normal</v>
      </c>
      <c r="AA1252" t="str">
        <f t="shared" si="231"/>
        <v>High</v>
      </c>
      <c r="AB1252" t="str">
        <f t="shared" si="235"/>
        <v>Low Profit</v>
      </c>
      <c r="AC1252" s="3">
        <f t="shared" si="236"/>
        <v>4.0088946416421897E-2</v>
      </c>
      <c r="AD1252" s="3">
        <f t="shared" si="237"/>
        <v>1004.35</v>
      </c>
      <c r="AE1252" s="3">
        <f t="shared" si="238"/>
        <v>40.263333333333335</v>
      </c>
      <c r="AF1252" t="str">
        <f t="shared" si="239"/>
        <v>Regular</v>
      </c>
    </row>
    <row r="1253" spans="1:32" x14ac:dyDescent="0.25">
      <c r="A1253" t="s">
        <v>5384</v>
      </c>
      <c r="B1253" s="1">
        <v>45539</v>
      </c>
      <c r="C1253" s="1">
        <v>45541</v>
      </c>
      <c r="D1253" s="4">
        <f t="shared" si="228"/>
        <v>2</v>
      </c>
      <c r="E1253" s="4" t="str">
        <f>TEXT(Table1[[#This Row],[Order_Date]],"dddd")</f>
        <v>Wednesday</v>
      </c>
      <c r="F1253" s="4">
        <f t="shared" si="229"/>
        <v>9</v>
      </c>
      <c r="G1253" t="str">
        <f t="shared" si="232"/>
        <v>September</v>
      </c>
      <c r="H1253">
        <f t="shared" si="233"/>
        <v>2024</v>
      </c>
      <c r="I1253" t="str">
        <f t="shared" si="234"/>
        <v>2024-Q3</v>
      </c>
      <c r="J1253" t="s">
        <v>44</v>
      </c>
      <c r="K1253" t="s">
        <v>5385</v>
      </c>
      <c r="L1253" t="s">
        <v>5386</v>
      </c>
      <c r="M1253" t="s">
        <v>47</v>
      </c>
      <c r="N1253" t="s">
        <v>25</v>
      </c>
      <c r="O1253" t="s">
        <v>190</v>
      </c>
      <c r="P1253" t="s">
        <v>120</v>
      </c>
      <c r="Q1253" t="s">
        <v>28</v>
      </c>
      <c r="R1253" t="s">
        <v>5387</v>
      </c>
      <c r="S1253" t="s">
        <v>30</v>
      </c>
      <c r="T1253" t="s">
        <v>82</v>
      </c>
      <c r="U1253" t="s">
        <v>5388</v>
      </c>
      <c r="V1253" s="3">
        <v>1526.61</v>
      </c>
      <c r="W1253" s="4">
        <v>6</v>
      </c>
      <c r="X1253" s="2">
        <v>0.1</v>
      </c>
      <c r="Y1253" s="3">
        <v>-111.15</v>
      </c>
      <c r="Z1253" t="str">
        <f t="shared" si="230"/>
        <v>Normal</v>
      </c>
      <c r="AA1253" t="str">
        <f t="shared" si="231"/>
        <v>Medium</v>
      </c>
      <c r="AB1253" t="str">
        <f t="shared" si="235"/>
        <v>Loss</v>
      </c>
      <c r="AC1253" s="3">
        <f t="shared" si="236"/>
        <v>-7.2808379350325234E-2</v>
      </c>
      <c r="AD1253" s="3">
        <f t="shared" si="237"/>
        <v>254.43499999999997</v>
      </c>
      <c r="AE1253" s="3">
        <f t="shared" si="238"/>
        <v>-18.525000000000002</v>
      </c>
      <c r="AF1253" t="str">
        <f t="shared" si="239"/>
        <v>Regular</v>
      </c>
    </row>
    <row r="1254" spans="1:32" x14ac:dyDescent="0.25">
      <c r="A1254" t="s">
        <v>7070</v>
      </c>
      <c r="B1254" s="1">
        <v>45539</v>
      </c>
      <c r="C1254" s="1">
        <v>45543</v>
      </c>
      <c r="D1254" s="4">
        <f t="shared" si="228"/>
        <v>4</v>
      </c>
      <c r="E1254" s="4" t="str">
        <f>TEXT(Table1[[#This Row],[Order_Date]],"dddd")</f>
        <v>Wednesday</v>
      </c>
      <c r="F1254" s="4">
        <f t="shared" si="229"/>
        <v>9</v>
      </c>
      <c r="G1254" t="str">
        <f t="shared" si="232"/>
        <v>September</v>
      </c>
      <c r="H1254">
        <f t="shared" si="233"/>
        <v>2024</v>
      </c>
      <c r="I1254" t="str">
        <f t="shared" si="234"/>
        <v>2024-Q3</v>
      </c>
      <c r="J1254" t="s">
        <v>21</v>
      </c>
      <c r="K1254" t="s">
        <v>7071</v>
      </c>
      <c r="L1254" t="s">
        <v>5953</v>
      </c>
      <c r="M1254" t="s">
        <v>36</v>
      </c>
      <c r="N1254" t="s">
        <v>25</v>
      </c>
      <c r="O1254" t="s">
        <v>80</v>
      </c>
      <c r="P1254" t="s">
        <v>49</v>
      </c>
      <c r="Q1254" t="s">
        <v>87</v>
      </c>
      <c r="R1254" t="s">
        <v>7072</v>
      </c>
      <c r="S1254" t="s">
        <v>59</v>
      </c>
      <c r="T1254" t="s">
        <v>277</v>
      </c>
      <c r="U1254" t="s">
        <v>557</v>
      </c>
      <c r="V1254" s="3">
        <v>119.74</v>
      </c>
      <c r="W1254" s="4">
        <v>3</v>
      </c>
      <c r="X1254" s="2">
        <v>0.1</v>
      </c>
      <c r="Y1254" s="3">
        <v>-19.260000000000002</v>
      </c>
      <c r="Z1254" t="str">
        <f t="shared" si="230"/>
        <v>Normal</v>
      </c>
      <c r="AA1254" t="str">
        <f t="shared" si="231"/>
        <v>Medium</v>
      </c>
      <c r="AB1254" t="str">
        <f t="shared" si="235"/>
        <v>Loss</v>
      </c>
      <c r="AC1254" s="3">
        <f t="shared" si="236"/>
        <v>-0.16084850509437115</v>
      </c>
      <c r="AD1254" s="3">
        <f t="shared" si="237"/>
        <v>39.913333333333334</v>
      </c>
      <c r="AE1254" s="3">
        <f t="shared" si="238"/>
        <v>-6.4200000000000008</v>
      </c>
      <c r="AF1254" t="str">
        <f t="shared" si="239"/>
        <v>Regular</v>
      </c>
    </row>
    <row r="1255" spans="1:32" x14ac:dyDescent="0.25">
      <c r="A1255" t="s">
        <v>6139</v>
      </c>
      <c r="B1255" s="1">
        <v>45540</v>
      </c>
      <c r="C1255" s="1">
        <v>45542</v>
      </c>
      <c r="D1255" s="4">
        <f t="shared" si="228"/>
        <v>2</v>
      </c>
      <c r="E1255" s="4" t="str">
        <f>TEXT(Table1[[#This Row],[Order_Date]],"dddd")</f>
        <v>Thursday</v>
      </c>
      <c r="F1255" s="4">
        <f t="shared" si="229"/>
        <v>9</v>
      </c>
      <c r="G1255" t="str">
        <f t="shared" si="232"/>
        <v>September</v>
      </c>
      <c r="H1255">
        <f t="shared" si="233"/>
        <v>2024</v>
      </c>
      <c r="I1255" t="str">
        <f t="shared" si="234"/>
        <v>2024-Q3</v>
      </c>
      <c r="J1255" t="s">
        <v>104</v>
      </c>
      <c r="K1255" t="s">
        <v>6140</v>
      </c>
      <c r="L1255" t="s">
        <v>6141</v>
      </c>
      <c r="M1255" t="s">
        <v>36</v>
      </c>
      <c r="N1255" t="s">
        <v>25</v>
      </c>
      <c r="O1255" t="s">
        <v>255</v>
      </c>
      <c r="P1255" t="s">
        <v>143</v>
      </c>
      <c r="Q1255" t="s">
        <v>66</v>
      </c>
      <c r="R1255" t="s">
        <v>6142</v>
      </c>
      <c r="S1255" t="s">
        <v>59</v>
      </c>
      <c r="T1255" t="s">
        <v>101</v>
      </c>
      <c r="U1255" t="s">
        <v>6143</v>
      </c>
      <c r="V1255" s="3">
        <v>4413.9799999999996</v>
      </c>
      <c r="W1255" s="4">
        <v>1</v>
      </c>
      <c r="X1255" s="2">
        <v>0.2</v>
      </c>
      <c r="Y1255" s="3">
        <v>-729.52</v>
      </c>
      <c r="Z1255" t="str">
        <f t="shared" si="230"/>
        <v>Normal</v>
      </c>
      <c r="AA1255" t="str">
        <f t="shared" si="231"/>
        <v>High</v>
      </c>
      <c r="AB1255" t="str">
        <f t="shared" si="235"/>
        <v>Loss</v>
      </c>
      <c r="AC1255" s="3">
        <f t="shared" si="236"/>
        <v>-0.16527487664194221</v>
      </c>
      <c r="AD1255" s="3">
        <f t="shared" si="237"/>
        <v>4413.9799999999996</v>
      </c>
      <c r="AE1255" s="3">
        <f t="shared" si="238"/>
        <v>-729.52</v>
      </c>
      <c r="AF1255" t="str">
        <f t="shared" si="239"/>
        <v>Regular</v>
      </c>
    </row>
    <row r="1256" spans="1:32" x14ac:dyDescent="0.25">
      <c r="A1256" t="s">
        <v>3156</v>
      </c>
      <c r="B1256" s="1">
        <v>45540</v>
      </c>
      <c r="C1256" s="1">
        <v>45542</v>
      </c>
      <c r="D1256" s="4">
        <f t="shared" si="228"/>
        <v>2</v>
      </c>
      <c r="E1256" s="4" t="str">
        <f>TEXT(Table1[[#This Row],[Order_Date]],"dddd")</f>
        <v>Thursday</v>
      </c>
      <c r="F1256" s="4">
        <f t="shared" si="229"/>
        <v>9</v>
      </c>
      <c r="G1256" t="str">
        <f t="shared" si="232"/>
        <v>September</v>
      </c>
      <c r="H1256">
        <f t="shared" si="233"/>
        <v>2024</v>
      </c>
      <c r="I1256" t="str">
        <f t="shared" si="234"/>
        <v>2024-Q3</v>
      </c>
      <c r="J1256" t="s">
        <v>55</v>
      </c>
      <c r="K1256" t="s">
        <v>3157</v>
      </c>
      <c r="L1256" t="s">
        <v>3158</v>
      </c>
      <c r="M1256" t="s">
        <v>47</v>
      </c>
      <c r="N1256" t="s">
        <v>25</v>
      </c>
      <c r="O1256" t="s">
        <v>190</v>
      </c>
      <c r="P1256" t="s">
        <v>120</v>
      </c>
      <c r="Q1256" t="s">
        <v>87</v>
      </c>
      <c r="R1256" t="s">
        <v>3159</v>
      </c>
      <c r="S1256" t="s">
        <v>51</v>
      </c>
      <c r="T1256" t="s">
        <v>52</v>
      </c>
      <c r="U1256" t="s">
        <v>3160</v>
      </c>
      <c r="V1256" s="3">
        <v>1218.08</v>
      </c>
      <c r="W1256" s="4">
        <v>9</v>
      </c>
      <c r="X1256" s="2">
        <v>0</v>
      </c>
      <c r="Y1256" s="3">
        <v>239.85</v>
      </c>
      <c r="Z1256" t="str">
        <f t="shared" si="230"/>
        <v>Normal</v>
      </c>
      <c r="AA1256" t="str">
        <f t="shared" si="231"/>
        <v>Low</v>
      </c>
      <c r="AB1256" t="str">
        <f t="shared" si="235"/>
        <v>Low Profit</v>
      </c>
      <c r="AC1256" s="3">
        <f t="shared" si="236"/>
        <v>0.19690824904768162</v>
      </c>
      <c r="AD1256" s="3">
        <f t="shared" si="237"/>
        <v>135.3422222222222</v>
      </c>
      <c r="AE1256" s="3">
        <f t="shared" si="238"/>
        <v>26.65</v>
      </c>
      <c r="AF1256" t="str">
        <f t="shared" si="239"/>
        <v>Regular</v>
      </c>
    </row>
    <row r="1257" spans="1:32" x14ac:dyDescent="0.25">
      <c r="A1257" t="s">
        <v>5124</v>
      </c>
      <c r="B1257" s="1">
        <v>45540</v>
      </c>
      <c r="C1257" s="1">
        <v>45548</v>
      </c>
      <c r="D1257" s="4">
        <f t="shared" si="228"/>
        <v>8</v>
      </c>
      <c r="E1257" s="4" t="str">
        <f>TEXT(Table1[[#This Row],[Order_Date]],"dddd")</f>
        <v>Thursday</v>
      </c>
      <c r="F1257" s="4">
        <f t="shared" si="229"/>
        <v>9</v>
      </c>
      <c r="G1257" t="str">
        <f t="shared" si="232"/>
        <v>September</v>
      </c>
      <c r="H1257">
        <f t="shared" si="233"/>
        <v>2024</v>
      </c>
      <c r="I1257" t="str">
        <f t="shared" si="234"/>
        <v>2024-Q3</v>
      </c>
      <c r="J1257" t="s">
        <v>21</v>
      </c>
      <c r="K1257" t="s">
        <v>5125</v>
      </c>
      <c r="L1257" t="s">
        <v>5126</v>
      </c>
      <c r="M1257" t="s">
        <v>24</v>
      </c>
      <c r="N1257" t="s">
        <v>25</v>
      </c>
      <c r="O1257" t="s">
        <v>113</v>
      </c>
      <c r="P1257" t="s">
        <v>113</v>
      </c>
      <c r="Q1257" t="s">
        <v>39</v>
      </c>
      <c r="R1257" t="s">
        <v>5127</v>
      </c>
      <c r="S1257" t="s">
        <v>59</v>
      </c>
      <c r="T1257" t="s">
        <v>277</v>
      </c>
      <c r="U1257" t="s">
        <v>3599</v>
      </c>
      <c r="V1257" s="3">
        <v>2787.06</v>
      </c>
      <c r="W1257" s="4">
        <v>1</v>
      </c>
      <c r="X1257" s="2">
        <v>0.4</v>
      </c>
      <c r="Y1257" s="3">
        <v>500.52</v>
      </c>
      <c r="Z1257" t="str">
        <f t="shared" si="230"/>
        <v>Normal</v>
      </c>
      <c r="AA1257" t="str">
        <f t="shared" si="231"/>
        <v>High</v>
      </c>
      <c r="AB1257" t="str">
        <f t="shared" si="235"/>
        <v>High Profit</v>
      </c>
      <c r="AC1257" s="3">
        <f t="shared" si="236"/>
        <v>0.17958709177412757</v>
      </c>
      <c r="AD1257" s="3">
        <f t="shared" si="237"/>
        <v>2787.06</v>
      </c>
      <c r="AE1257" s="3">
        <f t="shared" si="238"/>
        <v>500.52</v>
      </c>
      <c r="AF1257" t="str">
        <f t="shared" si="239"/>
        <v>Regular</v>
      </c>
    </row>
    <row r="1258" spans="1:32" x14ac:dyDescent="0.25">
      <c r="A1258" t="s">
        <v>5512</v>
      </c>
      <c r="B1258" s="1">
        <v>45540</v>
      </c>
      <c r="C1258" s="1">
        <v>45541</v>
      </c>
      <c r="D1258" s="4">
        <f t="shared" si="228"/>
        <v>1</v>
      </c>
      <c r="E1258" s="4" t="str">
        <f>TEXT(Table1[[#This Row],[Order_Date]],"dddd")</f>
        <v>Thursday</v>
      </c>
      <c r="F1258" s="4">
        <f t="shared" si="229"/>
        <v>9</v>
      </c>
      <c r="G1258" t="str">
        <f t="shared" si="232"/>
        <v>September</v>
      </c>
      <c r="H1258">
        <f t="shared" si="233"/>
        <v>2024</v>
      </c>
      <c r="I1258" t="str">
        <f t="shared" si="234"/>
        <v>2024-Q3</v>
      </c>
      <c r="J1258" t="s">
        <v>44</v>
      </c>
      <c r="K1258" t="s">
        <v>5513</v>
      </c>
      <c r="L1258" t="s">
        <v>5514</v>
      </c>
      <c r="M1258" t="s">
        <v>24</v>
      </c>
      <c r="N1258" t="s">
        <v>25</v>
      </c>
      <c r="O1258" t="s">
        <v>611</v>
      </c>
      <c r="P1258" t="s">
        <v>74</v>
      </c>
      <c r="Q1258" t="s">
        <v>87</v>
      </c>
      <c r="R1258" t="s">
        <v>5515</v>
      </c>
      <c r="S1258" t="s">
        <v>59</v>
      </c>
      <c r="T1258" t="s">
        <v>101</v>
      </c>
      <c r="U1258" t="s">
        <v>5516</v>
      </c>
      <c r="V1258" s="3">
        <v>3647.39</v>
      </c>
      <c r="W1258" s="4">
        <v>2</v>
      </c>
      <c r="X1258" s="2">
        <v>0.2</v>
      </c>
      <c r="Y1258" s="3">
        <v>322.16000000000003</v>
      </c>
      <c r="Z1258" t="str">
        <f t="shared" si="230"/>
        <v>Normal</v>
      </c>
      <c r="AA1258" t="str">
        <f t="shared" si="231"/>
        <v>High</v>
      </c>
      <c r="AB1258" t="str">
        <f t="shared" si="235"/>
        <v>Low Profit</v>
      </c>
      <c r="AC1258" s="3">
        <f t="shared" si="236"/>
        <v>8.8326172962035876E-2</v>
      </c>
      <c r="AD1258" s="3">
        <f t="shared" si="237"/>
        <v>1823.6949999999999</v>
      </c>
      <c r="AE1258" s="3">
        <f t="shared" si="238"/>
        <v>161.08000000000001</v>
      </c>
      <c r="AF1258" t="str">
        <f t="shared" si="239"/>
        <v>Regular</v>
      </c>
    </row>
    <row r="1259" spans="1:32" x14ac:dyDescent="0.25">
      <c r="A1259" t="s">
        <v>1220</v>
      </c>
      <c r="B1259" s="1">
        <v>45540</v>
      </c>
      <c r="C1259" s="1">
        <v>45543</v>
      </c>
      <c r="D1259" s="4">
        <f t="shared" si="228"/>
        <v>3</v>
      </c>
      <c r="E1259" s="4" t="str">
        <f>TEXT(Table1[[#This Row],[Order_Date]],"dddd")</f>
        <v>Thursday</v>
      </c>
      <c r="F1259" s="4">
        <f t="shared" si="229"/>
        <v>9</v>
      </c>
      <c r="G1259" t="str">
        <f t="shared" si="232"/>
        <v>September</v>
      </c>
      <c r="H1259">
        <f t="shared" si="233"/>
        <v>2024</v>
      </c>
      <c r="I1259" t="str">
        <f t="shared" si="234"/>
        <v>2024-Q3</v>
      </c>
      <c r="J1259" t="s">
        <v>104</v>
      </c>
      <c r="K1259" t="s">
        <v>1221</v>
      </c>
      <c r="L1259" t="s">
        <v>1222</v>
      </c>
      <c r="M1259" t="s">
        <v>24</v>
      </c>
      <c r="N1259" t="s">
        <v>25</v>
      </c>
      <c r="O1259" t="s">
        <v>382</v>
      </c>
      <c r="P1259" t="s">
        <v>38</v>
      </c>
      <c r="Q1259" t="s">
        <v>66</v>
      </c>
      <c r="R1259" t="s">
        <v>1223</v>
      </c>
      <c r="S1259" t="s">
        <v>59</v>
      </c>
      <c r="T1259" t="s">
        <v>60</v>
      </c>
      <c r="U1259" t="s">
        <v>1224</v>
      </c>
      <c r="V1259" s="3">
        <v>457.68</v>
      </c>
      <c r="W1259" s="4">
        <v>2</v>
      </c>
      <c r="X1259" s="2">
        <v>0.1</v>
      </c>
      <c r="Y1259" s="3">
        <v>74.39</v>
      </c>
      <c r="Z1259" t="str">
        <f t="shared" si="230"/>
        <v>Normal</v>
      </c>
      <c r="AA1259" t="str">
        <f t="shared" si="231"/>
        <v>Medium</v>
      </c>
      <c r="AB1259" t="str">
        <f t="shared" si="235"/>
        <v>Low Profit</v>
      </c>
      <c r="AC1259" s="3">
        <f t="shared" si="236"/>
        <v>0.16253714385596923</v>
      </c>
      <c r="AD1259" s="3">
        <f t="shared" si="237"/>
        <v>228.84</v>
      </c>
      <c r="AE1259" s="3">
        <f t="shared" si="238"/>
        <v>37.195</v>
      </c>
      <c r="AF1259" t="str">
        <f t="shared" si="239"/>
        <v>Regular</v>
      </c>
    </row>
    <row r="1260" spans="1:32" x14ac:dyDescent="0.25">
      <c r="A1260" t="s">
        <v>176</v>
      </c>
      <c r="B1260" s="1">
        <v>45541</v>
      </c>
      <c r="C1260" s="1">
        <v>45547</v>
      </c>
      <c r="D1260" s="4">
        <f t="shared" si="228"/>
        <v>6</v>
      </c>
      <c r="E1260" s="4" t="str">
        <f>TEXT(Table1[[#This Row],[Order_Date]],"dddd")</f>
        <v>Friday</v>
      </c>
      <c r="F1260" s="4">
        <f t="shared" si="229"/>
        <v>9</v>
      </c>
      <c r="G1260" t="str">
        <f t="shared" si="232"/>
        <v>September</v>
      </c>
      <c r="H1260">
        <f t="shared" si="233"/>
        <v>2024</v>
      </c>
      <c r="I1260" t="str">
        <f t="shared" si="234"/>
        <v>2024-Q3</v>
      </c>
      <c r="J1260" t="s">
        <v>55</v>
      </c>
      <c r="K1260" t="s">
        <v>177</v>
      </c>
      <c r="L1260" t="s">
        <v>178</v>
      </c>
      <c r="M1260" t="s">
        <v>24</v>
      </c>
      <c r="N1260" t="s">
        <v>25</v>
      </c>
      <c r="O1260" t="s">
        <v>179</v>
      </c>
      <c r="P1260" t="s">
        <v>27</v>
      </c>
      <c r="Q1260" t="s">
        <v>39</v>
      </c>
      <c r="R1260" t="s">
        <v>180</v>
      </c>
      <c r="S1260" t="s">
        <v>59</v>
      </c>
      <c r="T1260" t="s">
        <v>60</v>
      </c>
      <c r="U1260" t="s">
        <v>181</v>
      </c>
      <c r="V1260" s="3">
        <v>2817.79</v>
      </c>
      <c r="W1260" s="4">
        <v>2</v>
      </c>
      <c r="X1260" s="2">
        <v>0.2</v>
      </c>
      <c r="Y1260" s="3">
        <v>658.62</v>
      </c>
      <c r="Z1260" t="str">
        <f t="shared" si="230"/>
        <v>Normal</v>
      </c>
      <c r="AA1260" t="str">
        <f t="shared" si="231"/>
        <v>High</v>
      </c>
      <c r="AB1260" t="str">
        <f t="shared" si="235"/>
        <v>High Profit</v>
      </c>
      <c r="AC1260" s="3">
        <f t="shared" si="236"/>
        <v>0.2337363678627577</v>
      </c>
      <c r="AD1260" s="3">
        <f t="shared" si="237"/>
        <v>1408.895</v>
      </c>
      <c r="AE1260" s="3">
        <f t="shared" si="238"/>
        <v>329.31</v>
      </c>
      <c r="AF1260" t="str">
        <f t="shared" si="239"/>
        <v>Regular</v>
      </c>
    </row>
    <row r="1261" spans="1:32" x14ac:dyDescent="0.25">
      <c r="A1261" t="s">
        <v>96</v>
      </c>
      <c r="B1261" s="1">
        <v>45541</v>
      </c>
      <c r="C1261" s="1">
        <v>45549</v>
      </c>
      <c r="D1261" s="4">
        <f t="shared" si="228"/>
        <v>8</v>
      </c>
      <c r="E1261" s="4" t="str">
        <f>TEXT(Table1[[#This Row],[Order_Date]],"dddd")</f>
        <v>Friday</v>
      </c>
      <c r="F1261" s="4">
        <f t="shared" si="229"/>
        <v>9</v>
      </c>
      <c r="G1261" t="str">
        <f t="shared" si="232"/>
        <v>September</v>
      </c>
      <c r="H1261">
        <f t="shared" si="233"/>
        <v>2024</v>
      </c>
      <c r="I1261" t="str">
        <f t="shared" si="234"/>
        <v>2024-Q3</v>
      </c>
      <c r="J1261" t="s">
        <v>44</v>
      </c>
      <c r="K1261" t="s">
        <v>97</v>
      </c>
      <c r="L1261" t="s">
        <v>98</v>
      </c>
      <c r="M1261" t="s">
        <v>24</v>
      </c>
      <c r="N1261" t="s">
        <v>25</v>
      </c>
      <c r="O1261" t="s">
        <v>99</v>
      </c>
      <c r="P1261" t="s">
        <v>74</v>
      </c>
      <c r="Q1261" t="s">
        <v>87</v>
      </c>
      <c r="R1261" t="s">
        <v>100</v>
      </c>
      <c r="S1261" t="s">
        <v>59</v>
      </c>
      <c r="T1261" t="s">
        <v>101</v>
      </c>
      <c r="U1261" t="s">
        <v>102</v>
      </c>
      <c r="V1261" s="3">
        <v>4970.5</v>
      </c>
      <c r="W1261" s="4">
        <v>9</v>
      </c>
      <c r="X1261" s="2">
        <v>0</v>
      </c>
      <c r="Y1261" s="3">
        <v>1464.82</v>
      </c>
      <c r="Z1261" t="str">
        <f t="shared" si="230"/>
        <v>Outlier</v>
      </c>
      <c r="AA1261" t="str">
        <f t="shared" si="231"/>
        <v>Low</v>
      </c>
      <c r="AB1261" t="str">
        <f t="shared" si="235"/>
        <v>High Profit</v>
      </c>
      <c r="AC1261" s="3">
        <f t="shared" si="236"/>
        <v>0.29470274620259529</v>
      </c>
      <c r="AD1261" s="3">
        <f t="shared" si="237"/>
        <v>552.27777777777783</v>
      </c>
      <c r="AE1261" s="3">
        <f t="shared" si="238"/>
        <v>162.75777777777776</v>
      </c>
      <c r="AF1261" t="str">
        <f t="shared" si="239"/>
        <v>Regular</v>
      </c>
    </row>
    <row r="1262" spans="1:32" x14ac:dyDescent="0.25">
      <c r="A1262" t="s">
        <v>5768</v>
      </c>
      <c r="B1262" s="1">
        <v>45542</v>
      </c>
      <c r="C1262" s="1">
        <v>45546</v>
      </c>
      <c r="D1262" s="4">
        <f t="shared" si="228"/>
        <v>4</v>
      </c>
      <c r="E1262" s="4" t="str">
        <f>TEXT(Table1[[#This Row],[Order_Date]],"dddd")</f>
        <v>Saturday</v>
      </c>
      <c r="F1262" s="4">
        <f t="shared" si="229"/>
        <v>9</v>
      </c>
      <c r="G1262" t="str">
        <f t="shared" si="232"/>
        <v>September</v>
      </c>
      <c r="H1262">
        <f t="shared" si="233"/>
        <v>2024</v>
      </c>
      <c r="I1262" t="str">
        <f t="shared" si="234"/>
        <v>2024-Q3</v>
      </c>
      <c r="J1262" t="s">
        <v>44</v>
      </c>
      <c r="K1262" t="s">
        <v>5769</v>
      </c>
      <c r="L1262" t="s">
        <v>5770</v>
      </c>
      <c r="M1262" t="s">
        <v>24</v>
      </c>
      <c r="N1262" t="s">
        <v>25</v>
      </c>
      <c r="O1262" t="s">
        <v>611</v>
      </c>
      <c r="P1262" t="s">
        <v>74</v>
      </c>
      <c r="Q1262" t="s">
        <v>39</v>
      </c>
      <c r="R1262" t="s">
        <v>5771</v>
      </c>
      <c r="S1262" t="s">
        <v>51</v>
      </c>
      <c r="T1262" t="s">
        <v>108</v>
      </c>
      <c r="U1262" t="s">
        <v>5772</v>
      </c>
      <c r="V1262" s="3">
        <v>3057.95</v>
      </c>
      <c r="W1262" s="4">
        <v>7</v>
      </c>
      <c r="X1262" s="2">
        <v>0.2</v>
      </c>
      <c r="Y1262" s="3">
        <v>-116.28</v>
      </c>
      <c r="Z1262" t="str">
        <f t="shared" si="230"/>
        <v>Normal</v>
      </c>
      <c r="AA1262" t="str">
        <f t="shared" si="231"/>
        <v>High</v>
      </c>
      <c r="AB1262" t="str">
        <f t="shared" si="235"/>
        <v>Loss</v>
      </c>
      <c r="AC1262" s="3">
        <f t="shared" si="236"/>
        <v>-3.8025474582645241E-2</v>
      </c>
      <c r="AD1262" s="3">
        <f t="shared" si="237"/>
        <v>436.84999999999997</v>
      </c>
      <c r="AE1262" s="3">
        <f t="shared" si="238"/>
        <v>-16.611428571428572</v>
      </c>
      <c r="AF1262" t="str">
        <f t="shared" si="239"/>
        <v>Regular</v>
      </c>
    </row>
    <row r="1263" spans="1:32" x14ac:dyDescent="0.25">
      <c r="A1263" t="s">
        <v>2118</v>
      </c>
      <c r="B1263" s="1">
        <v>45543</v>
      </c>
      <c r="C1263" s="1">
        <v>45551</v>
      </c>
      <c r="D1263" s="4">
        <f t="shared" si="228"/>
        <v>8</v>
      </c>
      <c r="E1263" s="4" t="str">
        <f>TEXT(Table1[[#This Row],[Order_Date]],"dddd")</f>
        <v>Sunday</v>
      </c>
      <c r="F1263" s="4">
        <f t="shared" si="229"/>
        <v>9</v>
      </c>
      <c r="G1263" t="str">
        <f t="shared" si="232"/>
        <v>September</v>
      </c>
      <c r="H1263">
        <f t="shared" si="233"/>
        <v>2024</v>
      </c>
      <c r="I1263" t="str">
        <f t="shared" si="234"/>
        <v>2024-Q3</v>
      </c>
      <c r="J1263" t="s">
        <v>55</v>
      </c>
      <c r="K1263" t="s">
        <v>2119</v>
      </c>
      <c r="L1263" t="s">
        <v>2120</v>
      </c>
      <c r="M1263" t="s">
        <v>47</v>
      </c>
      <c r="N1263" t="s">
        <v>25</v>
      </c>
      <c r="O1263" t="s">
        <v>65</v>
      </c>
      <c r="P1263" t="s">
        <v>27</v>
      </c>
      <c r="Q1263" t="s">
        <v>66</v>
      </c>
      <c r="R1263" t="s">
        <v>2121</v>
      </c>
      <c r="S1263" t="s">
        <v>51</v>
      </c>
      <c r="T1263" t="s">
        <v>127</v>
      </c>
      <c r="U1263" t="s">
        <v>2122</v>
      </c>
      <c r="V1263" s="3">
        <v>1076.76</v>
      </c>
      <c r="W1263" s="4">
        <v>9</v>
      </c>
      <c r="X1263" s="2">
        <v>0.1</v>
      </c>
      <c r="Y1263" s="3">
        <v>49.821685199999997</v>
      </c>
      <c r="Z1263" t="str">
        <f t="shared" si="230"/>
        <v>Normal</v>
      </c>
      <c r="AA1263" t="str">
        <f t="shared" si="231"/>
        <v>Medium</v>
      </c>
      <c r="AB1263" t="str">
        <f t="shared" si="235"/>
        <v>Low Profit</v>
      </c>
      <c r="AC1263" s="3">
        <f t="shared" si="236"/>
        <v>4.6269999999999999E-2</v>
      </c>
      <c r="AD1263" s="3">
        <f t="shared" si="237"/>
        <v>119.64</v>
      </c>
      <c r="AE1263" s="3">
        <f t="shared" si="238"/>
        <v>5.5357427999999995</v>
      </c>
      <c r="AF1263" t="str">
        <f t="shared" si="239"/>
        <v>Regular</v>
      </c>
    </row>
    <row r="1264" spans="1:32" x14ac:dyDescent="0.25">
      <c r="A1264" t="s">
        <v>3514</v>
      </c>
      <c r="B1264" s="1">
        <v>45543</v>
      </c>
      <c r="C1264" s="1">
        <v>45544</v>
      </c>
      <c r="D1264" s="4">
        <f t="shared" si="228"/>
        <v>1</v>
      </c>
      <c r="E1264" s="4" t="str">
        <f>TEXT(Table1[[#This Row],[Order_Date]],"dddd")</f>
        <v>Sunday</v>
      </c>
      <c r="F1264" s="4">
        <f t="shared" si="229"/>
        <v>9</v>
      </c>
      <c r="G1264" t="str">
        <f t="shared" si="232"/>
        <v>September</v>
      </c>
      <c r="H1264">
        <f t="shared" si="233"/>
        <v>2024</v>
      </c>
      <c r="I1264" t="str">
        <f t="shared" si="234"/>
        <v>2024-Q3</v>
      </c>
      <c r="J1264" t="s">
        <v>55</v>
      </c>
      <c r="K1264" t="s">
        <v>3515</v>
      </c>
      <c r="L1264" t="s">
        <v>3516</v>
      </c>
      <c r="M1264" t="s">
        <v>36</v>
      </c>
      <c r="N1264" t="s">
        <v>25</v>
      </c>
      <c r="O1264" t="s">
        <v>113</v>
      </c>
      <c r="P1264" t="s">
        <v>113</v>
      </c>
      <c r="Q1264" t="s">
        <v>87</v>
      </c>
      <c r="R1264" t="s">
        <v>3517</v>
      </c>
      <c r="S1264" t="s">
        <v>51</v>
      </c>
      <c r="T1264" t="s">
        <v>94</v>
      </c>
      <c r="U1264" t="s">
        <v>3518</v>
      </c>
      <c r="V1264" s="3">
        <v>3472.81</v>
      </c>
      <c r="W1264" s="4">
        <v>8</v>
      </c>
      <c r="X1264" s="2">
        <v>0.2</v>
      </c>
      <c r="Y1264" s="3">
        <v>2.15</v>
      </c>
      <c r="Z1264" t="str">
        <f t="shared" si="230"/>
        <v>Normal</v>
      </c>
      <c r="AA1264" t="str">
        <f t="shared" si="231"/>
        <v>High</v>
      </c>
      <c r="AB1264" t="str">
        <f t="shared" si="235"/>
        <v>Low Profit</v>
      </c>
      <c r="AC1264" s="3">
        <f t="shared" si="236"/>
        <v>6.1909519956461771E-4</v>
      </c>
      <c r="AD1264" s="3">
        <f t="shared" si="237"/>
        <v>434.10124999999999</v>
      </c>
      <c r="AE1264" s="3">
        <f t="shared" si="238"/>
        <v>0.26874999999999999</v>
      </c>
      <c r="AF1264" t="str">
        <f t="shared" si="239"/>
        <v>Regular</v>
      </c>
    </row>
    <row r="1265" spans="1:32" x14ac:dyDescent="0.25">
      <c r="A1265" t="s">
        <v>4242</v>
      </c>
      <c r="B1265" s="1">
        <v>45543</v>
      </c>
      <c r="C1265" s="1">
        <v>45552</v>
      </c>
      <c r="D1265" s="4">
        <f t="shared" si="228"/>
        <v>9</v>
      </c>
      <c r="E1265" s="4" t="str">
        <f>TEXT(Table1[[#This Row],[Order_Date]],"dddd")</f>
        <v>Sunday</v>
      </c>
      <c r="F1265" s="4">
        <f t="shared" si="229"/>
        <v>9</v>
      </c>
      <c r="G1265" t="str">
        <f t="shared" si="232"/>
        <v>September</v>
      </c>
      <c r="H1265">
        <f t="shared" si="233"/>
        <v>2024</v>
      </c>
      <c r="I1265" t="str">
        <f t="shared" si="234"/>
        <v>2024-Q3</v>
      </c>
      <c r="J1265" t="s">
        <v>104</v>
      </c>
      <c r="K1265" t="s">
        <v>4243</v>
      </c>
      <c r="L1265" t="s">
        <v>4244</v>
      </c>
      <c r="M1265" t="s">
        <v>47</v>
      </c>
      <c r="N1265" t="s">
        <v>25</v>
      </c>
      <c r="O1265" t="s">
        <v>611</v>
      </c>
      <c r="P1265" t="s">
        <v>74</v>
      </c>
      <c r="Q1265" t="s">
        <v>87</v>
      </c>
      <c r="R1265" t="s">
        <v>4245</v>
      </c>
      <c r="S1265" t="s">
        <v>30</v>
      </c>
      <c r="T1265" t="s">
        <v>41</v>
      </c>
      <c r="U1265" t="s">
        <v>4246</v>
      </c>
      <c r="V1265" s="3">
        <v>2860.69</v>
      </c>
      <c r="W1265" s="4">
        <v>9</v>
      </c>
      <c r="X1265" s="2">
        <v>0.1</v>
      </c>
      <c r="Y1265" s="3">
        <v>-9.9600000000000009</v>
      </c>
      <c r="Z1265" t="str">
        <f t="shared" si="230"/>
        <v>Normal</v>
      </c>
      <c r="AA1265" t="str">
        <f t="shared" si="231"/>
        <v>Medium</v>
      </c>
      <c r="AB1265" t="str">
        <f t="shared" si="235"/>
        <v>Loss</v>
      </c>
      <c r="AC1265" s="3">
        <f t="shared" si="236"/>
        <v>-3.4816774973869943E-3</v>
      </c>
      <c r="AD1265" s="3">
        <f t="shared" si="237"/>
        <v>317.85444444444443</v>
      </c>
      <c r="AE1265" s="3">
        <f t="shared" si="238"/>
        <v>-1.1066666666666667</v>
      </c>
      <c r="AF1265" t="str">
        <f t="shared" si="239"/>
        <v>Regular</v>
      </c>
    </row>
    <row r="1266" spans="1:32" x14ac:dyDescent="0.25">
      <c r="A1266" t="s">
        <v>7171</v>
      </c>
      <c r="B1266" s="1">
        <v>45544</v>
      </c>
      <c r="C1266" s="1">
        <v>45551</v>
      </c>
      <c r="D1266" s="4">
        <f t="shared" si="228"/>
        <v>7</v>
      </c>
      <c r="E1266" s="4" t="str">
        <f>TEXT(Table1[[#This Row],[Order_Date]],"dddd")</f>
        <v>Monday</v>
      </c>
      <c r="F1266" s="4">
        <f t="shared" si="229"/>
        <v>9</v>
      </c>
      <c r="G1266" t="str">
        <f t="shared" si="232"/>
        <v>September</v>
      </c>
      <c r="H1266">
        <f t="shared" si="233"/>
        <v>2024</v>
      </c>
      <c r="I1266" t="str">
        <f t="shared" si="234"/>
        <v>2024-Q3</v>
      </c>
      <c r="J1266" t="s">
        <v>21</v>
      </c>
      <c r="K1266" t="s">
        <v>7172</v>
      </c>
      <c r="L1266" t="s">
        <v>7173</v>
      </c>
      <c r="M1266" t="s">
        <v>36</v>
      </c>
      <c r="N1266" t="s">
        <v>25</v>
      </c>
      <c r="O1266" t="s">
        <v>511</v>
      </c>
      <c r="P1266" t="s">
        <v>120</v>
      </c>
      <c r="Q1266" t="s">
        <v>28</v>
      </c>
      <c r="R1266" t="s">
        <v>7174</v>
      </c>
      <c r="S1266" t="s">
        <v>30</v>
      </c>
      <c r="T1266" t="s">
        <v>82</v>
      </c>
      <c r="U1266" t="s">
        <v>7175</v>
      </c>
      <c r="V1266" s="3">
        <v>3161.55</v>
      </c>
      <c r="W1266" s="4">
        <v>2</v>
      </c>
      <c r="X1266" s="2">
        <v>0.4</v>
      </c>
      <c r="Y1266" s="3">
        <v>902.64</v>
      </c>
      <c r="Z1266" t="str">
        <f t="shared" si="230"/>
        <v>Normal</v>
      </c>
      <c r="AA1266" t="str">
        <f t="shared" si="231"/>
        <v>High</v>
      </c>
      <c r="AB1266" t="str">
        <f t="shared" si="235"/>
        <v>High Profit</v>
      </c>
      <c r="AC1266" s="3">
        <f t="shared" si="236"/>
        <v>0.28550552735208995</v>
      </c>
      <c r="AD1266" s="3">
        <f t="shared" si="237"/>
        <v>1580.7750000000001</v>
      </c>
      <c r="AE1266" s="3">
        <f t="shared" si="238"/>
        <v>451.32</v>
      </c>
      <c r="AF1266" t="str">
        <f t="shared" si="239"/>
        <v>Regular</v>
      </c>
    </row>
    <row r="1267" spans="1:32" x14ac:dyDescent="0.25">
      <c r="A1267" t="s">
        <v>5850</v>
      </c>
      <c r="B1267" s="1">
        <v>45544</v>
      </c>
      <c r="C1267" s="1">
        <v>45554</v>
      </c>
      <c r="D1267" s="4">
        <f t="shared" si="228"/>
        <v>10</v>
      </c>
      <c r="E1267" s="4" t="str">
        <f>TEXT(Table1[[#This Row],[Order_Date]],"dddd")</f>
        <v>Monday</v>
      </c>
      <c r="F1267" s="4">
        <f t="shared" si="229"/>
        <v>9</v>
      </c>
      <c r="G1267" t="str">
        <f t="shared" si="232"/>
        <v>September</v>
      </c>
      <c r="H1267">
        <f t="shared" si="233"/>
        <v>2024</v>
      </c>
      <c r="I1267" t="str">
        <f t="shared" si="234"/>
        <v>2024-Q3</v>
      </c>
      <c r="J1267" t="s">
        <v>44</v>
      </c>
      <c r="K1267" t="s">
        <v>5851</v>
      </c>
      <c r="L1267" t="s">
        <v>5852</v>
      </c>
      <c r="M1267" t="s">
        <v>24</v>
      </c>
      <c r="N1267" t="s">
        <v>25</v>
      </c>
      <c r="O1267" t="s">
        <v>156</v>
      </c>
      <c r="P1267" t="s">
        <v>143</v>
      </c>
      <c r="Q1267" t="s">
        <v>28</v>
      </c>
      <c r="R1267" t="s">
        <v>5853</v>
      </c>
      <c r="S1267" t="s">
        <v>59</v>
      </c>
      <c r="T1267" t="s">
        <v>277</v>
      </c>
      <c r="U1267" t="s">
        <v>5854</v>
      </c>
      <c r="V1267" s="3">
        <v>176.88</v>
      </c>
      <c r="W1267" s="4">
        <v>9</v>
      </c>
      <c r="X1267" s="2">
        <v>0.3</v>
      </c>
      <c r="Y1267" s="3">
        <v>26.6</v>
      </c>
      <c r="Z1267" t="str">
        <f t="shared" si="230"/>
        <v>Normal</v>
      </c>
      <c r="AA1267" t="str">
        <f t="shared" si="231"/>
        <v>High</v>
      </c>
      <c r="AB1267" t="str">
        <f t="shared" si="235"/>
        <v>Low Profit</v>
      </c>
      <c r="AC1267" s="3">
        <f t="shared" si="236"/>
        <v>0.15038444142921756</v>
      </c>
      <c r="AD1267" s="3">
        <f t="shared" si="237"/>
        <v>19.653333333333332</v>
      </c>
      <c r="AE1267" s="3">
        <f t="shared" si="238"/>
        <v>2.9555555555555557</v>
      </c>
      <c r="AF1267" t="str">
        <f t="shared" si="239"/>
        <v>Regular</v>
      </c>
    </row>
    <row r="1268" spans="1:32" x14ac:dyDescent="0.25">
      <c r="A1268" t="s">
        <v>3979</v>
      </c>
      <c r="B1268" s="1">
        <v>45544</v>
      </c>
      <c r="C1268" s="1">
        <v>45546</v>
      </c>
      <c r="D1268" s="4">
        <f t="shared" si="228"/>
        <v>2</v>
      </c>
      <c r="E1268" s="4" t="str">
        <f>TEXT(Table1[[#This Row],[Order_Date]],"dddd")</f>
        <v>Monday</v>
      </c>
      <c r="F1268" s="4">
        <f t="shared" si="229"/>
        <v>9</v>
      </c>
      <c r="G1268" t="str">
        <f t="shared" si="232"/>
        <v>September</v>
      </c>
      <c r="H1268">
        <f t="shared" si="233"/>
        <v>2024</v>
      </c>
      <c r="I1268" t="str">
        <f t="shared" si="234"/>
        <v>2024-Q3</v>
      </c>
      <c r="J1268" t="s">
        <v>104</v>
      </c>
      <c r="K1268" t="s">
        <v>3980</v>
      </c>
      <c r="L1268" t="s">
        <v>3981</v>
      </c>
      <c r="M1268" t="s">
        <v>36</v>
      </c>
      <c r="N1268" t="s">
        <v>25</v>
      </c>
      <c r="O1268" t="s">
        <v>382</v>
      </c>
      <c r="P1268" t="s">
        <v>38</v>
      </c>
      <c r="Q1268" t="s">
        <v>87</v>
      </c>
      <c r="R1268" t="s">
        <v>3982</v>
      </c>
      <c r="S1268" t="s">
        <v>30</v>
      </c>
      <c r="T1268" t="s">
        <v>68</v>
      </c>
      <c r="U1268" t="s">
        <v>3983</v>
      </c>
      <c r="V1268" s="3">
        <v>4749.29</v>
      </c>
      <c r="W1268" s="4">
        <v>3</v>
      </c>
      <c r="X1268" s="2">
        <v>0</v>
      </c>
      <c r="Y1268" s="3">
        <v>-66.22</v>
      </c>
      <c r="Z1268" t="str">
        <f t="shared" si="230"/>
        <v>Normal</v>
      </c>
      <c r="AA1268" t="str">
        <f t="shared" si="231"/>
        <v>Low</v>
      </c>
      <c r="AB1268" t="str">
        <f t="shared" si="235"/>
        <v>Loss</v>
      </c>
      <c r="AC1268" s="3">
        <f t="shared" si="236"/>
        <v>-1.3943136763600454E-2</v>
      </c>
      <c r="AD1268" s="3">
        <f t="shared" si="237"/>
        <v>1583.0966666666666</v>
      </c>
      <c r="AE1268" s="3">
        <f t="shared" si="238"/>
        <v>-22.073333333333334</v>
      </c>
      <c r="AF1268" t="str">
        <f t="shared" si="239"/>
        <v>Regular</v>
      </c>
    </row>
    <row r="1269" spans="1:32" x14ac:dyDescent="0.25">
      <c r="A1269" t="s">
        <v>1312</v>
      </c>
      <c r="B1269" s="1">
        <v>45545</v>
      </c>
      <c r="C1269" s="1">
        <v>45553</v>
      </c>
      <c r="D1269" s="4">
        <f t="shared" si="228"/>
        <v>8</v>
      </c>
      <c r="E1269" s="4" t="str">
        <f>TEXT(Table1[[#This Row],[Order_Date]],"dddd")</f>
        <v>Tuesday</v>
      </c>
      <c r="F1269" s="4">
        <f t="shared" si="229"/>
        <v>9</v>
      </c>
      <c r="G1269" t="str">
        <f t="shared" si="232"/>
        <v>September</v>
      </c>
      <c r="H1269">
        <f t="shared" si="233"/>
        <v>2024</v>
      </c>
      <c r="I1269" t="str">
        <f t="shared" si="234"/>
        <v>2024-Q3</v>
      </c>
      <c r="J1269" t="s">
        <v>44</v>
      </c>
      <c r="K1269" t="s">
        <v>1313</v>
      </c>
      <c r="L1269" t="s">
        <v>1314</v>
      </c>
      <c r="M1269" t="s">
        <v>24</v>
      </c>
      <c r="N1269" t="s">
        <v>25</v>
      </c>
      <c r="O1269" t="s">
        <v>99</v>
      </c>
      <c r="P1269" t="s">
        <v>74</v>
      </c>
      <c r="Q1269" t="s">
        <v>66</v>
      </c>
      <c r="R1269" t="s">
        <v>1315</v>
      </c>
      <c r="S1269" t="s">
        <v>59</v>
      </c>
      <c r="T1269" t="s">
        <v>60</v>
      </c>
      <c r="U1269" t="s">
        <v>1316</v>
      </c>
      <c r="V1269" s="3">
        <v>3273.91</v>
      </c>
      <c r="W1269" s="4">
        <v>3</v>
      </c>
      <c r="X1269" s="2">
        <v>0.3</v>
      </c>
      <c r="Y1269" s="3">
        <v>-282.25</v>
      </c>
      <c r="Z1269" t="str">
        <f t="shared" si="230"/>
        <v>Normal</v>
      </c>
      <c r="AA1269" t="str">
        <f t="shared" si="231"/>
        <v>High</v>
      </c>
      <c r="AB1269" t="str">
        <f t="shared" si="235"/>
        <v>Loss</v>
      </c>
      <c r="AC1269" s="3">
        <f t="shared" si="236"/>
        <v>-8.621189953297434E-2</v>
      </c>
      <c r="AD1269" s="3">
        <f t="shared" si="237"/>
        <v>1091.3033333333333</v>
      </c>
      <c r="AE1269" s="3">
        <f t="shared" si="238"/>
        <v>-94.083333333333329</v>
      </c>
      <c r="AF1269" t="str">
        <f t="shared" si="239"/>
        <v>Regular</v>
      </c>
    </row>
    <row r="1270" spans="1:32" x14ac:dyDescent="0.25">
      <c r="A1270" t="s">
        <v>344</v>
      </c>
      <c r="B1270" s="1">
        <v>45545</v>
      </c>
      <c r="C1270" s="1">
        <v>45552</v>
      </c>
      <c r="D1270" s="4">
        <f t="shared" si="228"/>
        <v>7</v>
      </c>
      <c r="E1270" s="4" t="str">
        <f>TEXT(Table1[[#This Row],[Order_Date]],"dddd")</f>
        <v>Tuesday</v>
      </c>
      <c r="F1270" s="4">
        <f t="shared" si="229"/>
        <v>9</v>
      </c>
      <c r="G1270" t="str">
        <f t="shared" si="232"/>
        <v>September</v>
      </c>
      <c r="H1270">
        <f t="shared" si="233"/>
        <v>2024</v>
      </c>
      <c r="I1270" t="str">
        <f t="shared" si="234"/>
        <v>2024-Q3</v>
      </c>
      <c r="J1270" t="s">
        <v>104</v>
      </c>
      <c r="K1270" t="s">
        <v>345</v>
      </c>
      <c r="L1270" t="s">
        <v>346</v>
      </c>
      <c r="M1270" t="s">
        <v>36</v>
      </c>
      <c r="N1270" t="s">
        <v>25</v>
      </c>
      <c r="O1270" t="s">
        <v>162</v>
      </c>
      <c r="P1270" t="s">
        <v>163</v>
      </c>
      <c r="Q1270" t="s">
        <v>28</v>
      </c>
      <c r="R1270" t="s">
        <v>347</v>
      </c>
      <c r="S1270" t="s">
        <v>51</v>
      </c>
      <c r="T1270" t="s">
        <v>108</v>
      </c>
      <c r="U1270" t="s">
        <v>348</v>
      </c>
      <c r="V1270" s="3">
        <v>2879.06</v>
      </c>
      <c r="W1270" s="4">
        <v>4</v>
      </c>
      <c r="X1270" s="2">
        <v>0.2</v>
      </c>
      <c r="Y1270" s="3">
        <v>133.2141062</v>
      </c>
      <c r="Z1270" t="str">
        <f t="shared" si="230"/>
        <v>Normal</v>
      </c>
      <c r="AA1270" t="str">
        <f t="shared" si="231"/>
        <v>High</v>
      </c>
      <c r="AB1270" t="str">
        <f t="shared" si="235"/>
        <v>Low Profit</v>
      </c>
      <c r="AC1270" s="3">
        <f t="shared" si="236"/>
        <v>4.6269999999999999E-2</v>
      </c>
      <c r="AD1270" s="3">
        <f t="shared" si="237"/>
        <v>719.76499999999999</v>
      </c>
      <c r="AE1270" s="3">
        <f t="shared" si="238"/>
        <v>33.303526550000001</v>
      </c>
      <c r="AF1270" t="str">
        <f t="shared" si="239"/>
        <v>Regular</v>
      </c>
    </row>
    <row r="1271" spans="1:32" x14ac:dyDescent="0.25">
      <c r="A1271" t="s">
        <v>1297</v>
      </c>
      <c r="B1271" s="1">
        <v>45546</v>
      </c>
      <c r="C1271" s="1">
        <v>45555</v>
      </c>
      <c r="D1271" s="4">
        <f t="shared" si="228"/>
        <v>9</v>
      </c>
      <c r="E1271" s="4" t="str">
        <f>TEXT(Table1[[#This Row],[Order_Date]],"dddd")</f>
        <v>Wednesday</v>
      </c>
      <c r="F1271" s="4">
        <f t="shared" si="229"/>
        <v>9</v>
      </c>
      <c r="G1271" t="str">
        <f t="shared" si="232"/>
        <v>September</v>
      </c>
      <c r="H1271">
        <f t="shared" si="233"/>
        <v>2024</v>
      </c>
      <c r="I1271" t="str">
        <f t="shared" si="234"/>
        <v>2024-Q3</v>
      </c>
      <c r="J1271" t="s">
        <v>44</v>
      </c>
      <c r="K1271" t="s">
        <v>1298</v>
      </c>
      <c r="L1271" t="s">
        <v>1299</v>
      </c>
      <c r="M1271" t="s">
        <v>24</v>
      </c>
      <c r="N1271" t="s">
        <v>25</v>
      </c>
      <c r="O1271" t="s">
        <v>190</v>
      </c>
      <c r="P1271" t="s">
        <v>120</v>
      </c>
      <c r="Q1271" t="s">
        <v>66</v>
      </c>
      <c r="R1271" t="s">
        <v>1300</v>
      </c>
      <c r="S1271" t="s">
        <v>59</v>
      </c>
      <c r="T1271" t="s">
        <v>60</v>
      </c>
      <c r="U1271" t="s">
        <v>1301</v>
      </c>
      <c r="V1271" s="3">
        <v>1105.44</v>
      </c>
      <c r="W1271" s="4">
        <v>4</v>
      </c>
      <c r="X1271" s="2">
        <v>0.3</v>
      </c>
      <c r="Y1271" s="3">
        <v>256</v>
      </c>
      <c r="Z1271" t="str">
        <f t="shared" si="230"/>
        <v>Normal</v>
      </c>
      <c r="AA1271" t="str">
        <f t="shared" si="231"/>
        <v>High</v>
      </c>
      <c r="AB1271" t="str">
        <f t="shared" si="235"/>
        <v>Low Profit</v>
      </c>
      <c r="AC1271" s="3">
        <f t="shared" si="236"/>
        <v>0.23158199449992761</v>
      </c>
      <c r="AD1271" s="3">
        <f t="shared" si="237"/>
        <v>276.36</v>
      </c>
      <c r="AE1271" s="3">
        <f t="shared" si="238"/>
        <v>64</v>
      </c>
      <c r="AF1271" t="str">
        <f t="shared" si="239"/>
        <v>Regular</v>
      </c>
    </row>
    <row r="1272" spans="1:32" x14ac:dyDescent="0.25">
      <c r="A1272" t="s">
        <v>5782</v>
      </c>
      <c r="B1272" s="1">
        <v>45547</v>
      </c>
      <c r="C1272" s="1">
        <v>45553</v>
      </c>
      <c r="D1272" s="4">
        <f t="shared" si="228"/>
        <v>6</v>
      </c>
      <c r="E1272" s="4" t="str">
        <f>TEXT(Table1[[#This Row],[Order_Date]],"dddd")</f>
        <v>Thursday</v>
      </c>
      <c r="F1272" s="4">
        <f t="shared" si="229"/>
        <v>9</v>
      </c>
      <c r="G1272" t="str">
        <f t="shared" si="232"/>
        <v>September</v>
      </c>
      <c r="H1272">
        <f t="shared" si="233"/>
        <v>2024</v>
      </c>
      <c r="I1272" t="str">
        <f t="shared" si="234"/>
        <v>2024-Q3</v>
      </c>
      <c r="J1272" t="s">
        <v>104</v>
      </c>
      <c r="K1272" t="s">
        <v>5783</v>
      </c>
      <c r="L1272" t="s">
        <v>5784</v>
      </c>
      <c r="M1272" t="s">
        <v>36</v>
      </c>
      <c r="N1272" t="s">
        <v>25</v>
      </c>
      <c r="O1272" t="s">
        <v>179</v>
      </c>
      <c r="P1272" t="s">
        <v>27</v>
      </c>
      <c r="Q1272" t="s">
        <v>28</v>
      </c>
      <c r="R1272" t="s">
        <v>5785</v>
      </c>
      <c r="S1272" t="s">
        <v>51</v>
      </c>
      <c r="T1272" t="s">
        <v>108</v>
      </c>
      <c r="U1272" t="s">
        <v>5786</v>
      </c>
      <c r="V1272" s="3">
        <v>314.52</v>
      </c>
      <c r="W1272" s="4">
        <v>2</v>
      </c>
      <c r="X1272" s="2">
        <v>0.3</v>
      </c>
      <c r="Y1272" s="3">
        <v>60.43</v>
      </c>
      <c r="Z1272" t="str">
        <f t="shared" si="230"/>
        <v>Normal</v>
      </c>
      <c r="AA1272" t="str">
        <f t="shared" si="231"/>
        <v>High</v>
      </c>
      <c r="AB1272" t="str">
        <f t="shared" si="235"/>
        <v>Low Profit</v>
      </c>
      <c r="AC1272" s="3">
        <f t="shared" si="236"/>
        <v>0.19213404552969607</v>
      </c>
      <c r="AD1272" s="3">
        <f t="shared" si="237"/>
        <v>157.26</v>
      </c>
      <c r="AE1272" s="3">
        <f t="shared" si="238"/>
        <v>30.215</v>
      </c>
      <c r="AF1272" t="str">
        <f t="shared" si="239"/>
        <v>Regular</v>
      </c>
    </row>
    <row r="1273" spans="1:32" x14ac:dyDescent="0.25">
      <c r="A1273" t="s">
        <v>1653</v>
      </c>
      <c r="B1273" s="1">
        <v>45548</v>
      </c>
      <c r="C1273" s="1">
        <v>45557</v>
      </c>
      <c r="D1273" s="4">
        <f t="shared" si="228"/>
        <v>9</v>
      </c>
      <c r="E1273" s="4" t="str">
        <f>TEXT(Table1[[#This Row],[Order_Date]],"dddd")</f>
        <v>Friday</v>
      </c>
      <c r="F1273" s="4">
        <f t="shared" si="229"/>
        <v>9</v>
      </c>
      <c r="G1273" t="str">
        <f t="shared" si="232"/>
        <v>September</v>
      </c>
      <c r="H1273">
        <f t="shared" si="233"/>
        <v>2024</v>
      </c>
      <c r="I1273" t="str">
        <f t="shared" si="234"/>
        <v>2024-Q3</v>
      </c>
      <c r="J1273" t="s">
        <v>21</v>
      </c>
      <c r="K1273" t="s">
        <v>1654</v>
      </c>
      <c r="L1273" t="s">
        <v>1655</v>
      </c>
      <c r="M1273" t="s">
        <v>47</v>
      </c>
      <c r="N1273" t="s">
        <v>25</v>
      </c>
      <c r="O1273" t="s">
        <v>201</v>
      </c>
      <c r="P1273" t="s">
        <v>113</v>
      </c>
      <c r="Q1273" t="s">
        <v>87</v>
      </c>
      <c r="R1273" t="s">
        <v>1656</v>
      </c>
      <c r="S1273" t="s">
        <v>59</v>
      </c>
      <c r="T1273" t="s">
        <v>277</v>
      </c>
      <c r="U1273" t="s">
        <v>1657</v>
      </c>
      <c r="V1273" s="3">
        <v>3909.17</v>
      </c>
      <c r="W1273" s="4">
        <v>1</v>
      </c>
      <c r="X1273" s="2">
        <v>0.2</v>
      </c>
      <c r="Y1273" s="3">
        <v>-564.35</v>
      </c>
      <c r="Z1273" t="str">
        <f t="shared" si="230"/>
        <v>Normal</v>
      </c>
      <c r="AA1273" t="str">
        <f t="shared" si="231"/>
        <v>High</v>
      </c>
      <c r="AB1273" t="str">
        <f t="shared" si="235"/>
        <v>Loss</v>
      </c>
      <c r="AC1273" s="3">
        <f t="shared" si="236"/>
        <v>-0.14436568376407269</v>
      </c>
      <c r="AD1273" s="3">
        <f t="shared" si="237"/>
        <v>3909.17</v>
      </c>
      <c r="AE1273" s="3">
        <f t="shared" si="238"/>
        <v>-564.35</v>
      </c>
      <c r="AF1273" t="str">
        <f t="shared" si="239"/>
        <v>Regular</v>
      </c>
    </row>
    <row r="1274" spans="1:32" x14ac:dyDescent="0.25">
      <c r="A1274" t="s">
        <v>5148</v>
      </c>
      <c r="B1274" s="1">
        <v>45548</v>
      </c>
      <c r="C1274" s="1">
        <v>45553</v>
      </c>
      <c r="D1274" s="4">
        <f t="shared" si="228"/>
        <v>5</v>
      </c>
      <c r="E1274" s="4" t="str">
        <f>TEXT(Table1[[#This Row],[Order_Date]],"dddd")</f>
        <v>Friday</v>
      </c>
      <c r="F1274" s="4">
        <f t="shared" si="229"/>
        <v>9</v>
      </c>
      <c r="G1274" t="str">
        <f t="shared" si="232"/>
        <v>September</v>
      </c>
      <c r="H1274">
        <f t="shared" si="233"/>
        <v>2024</v>
      </c>
      <c r="I1274" t="str">
        <f t="shared" si="234"/>
        <v>2024-Q3</v>
      </c>
      <c r="J1274" t="s">
        <v>55</v>
      </c>
      <c r="K1274" t="s">
        <v>5149</v>
      </c>
      <c r="L1274" t="s">
        <v>5150</v>
      </c>
      <c r="M1274" t="s">
        <v>36</v>
      </c>
      <c r="N1274" t="s">
        <v>25</v>
      </c>
      <c r="O1274" t="s">
        <v>80</v>
      </c>
      <c r="P1274" t="s">
        <v>49</v>
      </c>
      <c r="Q1274" t="s">
        <v>66</v>
      </c>
      <c r="R1274" t="s">
        <v>5151</v>
      </c>
      <c r="S1274" t="s">
        <v>59</v>
      </c>
      <c r="T1274" t="s">
        <v>277</v>
      </c>
      <c r="U1274" t="s">
        <v>5152</v>
      </c>
      <c r="V1274" s="3">
        <v>2399.7600000000002</v>
      </c>
      <c r="W1274" s="4">
        <v>7</v>
      </c>
      <c r="X1274" s="2">
        <v>0.4</v>
      </c>
      <c r="Y1274" s="3">
        <v>256.51</v>
      </c>
      <c r="Z1274" t="str">
        <f t="shared" si="230"/>
        <v>Normal</v>
      </c>
      <c r="AA1274" t="str">
        <f t="shared" si="231"/>
        <v>High</v>
      </c>
      <c r="AB1274" t="str">
        <f t="shared" si="235"/>
        <v>Low Profit</v>
      </c>
      <c r="AC1274" s="3">
        <f t="shared" si="236"/>
        <v>0.10688985565223187</v>
      </c>
      <c r="AD1274" s="3">
        <f t="shared" si="237"/>
        <v>342.82285714285717</v>
      </c>
      <c r="AE1274" s="3">
        <f t="shared" si="238"/>
        <v>36.644285714285715</v>
      </c>
      <c r="AF1274" t="str">
        <f t="shared" si="239"/>
        <v>Regular</v>
      </c>
    </row>
    <row r="1275" spans="1:32" x14ac:dyDescent="0.25">
      <c r="A1275" t="s">
        <v>4995</v>
      </c>
      <c r="B1275" s="1">
        <v>45548</v>
      </c>
      <c r="C1275" s="1">
        <v>45558</v>
      </c>
      <c r="D1275" s="4">
        <f t="shared" si="228"/>
        <v>10</v>
      </c>
      <c r="E1275" s="4" t="str">
        <f>TEXT(Table1[[#This Row],[Order_Date]],"dddd")</f>
        <v>Friday</v>
      </c>
      <c r="F1275" s="4">
        <f t="shared" si="229"/>
        <v>9</v>
      </c>
      <c r="G1275" t="str">
        <f t="shared" si="232"/>
        <v>September</v>
      </c>
      <c r="H1275">
        <f t="shared" si="233"/>
        <v>2024</v>
      </c>
      <c r="I1275" t="str">
        <f t="shared" si="234"/>
        <v>2024-Q3</v>
      </c>
      <c r="J1275" t="s">
        <v>104</v>
      </c>
      <c r="K1275" t="s">
        <v>4996</v>
      </c>
      <c r="L1275" t="s">
        <v>4997</v>
      </c>
      <c r="M1275" t="s">
        <v>36</v>
      </c>
      <c r="N1275" t="s">
        <v>25</v>
      </c>
      <c r="O1275" t="s">
        <v>37</v>
      </c>
      <c r="P1275" t="s">
        <v>38</v>
      </c>
      <c r="Q1275" t="s">
        <v>39</v>
      </c>
      <c r="R1275" t="s">
        <v>4998</v>
      </c>
      <c r="S1275" t="s">
        <v>30</v>
      </c>
      <c r="T1275" t="s">
        <v>41</v>
      </c>
      <c r="U1275" t="s">
        <v>4999</v>
      </c>
      <c r="V1275" s="3">
        <v>4795.1000000000004</v>
      </c>
      <c r="W1275" s="4">
        <v>7</v>
      </c>
      <c r="X1275" s="2">
        <v>0.2</v>
      </c>
      <c r="Y1275" s="3">
        <v>1382.92</v>
      </c>
      <c r="Z1275" t="str">
        <f t="shared" si="230"/>
        <v>Outlier</v>
      </c>
      <c r="AA1275" t="str">
        <f t="shared" si="231"/>
        <v>High</v>
      </c>
      <c r="AB1275" t="str">
        <f t="shared" si="235"/>
        <v>High Profit</v>
      </c>
      <c r="AC1275" s="3">
        <f t="shared" si="236"/>
        <v>0.28840274446831138</v>
      </c>
      <c r="AD1275" s="3">
        <f t="shared" si="237"/>
        <v>685.01428571428573</v>
      </c>
      <c r="AE1275" s="3">
        <f t="shared" si="238"/>
        <v>197.56</v>
      </c>
      <c r="AF1275" t="str">
        <f t="shared" si="239"/>
        <v>Regular</v>
      </c>
    </row>
    <row r="1276" spans="1:32" x14ac:dyDescent="0.25">
      <c r="A1276" t="s">
        <v>3107</v>
      </c>
      <c r="B1276" s="1">
        <v>45548</v>
      </c>
      <c r="C1276" s="1">
        <v>45554</v>
      </c>
      <c r="D1276" s="4">
        <f t="shared" si="228"/>
        <v>6</v>
      </c>
      <c r="E1276" s="4" t="str">
        <f>TEXT(Table1[[#This Row],[Order_Date]],"dddd")</f>
        <v>Friday</v>
      </c>
      <c r="F1276" s="4">
        <f t="shared" si="229"/>
        <v>9</v>
      </c>
      <c r="G1276" t="str">
        <f t="shared" si="232"/>
        <v>September</v>
      </c>
      <c r="H1276">
        <f t="shared" si="233"/>
        <v>2024</v>
      </c>
      <c r="I1276" t="str">
        <f t="shared" si="234"/>
        <v>2024-Q3</v>
      </c>
      <c r="J1276" t="s">
        <v>44</v>
      </c>
      <c r="K1276" t="s">
        <v>3108</v>
      </c>
      <c r="L1276" t="s">
        <v>3109</v>
      </c>
      <c r="M1276" t="s">
        <v>47</v>
      </c>
      <c r="N1276" t="s">
        <v>25</v>
      </c>
      <c r="O1276" t="s">
        <v>113</v>
      </c>
      <c r="P1276" t="s">
        <v>113</v>
      </c>
      <c r="Q1276" t="s">
        <v>87</v>
      </c>
      <c r="R1276" t="s">
        <v>3110</v>
      </c>
      <c r="S1276" t="s">
        <v>59</v>
      </c>
      <c r="T1276" t="s">
        <v>303</v>
      </c>
      <c r="U1276" t="s">
        <v>3111</v>
      </c>
      <c r="V1276" s="3">
        <v>529.41999999999996</v>
      </c>
      <c r="W1276" s="4">
        <v>5</v>
      </c>
      <c r="X1276" s="2">
        <v>0</v>
      </c>
      <c r="Y1276" s="3">
        <v>16.399999999999999</v>
      </c>
      <c r="Z1276" t="str">
        <f t="shared" si="230"/>
        <v>Normal</v>
      </c>
      <c r="AA1276" t="str">
        <f t="shared" si="231"/>
        <v>Low</v>
      </c>
      <c r="AB1276" t="str">
        <f t="shared" si="235"/>
        <v>Low Profit</v>
      </c>
      <c r="AC1276" s="3">
        <f t="shared" si="236"/>
        <v>3.0977295908730308E-2</v>
      </c>
      <c r="AD1276" s="3">
        <f t="shared" si="237"/>
        <v>105.88399999999999</v>
      </c>
      <c r="AE1276" s="3">
        <f t="shared" si="238"/>
        <v>3.28</v>
      </c>
      <c r="AF1276" t="str">
        <f t="shared" si="239"/>
        <v>Regular</v>
      </c>
    </row>
    <row r="1277" spans="1:32" x14ac:dyDescent="0.25">
      <c r="A1277" t="s">
        <v>7112</v>
      </c>
      <c r="B1277" s="1">
        <v>45549</v>
      </c>
      <c r="C1277" s="1">
        <v>45552</v>
      </c>
      <c r="D1277" s="4">
        <f t="shared" si="228"/>
        <v>3</v>
      </c>
      <c r="E1277" s="4" t="str">
        <f>TEXT(Table1[[#This Row],[Order_Date]],"dddd")</f>
        <v>Saturday</v>
      </c>
      <c r="F1277" s="4">
        <f t="shared" si="229"/>
        <v>9</v>
      </c>
      <c r="G1277" t="str">
        <f t="shared" si="232"/>
        <v>September</v>
      </c>
      <c r="H1277">
        <f t="shared" si="233"/>
        <v>2024</v>
      </c>
      <c r="I1277" t="str">
        <f t="shared" si="234"/>
        <v>2024-Q3</v>
      </c>
      <c r="J1277" t="s">
        <v>104</v>
      </c>
      <c r="K1277" t="s">
        <v>7113</v>
      </c>
      <c r="L1277" t="s">
        <v>7114</v>
      </c>
      <c r="M1277" t="s">
        <v>47</v>
      </c>
      <c r="N1277" t="s">
        <v>25</v>
      </c>
      <c r="O1277" t="s">
        <v>156</v>
      </c>
      <c r="P1277" t="s">
        <v>143</v>
      </c>
      <c r="Q1277" t="s">
        <v>28</v>
      </c>
      <c r="R1277" t="s">
        <v>7115</v>
      </c>
      <c r="S1277" t="s">
        <v>51</v>
      </c>
      <c r="T1277" t="s">
        <v>127</v>
      </c>
      <c r="U1277" t="s">
        <v>7116</v>
      </c>
      <c r="V1277" s="3">
        <v>1210.8900000000001</v>
      </c>
      <c r="W1277" s="4">
        <v>5</v>
      </c>
      <c r="X1277" s="2">
        <v>0.2</v>
      </c>
      <c r="Y1277" s="3">
        <v>-26.85</v>
      </c>
      <c r="Z1277" t="str">
        <f t="shared" si="230"/>
        <v>Normal</v>
      </c>
      <c r="AA1277" t="str">
        <f t="shared" si="231"/>
        <v>High</v>
      </c>
      <c r="AB1277" t="str">
        <f t="shared" si="235"/>
        <v>Loss</v>
      </c>
      <c r="AC1277" s="3">
        <f t="shared" si="236"/>
        <v>-2.2173773009934842E-2</v>
      </c>
      <c r="AD1277" s="3">
        <f t="shared" si="237"/>
        <v>242.17800000000003</v>
      </c>
      <c r="AE1277" s="3">
        <f t="shared" si="238"/>
        <v>-5.37</v>
      </c>
      <c r="AF1277" t="str">
        <f t="shared" si="239"/>
        <v>Regular</v>
      </c>
    </row>
    <row r="1278" spans="1:32" x14ac:dyDescent="0.25">
      <c r="A1278" t="s">
        <v>7392</v>
      </c>
      <c r="B1278" s="1">
        <v>45549</v>
      </c>
      <c r="C1278" s="1">
        <v>45551</v>
      </c>
      <c r="D1278" s="4">
        <f t="shared" si="228"/>
        <v>2</v>
      </c>
      <c r="E1278" s="4" t="str">
        <f>TEXT(Table1[[#This Row],[Order_Date]],"dddd")</f>
        <v>Saturday</v>
      </c>
      <c r="F1278" s="4">
        <f t="shared" si="229"/>
        <v>9</v>
      </c>
      <c r="G1278" t="str">
        <f t="shared" si="232"/>
        <v>September</v>
      </c>
      <c r="H1278">
        <f t="shared" si="233"/>
        <v>2024</v>
      </c>
      <c r="I1278" t="str">
        <f t="shared" si="234"/>
        <v>2024-Q3</v>
      </c>
      <c r="J1278" t="s">
        <v>21</v>
      </c>
      <c r="K1278" t="s">
        <v>7393</v>
      </c>
      <c r="L1278" t="s">
        <v>7394</v>
      </c>
      <c r="M1278" t="s">
        <v>47</v>
      </c>
      <c r="N1278" t="s">
        <v>25</v>
      </c>
      <c r="O1278" t="s">
        <v>113</v>
      </c>
      <c r="P1278" t="s">
        <v>113</v>
      </c>
      <c r="Q1278" t="s">
        <v>87</v>
      </c>
      <c r="R1278" t="s">
        <v>7395</v>
      </c>
      <c r="S1278" t="s">
        <v>59</v>
      </c>
      <c r="T1278" t="s">
        <v>303</v>
      </c>
      <c r="U1278" t="s">
        <v>7396</v>
      </c>
      <c r="V1278" s="3">
        <v>3936.36</v>
      </c>
      <c r="W1278" s="4">
        <v>8</v>
      </c>
      <c r="X1278" s="2">
        <v>0</v>
      </c>
      <c r="Y1278" s="3">
        <v>1167.22</v>
      </c>
      <c r="Z1278" t="str">
        <f t="shared" si="230"/>
        <v>Outlier</v>
      </c>
      <c r="AA1278" t="str">
        <f t="shared" si="231"/>
        <v>Low</v>
      </c>
      <c r="AB1278" t="str">
        <f t="shared" si="235"/>
        <v>High Profit</v>
      </c>
      <c r="AC1278" s="3">
        <f t="shared" si="236"/>
        <v>0.29652267577152497</v>
      </c>
      <c r="AD1278" s="3">
        <f t="shared" si="237"/>
        <v>492.04500000000002</v>
      </c>
      <c r="AE1278" s="3">
        <f t="shared" si="238"/>
        <v>145.9025</v>
      </c>
      <c r="AF1278" t="str">
        <f t="shared" si="239"/>
        <v>Regular</v>
      </c>
    </row>
    <row r="1279" spans="1:32" x14ac:dyDescent="0.25">
      <c r="A1279" t="s">
        <v>6891</v>
      </c>
      <c r="B1279" s="1">
        <v>45550</v>
      </c>
      <c r="C1279" s="1">
        <v>45553</v>
      </c>
      <c r="D1279" s="4">
        <f t="shared" si="228"/>
        <v>3</v>
      </c>
      <c r="E1279" s="4" t="str">
        <f>TEXT(Table1[[#This Row],[Order_Date]],"dddd")</f>
        <v>Sunday</v>
      </c>
      <c r="F1279" s="4">
        <f t="shared" si="229"/>
        <v>9</v>
      </c>
      <c r="G1279" t="str">
        <f t="shared" si="232"/>
        <v>September</v>
      </c>
      <c r="H1279">
        <f t="shared" si="233"/>
        <v>2024</v>
      </c>
      <c r="I1279" t="str">
        <f t="shared" si="234"/>
        <v>2024-Q3</v>
      </c>
      <c r="J1279" t="s">
        <v>21</v>
      </c>
      <c r="K1279" t="s">
        <v>6892</v>
      </c>
      <c r="L1279" t="s">
        <v>6893</v>
      </c>
      <c r="M1279" t="s">
        <v>36</v>
      </c>
      <c r="N1279" t="s">
        <v>25</v>
      </c>
      <c r="O1279" t="s">
        <v>233</v>
      </c>
      <c r="P1279" t="s">
        <v>163</v>
      </c>
      <c r="Q1279" t="s">
        <v>87</v>
      </c>
      <c r="R1279" t="s">
        <v>6894</v>
      </c>
      <c r="S1279" t="s">
        <v>30</v>
      </c>
      <c r="T1279" t="s">
        <v>41</v>
      </c>
      <c r="U1279" t="s">
        <v>6895</v>
      </c>
      <c r="V1279" s="3">
        <v>1368.25</v>
      </c>
      <c r="W1279" s="4">
        <v>7</v>
      </c>
      <c r="X1279" s="2">
        <v>0</v>
      </c>
      <c r="Y1279" s="3">
        <v>-48.31</v>
      </c>
      <c r="Z1279" t="str">
        <f t="shared" si="230"/>
        <v>Normal</v>
      </c>
      <c r="AA1279" t="str">
        <f t="shared" si="231"/>
        <v>Low</v>
      </c>
      <c r="AB1279" t="str">
        <f t="shared" si="235"/>
        <v>Loss</v>
      </c>
      <c r="AC1279" s="3">
        <f t="shared" si="236"/>
        <v>-3.5307875022839393E-2</v>
      </c>
      <c r="AD1279" s="3">
        <f t="shared" si="237"/>
        <v>195.46428571428572</v>
      </c>
      <c r="AE1279" s="3">
        <f t="shared" si="238"/>
        <v>-6.9014285714285721</v>
      </c>
      <c r="AF1279" t="str">
        <f t="shared" si="239"/>
        <v>Regular</v>
      </c>
    </row>
    <row r="1280" spans="1:32" x14ac:dyDescent="0.25">
      <c r="A1280" t="s">
        <v>4386</v>
      </c>
      <c r="B1280" s="1">
        <v>45550</v>
      </c>
      <c r="C1280" s="1">
        <v>45558</v>
      </c>
      <c r="D1280" s="4">
        <f t="shared" si="228"/>
        <v>8</v>
      </c>
      <c r="E1280" s="4" t="str">
        <f>TEXT(Table1[[#This Row],[Order_Date]],"dddd")</f>
        <v>Sunday</v>
      </c>
      <c r="F1280" s="4">
        <f t="shared" si="229"/>
        <v>9</v>
      </c>
      <c r="G1280" t="str">
        <f t="shared" si="232"/>
        <v>September</v>
      </c>
      <c r="H1280">
        <f t="shared" si="233"/>
        <v>2024</v>
      </c>
      <c r="I1280" t="str">
        <f t="shared" si="234"/>
        <v>2024-Q3</v>
      </c>
      <c r="J1280" t="s">
        <v>55</v>
      </c>
      <c r="K1280" t="s">
        <v>4387</v>
      </c>
      <c r="L1280" t="s">
        <v>4388</v>
      </c>
      <c r="M1280" t="s">
        <v>24</v>
      </c>
      <c r="N1280" t="s">
        <v>25</v>
      </c>
      <c r="O1280" t="s">
        <v>611</v>
      </c>
      <c r="P1280" t="s">
        <v>74</v>
      </c>
      <c r="Q1280" t="s">
        <v>39</v>
      </c>
      <c r="R1280" t="s">
        <v>4389</v>
      </c>
      <c r="S1280" t="s">
        <v>59</v>
      </c>
      <c r="T1280" t="s">
        <v>60</v>
      </c>
      <c r="U1280" t="s">
        <v>4390</v>
      </c>
      <c r="V1280" s="3">
        <v>497.54</v>
      </c>
      <c r="W1280" s="4">
        <v>6</v>
      </c>
      <c r="X1280" s="2">
        <v>0.2</v>
      </c>
      <c r="Y1280" s="3">
        <v>143.96</v>
      </c>
      <c r="Z1280" t="str">
        <f t="shared" si="230"/>
        <v>Normal</v>
      </c>
      <c r="AA1280" t="str">
        <f t="shared" si="231"/>
        <v>High</v>
      </c>
      <c r="AB1280" t="str">
        <f t="shared" si="235"/>
        <v>Low Profit</v>
      </c>
      <c r="AC1280" s="3">
        <f t="shared" si="236"/>
        <v>0.28934357036620173</v>
      </c>
      <c r="AD1280" s="3">
        <f t="shared" si="237"/>
        <v>82.923333333333332</v>
      </c>
      <c r="AE1280" s="3">
        <f t="shared" si="238"/>
        <v>23.993333333333336</v>
      </c>
      <c r="AF1280" t="str">
        <f t="shared" si="239"/>
        <v>Regular</v>
      </c>
    </row>
    <row r="1281" spans="1:32" x14ac:dyDescent="0.25">
      <c r="A1281" t="s">
        <v>198</v>
      </c>
      <c r="B1281" s="1">
        <v>45551</v>
      </c>
      <c r="C1281" s="1">
        <v>45553</v>
      </c>
      <c r="D1281" s="4">
        <f t="shared" si="228"/>
        <v>2</v>
      </c>
      <c r="E1281" s="4" t="str">
        <f>TEXT(Table1[[#This Row],[Order_Date]],"dddd")</f>
        <v>Monday</v>
      </c>
      <c r="F1281" s="4">
        <f t="shared" si="229"/>
        <v>9</v>
      </c>
      <c r="G1281" t="str">
        <f t="shared" si="232"/>
        <v>September</v>
      </c>
      <c r="H1281">
        <f t="shared" si="233"/>
        <v>2024</v>
      </c>
      <c r="I1281" t="str">
        <f t="shared" si="234"/>
        <v>2024-Q3</v>
      </c>
      <c r="J1281" t="s">
        <v>21</v>
      </c>
      <c r="K1281" t="s">
        <v>199</v>
      </c>
      <c r="L1281" t="s">
        <v>200</v>
      </c>
      <c r="M1281" t="s">
        <v>47</v>
      </c>
      <c r="N1281" t="s">
        <v>25</v>
      </c>
      <c r="O1281" t="s">
        <v>201</v>
      </c>
      <c r="P1281" t="s">
        <v>113</v>
      </c>
      <c r="Q1281" t="s">
        <v>28</v>
      </c>
      <c r="R1281" t="s">
        <v>202</v>
      </c>
      <c r="S1281" t="s">
        <v>30</v>
      </c>
      <c r="T1281" t="s">
        <v>68</v>
      </c>
      <c r="U1281" t="s">
        <v>203</v>
      </c>
      <c r="V1281" s="3">
        <v>3901.35</v>
      </c>
      <c r="W1281" s="4">
        <v>4</v>
      </c>
      <c r="X1281" s="2">
        <v>0.1</v>
      </c>
      <c r="Y1281" s="3">
        <v>482.56</v>
      </c>
      <c r="Z1281" t="str">
        <f t="shared" si="230"/>
        <v>Normal</v>
      </c>
      <c r="AA1281" t="str">
        <f t="shared" si="231"/>
        <v>Medium</v>
      </c>
      <c r="AB1281" t="str">
        <f t="shared" si="235"/>
        <v>Low Profit</v>
      </c>
      <c r="AC1281" s="3">
        <f t="shared" si="236"/>
        <v>0.12369051738500776</v>
      </c>
      <c r="AD1281" s="3">
        <f t="shared" si="237"/>
        <v>975.33749999999998</v>
      </c>
      <c r="AE1281" s="3">
        <f t="shared" si="238"/>
        <v>120.64</v>
      </c>
      <c r="AF1281" t="str">
        <f t="shared" si="239"/>
        <v>Regular</v>
      </c>
    </row>
    <row r="1282" spans="1:32" x14ac:dyDescent="0.25">
      <c r="A1282" t="s">
        <v>1746</v>
      </c>
      <c r="B1282" s="1">
        <v>45551</v>
      </c>
      <c r="C1282" s="1">
        <v>45552</v>
      </c>
      <c r="D1282" s="4">
        <f t="shared" ref="D1282:D1345" si="240">C1282-B1282</f>
        <v>1</v>
      </c>
      <c r="E1282" s="4" t="str">
        <f>TEXT(Table1[[#This Row],[Order_Date]],"dddd")</f>
        <v>Monday</v>
      </c>
      <c r="F1282" s="4">
        <f t="shared" ref="F1282:F1345" si="241">MONTH(B1282)</f>
        <v>9</v>
      </c>
      <c r="G1282" t="str">
        <f t="shared" si="232"/>
        <v>September</v>
      </c>
      <c r="H1282">
        <f t="shared" si="233"/>
        <v>2024</v>
      </c>
      <c r="I1282" t="str">
        <f t="shared" si="234"/>
        <v>2024-Q3</v>
      </c>
      <c r="J1282" t="s">
        <v>55</v>
      </c>
      <c r="K1282" t="s">
        <v>1747</v>
      </c>
      <c r="L1282" t="s">
        <v>1748</v>
      </c>
      <c r="M1282" t="s">
        <v>24</v>
      </c>
      <c r="N1282" t="s">
        <v>25</v>
      </c>
      <c r="O1282" t="s">
        <v>201</v>
      </c>
      <c r="P1282" t="s">
        <v>113</v>
      </c>
      <c r="Q1282" t="s">
        <v>66</v>
      </c>
      <c r="R1282" t="s">
        <v>1749</v>
      </c>
      <c r="S1282" t="s">
        <v>30</v>
      </c>
      <c r="T1282" t="s">
        <v>82</v>
      </c>
      <c r="U1282" t="s">
        <v>1750</v>
      </c>
      <c r="V1282" s="3">
        <v>2681.73</v>
      </c>
      <c r="W1282" s="4">
        <v>4</v>
      </c>
      <c r="X1282" s="2">
        <v>0.3</v>
      </c>
      <c r="Y1282" s="3">
        <v>496.65</v>
      </c>
      <c r="Z1282" t="str">
        <f t="shared" ref="Z1282:Z1345" si="242">IF(OR(Y1282&lt;-800.884,Y1282&gt;1030.126),"Outlier","Normal")</f>
        <v>Normal</v>
      </c>
      <c r="AA1282" t="str">
        <f t="shared" ref="AA1282:AA1345" si="243">IF(X1282&lt;10%,"Low",IF(X1282&lt;0.2,"Medium","High"))</f>
        <v>High</v>
      </c>
      <c r="AB1282" t="str">
        <f t="shared" si="235"/>
        <v>Low Profit</v>
      </c>
      <c r="AC1282" s="3">
        <f t="shared" si="236"/>
        <v>0.18519761497242451</v>
      </c>
      <c r="AD1282" s="3">
        <f t="shared" si="237"/>
        <v>670.4325</v>
      </c>
      <c r="AE1282" s="3">
        <f t="shared" si="238"/>
        <v>124.16249999999999</v>
      </c>
      <c r="AF1282" t="str">
        <f t="shared" si="239"/>
        <v>Regular</v>
      </c>
    </row>
    <row r="1283" spans="1:32" x14ac:dyDescent="0.25">
      <c r="A1283" t="s">
        <v>733</v>
      </c>
      <c r="B1283" s="1">
        <v>45551</v>
      </c>
      <c r="C1283" s="1">
        <v>45553</v>
      </c>
      <c r="D1283" s="4">
        <f t="shared" si="240"/>
        <v>2</v>
      </c>
      <c r="E1283" s="4" t="str">
        <f>TEXT(Table1[[#This Row],[Order_Date]],"dddd")</f>
        <v>Monday</v>
      </c>
      <c r="F1283" s="4">
        <f t="shared" si="241"/>
        <v>9</v>
      </c>
      <c r="G1283" t="str">
        <f t="shared" ref="G1283:G1346" si="244">TEXT(B1283,"mmmm")</f>
        <v>September</v>
      </c>
      <c r="H1283">
        <f t="shared" ref="H1283:H1346" si="245">YEAR(B1283)</f>
        <v>2024</v>
      </c>
      <c r="I1283" t="str">
        <f t="shared" ref="I1283:I1346" si="246">H1283 &amp; "-Q" &amp; INT((MONTH(B1283)+2)/3)</f>
        <v>2024-Q3</v>
      </c>
      <c r="J1283" t="s">
        <v>44</v>
      </c>
      <c r="K1283" t="s">
        <v>734</v>
      </c>
      <c r="L1283" t="s">
        <v>735</v>
      </c>
      <c r="M1283" t="s">
        <v>47</v>
      </c>
      <c r="N1283" t="s">
        <v>25</v>
      </c>
      <c r="O1283" t="s">
        <v>149</v>
      </c>
      <c r="P1283" t="s">
        <v>113</v>
      </c>
      <c r="Q1283" t="s">
        <v>39</v>
      </c>
      <c r="R1283" t="s">
        <v>736</v>
      </c>
      <c r="S1283" t="s">
        <v>59</v>
      </c>
      <c r="T1283" t="s">
        <v>101</v>
      </c>
      <c r="U1283" t="s">
        <v>737</v>
      </c>
      <c r="V1283" s="3">
        <v>2514.16</v>
      </c>
      <c r="W1283" s="4">
        <v>9</v>
      </c>
      <c r="X1283" s="2">
        <v>0.3</v>
      </c>
      <c r="Y1283" s="3">
        <v>-19.5</v>
      </c>
      <c r="Z1283" t="str">
        <f t="shared" si="242"/>
        <v>Normal</v>
      </c>
      <c r="AA1283" t="str">
        <f t="shared" si="243"/>
        <v>High</v>
      </c>
      <c r="AB1283" t="str">
        <f t="shared" ref="AB1283:AB1346" si="247">IF(Y1283&lt;0, "Loss", IF(Y1283&lt;500,"Low Profit", "High Profit"))</f>
        <v>Loss</v>
      </c>
      <c r="AC1283" s="3">
        <f t="shared" ref="AC1283:AC1346" si="248">Y1283/V1283</f>
        <v>-7.7560696216629017E-3</v>
      </c>
      <c r="AD1283" s="3">
        <f t="shared" ref="AD1283:AD1346" si="249">V1283/W1283</f>
        <v>279.35111111111109</v>
      </c>
      <c r="AE1283" s="3">
        <f t="shared" ref="AE1283:AE1346" si="250">Y1283/W1283</f>
        <v>-2.1666666666666665</v>
      </c>
      <c r="AF1283" t="str">
        <f t="shared" ref="AF1283:AF1346" si="251">IF(V1283&gt;5000,"High value", "Regular")</f>
        <v>Regular</v>
      </c>
    </row>
    <row r="1284" spans="1:32" x14ac:dyDescent="0.25">
      <c r="A1284" t="s">
        <v>1106</v>
      </c>
      <c r="B1284" s="1">
        <v>45552</v>
      </c>
      <c r="C1284" s="1">
        <v>45561</v>
      </c>
      <c r="D1284" s="4">
        <f t="shared" si="240"/>
        <v>9</v>
      </c>
      <c r="E1284" s="4" t="str">
        <f>TEXT(Table1[[#This Row],[Order_Date]],"dddd")</f>
        <v>Tuesday</v>
      </c>
      <c r="F1284" s="4">
        <f t="shared" si="241"/>
        <v>9</v>
      </c>
      <c r="G1284" t="str">
        <f t="shared" si="244"/>
        <v>September</v>
      </c>
      <c r="H1284">
        <f t="shared" si="245"/>
        <v>2024</v>
      </c>
      <c r="I1284" t="str">
        <f t="shared" si="246"/>
        <v>2024-Q3</v>
      </c>
      <c r="J1284" t="s">
        <v>21</v>
      </c>
      <c r="K1284" t="s">
        <v>1107</v>
      </c>
      <c r="L1284" t="s">
        <v>1108</v>
      </c>
      <c r="M1284" t="s">
        <v>36</v>
      </c>
      <c r="N1284" t="s">
        <v>25</v>
      </c>
      <c r="O1284" t="s">
        <v>511</v>
      </c>
      <c r="P1284" t="s">
        <v>120</v>
      </c>
      <c r="Q1284" t="s">
        <v>39</v>
      </c>
      <c r="R1284" t="s">
        <v>1109</v>
      </c>
      <c r="S1284" t="s">
        <v>30</v>
      </c>
      <c r="T1284" t="s">
        <v>68</v>
      </c>
      <c r="U1284" t="s">
        <v>1110</v>
      </c>
      <c r="V1284" s="3">
        <v>2514.16</v>
      </c>
      <c r="W1284" s="4">
        <v>10</v>
      </c>
      <c r="X1284" s="2">
        <v>0.2</v>
      </c>
      <c r="Y1284" s="3">
        <v>881.37</v>
      </c>
      <c r="Z1284" t="str">
        <f t="shared" si="242"/>
        <v>Normal</v>
      </c>
      <c r="AA1284" t="str">
        <f t="shared" si="243"/>
        <v>High</v>
      </c>
      <c r="AB1284" t="str">
        <f t="shared" si="247"/>
        <v>High Profit</v>
      </c>
      <c r="AC1284" s="3">
        <f t="shared" si="248"/>
        <v>0.3505624144843606</v>
      </c>
      <c r="AD1284" s="3">
        <f t="shared" si="249"/>
        <v>251.416</v>
      </c>
      <c r="AE1284" s="3">
        <f t="shared" si="250"/>
        <v>88.137</v>
      </c>
      <c r="AF1284" t="str">
        <f t="shared" si="251"/>
        <v>Regular</v>
      </c>
    </row>
    <row r="1285" spans="1:32" x14ac:dyDescent="0.25">
      <c r="A1285" t="s">
        <v>5979</v>
      </c>
      <c r="B1285" s="1">
        <v>45553</v>
      </c>
      <c r="C1285" s="1">
        <v>45554</v>
      </c>
      <c r="D1285" s="4">
        <f t="shared" si="240"/>
        <v>1</v>
      </c>
      <c r="E1285" s="4" t="str">
        <f>TEXT(Table1[[#This Row],[Order_Date]],"dddd")</f>
        <v>Wednesday</v>
      </c>
      <c r="F1285" s="4">
        <f t="shared" si="241"/>
        <v>9</v>
      </c>
      <c r="G1285" t="str">
        <f t="shared" si="244"/>
        <v>September</v>
      </c>
      <c r="H1285">
        <f t="shared" si="245"/>
        <v>2024</v>
      </c>
      <c r="I1285" t="str">
        <f t="shared" si="246"/>
        <v>2024-Q3</v>
      </c>
      <c r="J1285" t="s">
        <v>55</v>
      </c>
      <c r="K1285" t="s">
        <v>5980</v>
      </c>
      <c r="L1285" t="s">
        <v>5981</v>
      </c>
      <c r="M1285" t="s">
        <v>47</v>
      </c>
      <c r="N1285" t="s">
        <v>25</v>
      </c>
      <c r="O1285" t="s">
        <v>511</v>
      </c>
      <c r="P1285" t="s">
        <v>120</v>
      </c>
      <c r="Q1285" t="s">
        <v>39</v>
      </c>
      <c r="R1285" t="s">
        <v>5982</v>
      </c>
      <c r="S1285" t="s">
        <v>30</v>
      </c>
      <c r="T1285" t="s">
        <v>41</v>
      </c>
      <c r="U1285" t="s">
        <v>5983</v>
      </c>
      <c r="V1285" s="3">
        <v>4009.18</v>
      </c>
      <c r="W1285" s="4">
        <v>5</v>
      </c>
      <c r="X1285" s="2">
        <v>0.4</v>
      </c>
      <c r="Y1285" s="3">
        <v>-75.59</v>
      </c>
      <c r="Z1285" t="str">
        <f t="shared" si="242"/>
        <v>Normal</v>
      </c>
      <c r="AA1285" t="str">
        <f t="shared" si="243"/>
        <v>High</v>
      </c>
      <c r="AB1285" t="str">
        <f t="shared" si="247"/>
        <v>Loss</v>
      </c>
      <c r="AC1285" s="3">
        <f t="shared" si="248"/>
        <v>-1.8854229543198361E-2</v>
      </c>
      <c r="AD1285" s="3">
        <f t="shared" si="249"/>
        <v>801.83600000000001</v>
      </c>
      <c r="AE1285" s="3">
        <f t="shared" si="250"/>
        <v>-15.118</v>
      </c>
      <c r="AF1285" t="str">
        <f t="shared" si="251"/>
        <v>Regular</v>
      </c>
    </row>
    <row r="1286" spans="1:32" x14ac:dyDescent="0.25">
      <c r="A1286" t="s">
        <v>5965</v>
      </c>
      <c r="B1286" s="1">
        <v>45553</v>
      </c>
      <c r="C1286" s="1">
        <v>45560</v>
      </c>
      <c r="D1286" s="4">
        <f t="shared" si="240"/>
        <v>7</v>
      </c>
      <c r="E1286" s="4" t="str">
        <f>TEXT(Table1[[#This Row],[Order_Date]],"dddd")</f>
        <v>Wednesday</v>
      </c>
      <c r="F1286" s="4">
        <f t="shared" si="241"/>
        <v>9</v>
      </c>
      <c r="G1286" t="str">
        <f t="shared" si="244"/>
        <v>September</v>
      </c>
      <c r="H1286">
        <f t="shared" si="245"/>
        <v>2024</v>
      </c>
      <c r="I1286" t="str">
        <f t="shared" si="246"/>
        <v>2024-Q3</v>
      </c>
      <c r="J1286" t="s">
        <v>21</v>
      </c>
      <c r="K1286" t="s">
        <v>5966</v>
      </c>
      <c r="L1286" t="s">
        <v>5967</v>
      </c>
      <c r="M1286" t="s">
        <v>36</v>
      </c>
      <c r="N1286" t="s">
        <v>25</v>
      </c>
      <c r="O1286" t="s">
        <v>26</v>
      </c>
      <c r="P1286" t="s">
        <v>27</v>
      </c>
      <c r="Q1286" t="s">
        <v>87</v>
      </c>
      <c r="R1286" t="s">
        <v>5968</v>
      </c>
      <c r="S1286" t="s">
        <v>59</v>
      </c>
      <c r="T1286" t="s">
        <v>277</v>
      </c>
      <c r="U1286" t="s">
        <v>2645</v>
      </c>
      <c r="V1286" s="3">
        <v>2417.15</v>
      </c>
      <c r="W1286" s="4">
        <v>1</v>
      </c>
      <c r="X1286" s="2">
        <v>0</v>
      </c>
      <c r="Y1286" s="3">
        <v>465.87</v>
      </c>
      <c r="Z1286" t="str">
        <f t="shared" si="242"/>
        <v>Normal</v>
      </c>
      <c r="AA1286" t="str">
        <f t="shared" si="243"/>
        <v>Low</v>
      </c>
      <c r="AB1286" t="str">
        <f t="shared" si="247"/>
        <v>Low Profit</v>
      </c>
      <c r="AC1286" s="3">
        <f t="shared" si="248"/>
        <v>0.19273524605423742</v>
      </c>
      <c r="AD1286" s="3">
        <f t="shared" si="249"/>
        <v>2417.15</v>
      </c>
      <c r="AE1286" s="3">
        <f t="shared" si="250"/>
        <v>465.87</v>
      </c>
      <c r="AF1286" t="str">
        <f t="shared" si="251"/>
        <v>Regular</v>
      </c>
    </row>
    <row r="1287" spans="1:32" x14ac:dyDescent="0.25">
      <c r="A1287" t="s">
        <v>1628</v>
      </c>
      <c r="B1287" s="1">
        <v>45554</v>
      </c>
      <c r="C1287" s="1">
        <v>45560</v>
      </c>
      <c r="D1287" s="4">
        <f t="shared" si="240"/>
        <v>6</v>
      </c>
      <c r="E1287" s="4" t="str">
        <f>TEXT(Table1[[#This Row],[Order_Date]],"dddd")</f>
        <v>Thursday</v>
      </c>
      <c r="F1287" s="4">
        <f t="shared" si="241"/>
        <v>9</v>
      </c>
      <c r="G1287" t="str">
        <f t="shared" si="244"/>
        <v>September</v>
      </c>
      <c r="H1287">
        <f t="shared" si="245"/>
        <v>2024</v>
      </c>
      <c r="I1287" t="str">
        <f t="shared" si="246"/>
        <v>2024-Q3</v>
      </c>
      <c r="J1287" t="s">
        <v>104</v>
      </c>
      <c r="K1287" t="s">
        <v>1629</v>
      </c>
      <c r="L1287" t="s">
        <v>1630</v>
      </c>
      <c r="M1287" t="s">
        <v>36</v>
      </c>
      <c r="N1287" t="s">
        <v>25</v>
      </c>
      <c r="O1287" t="s">
        <v>162</v>
      </c>
      <c r="P1287" t="s">
        <v>163</v>
      </c>
      <c r="Q1287" t="s">
        <v>66</v>
      </c>
      <c r="R1287" t="s">
        <v>1631</v>
      </c>
      <c r="S1287" t="s">
        <v>30</v>
      </c>
      <c r="T1287" t="s">
        <v>68</v>
      </c>
      <c r="U1287" t="s">
        <v>1632</v>
      </c>
      <c r="V1287" s="3">
        <v>2148.86</v>
      </c>
      <c r="W1287" s="4">
        <v>6</v>
      </c>
      <c r="X1287" s="2">
        <v>0.4</v>
      </c>
      <c r="Y1287" s="3">
        <v>-234.91</v>
      </c>
      <c r="Z1287" t="str">
        <f t="shared" si="242"/>
        <v>Normal</v>
      </c>
      <c r="AA1287" t="str">
        <f t="shared" si="243"/>
        <v>High</v>
      </c>
      <c r="AB1287" t="str">
        <f t="shared" si="247"/>
        <v>Loss</v>
      </c>
      <c r="AC1287" s="3">
        <f t="shared" si="248"/>
        <v>-0.10931842930670214</v>
      </c>
      <c r="AD1287" s="3">
        <f t="shared" si="249"/>
        <v>358.14333333333337</v>
      </c>
      <c r="AE1287" s="3">
        <f t="shared" si="250"/>
        <v>-39.151666666666664</v>
      </c>
      <c r="AF1287" t="str">
        <f t="shared" si="251"/>
        <v>Regular</v>
      </c>
    </row>
    <row r="1288" spans="1:32" x14ac:dyDescent="0.25">
      <c r="A1288" t="s">
        <v>7214</v>
      </c>
      <c r="B1288" s="1">
        <v>45555</v>
      </c>
      <c r="C1288" s="1">
        <v>45562</v>
      </c>
      <c r="D1288" s="4">
        <f t="shared" si="240"/>
        <v>7</v>
      </c>
      <c r="E1288" s="4" t="str">
        <f>TEXT(Table1[[#This Row],[Order_Date]],"dddd")</f>
        <v>Friday</v>
      </c>
      <c r="F1288" s="4">
        <f t="shared" si="241"/>
        <v>9</v>
      </c>
      <c r="G1288" t="str">
        <f t="shared" si="244"/>
        <v>September</v>
      </c>
      <c r="H1288">
        <f t="shared" si="245"/>
        <v>2024</v>
      </c>
      <c r="I1288" t="str">
        <f t="shared" si="246"/>
        <v>2024-Q3</v>
      </c>
      <c r="J1288" t="s">
        <v>104</v>
      </c>
      <c r="K1288" t="s">
        <v>7215</v>
      </c>
      <c r="L1288" t="s">
        <v>7216</v>
      </c>
      <c r="M1288" t="s">
        <v>24</v>
      </c>
      <c r="N1288" t="s">
        <v>25</v>
      </c>
      <c r="O1288" t="s">
        <v>233</v>
      </c>
      <c r="P1288" t="s">
        <v>163</v>
      </c>
      <c r="Q1288" t="s">
        <v>28</v>
      </c>
      <c r="R1288" t="s">
        <v>7217</v>
      </c>
      <c r="S1288" t="s">
        <v>30</v>
      </c>
      <c r="T1288" t="s">
        <v>82</v>
      </c>
      <c r="U1288" t="s">
        <v>7218</v>
      </c>
      <c r="V1288" s="3">
        <v>4282.41</v>
      </c>
      <c r="W1288" s="4">
        <v>2</v>
      </c>
      <c r="X1288" s="2">
        <v>0.2</v>
      </c>
      <c r="Y1288" s="3">
        <v>663.98</v>
      </c>
      <c r="Z1288" t="str">
        <f t="shared" si="242"/>
        <v>Normal</v>
      </c>
      <c r="AA1288" t="str">
        <f t="shared" si="243"/>
        <v>High</v>
      </c>
      <c r="AB1288" t="str">
        <f t="shared" si="247"/>
        <v>High Profit</v>
      </c>
      <c r="AC1288" s="3">
        <f t="shared" si="248"/>
        <v>0.15504820883567899</v>
      </c>
      <c r="AD1288" s="3">
        <f t="shared" si="249"/>
        <v>2141.2049999999999</v>
      </c>
      <c r="AE1288" s="3">
        <f t="shared" si="250"/>
        <v>331.99</v>
      </c>
      <c r="AF1288" t="str">
        <f t="shared" si="251"/>
        <v>Regular</v>
      </c>
    </row>
    <row r="1289" spans="1:32" x14ac:dyDescent="0.25">
      <c r="A1289" t="s">
        <v>3883</v>
      </c>
      <c r="B1289" s="1">
        <v>45555</v>
      </c>
      <c r="C1289" s="1">
        <v>45558</v>
      </c>
      <c r="D1289" s="4">
        <f t="shared" si="240"/>
        <v>3</v>
      </c>
      <c r="E1289" s="4" t="str">
        <f>TEXT(Table1[[#This Row],[Order_Date]],"dddd")</f>
        <v>Friday</v>
      </c>
      <c r="F1289" s="4">
        <f t="shared" si="241"/>
        <v>9</v>
      </c>
      <c r="G1289" t="str">
        <f t="shared" si="244"/>
        <v>September</v>
      </c>
      <c r="H1289">
        <f t="shared" si="245"/>
        <v>2024</v>
      </c>
      <c r="I1289" t="str">
        <f t="shared" si="246"/>
        <v>2024-Q3</v>
      </c>
      <c r="J1289" t="s">
        <v>21</v>
      </c>
      <c r="K1289" t="s">
        <v>3884</v>
      </c>
      <c r="L1289" t="s">
        <v>3885</v>
      </c>
      <c r="M1289" t="s">
        <v>47</v>
      </c>
      <c r="N1289" t="s">
        <v>25</v>
      </c>
      <c r="O1289" t="s">
        <v>190</v>
      </c>
      <c r="P1289" t="s">
        <v>120</v>
      </c>
      <c r="Q1289" t="s">
        <v>87</v>
      </c>
      <c r="R1289" t="s">
        <v>3886</v>
      </c>
      <c r="S1289" t="s">
        <v>30</v>
      </c>
      <c r="T1289" t="s">
        <v>68</v>
      </c>
      <c r="U1289" t="s">
        <v>3887</v>
      </c>
      <c r="V1289" s="3">
        <v>1130.4000000000001</v>
      </c>
      <c r="W1289" s="4">
        <v>10</v>
      </c>
      <c r="X1289" s="2">
        <v>0.2</v>
      </c>
      <c r="Y1289" s="3">
        <v>56.81</v>
      </c>
      <c r="Z1289" t="str">
        <f t="shared" si="242"/>
        <v>Normal</v>
      </c>
      <c r="AA1289" t="str">
        <f t="shared" si="243"/>
        <v>High</v>
      </c>
      <c r="AB1289" t="str">
        <f t="shared" si="247"/>
        <v>Low Profit</v>
      </c>
      <c r="AC1289" s="3">
        <f t="shared" si="248"/>
        <v>5.025654635527247E-2</v>
      </c>
      <c r="AD1289" s="3">
        <f t="shared" si="249"/>
        <v>113.04</v>
      </c>
      <c r="AE1289" s="3">
        <f t="shared" si="250"/>
        <v>5.681</v>
      </c>
      <c r="AF1289" t="str">
        <f t="shared" si="251"/>
        <v>Regular</v>
      </c>
    </row>
    <row r="1290" spans="1:32" x14ac:dyDescent="0.25">
      <c r="A1290" t="s">
        <v>1741</v>
      </c>
      <c r="B1290" s="1">
        <v>45555</v>
      </c>
      <c r="C1290" s="1">
        <v>45563</v>
      </c>
      <c r="D1290" s="4">
        <f t="shared" si="240"/>
        <v>8</v>
      </c>
      <c r="E1290" s="4" t="str">
        <f>TEXT(Table1[[#This Row],[Order_Date]],"dddd")</f>
        <v>Friday</v>
      </c>
      <c r="F1290" s="4">
        <f t="shared" si="241"/>
        <v>9</v>
      </c>
      <c r="G1290" t="str">
        <f t="shared" si="244"/>
        <v>September</v>
      </c>
      <c r="H1290">
        <f t="shared" si="245"/>
        <v>2024</v>
      </c>
      <c r="I1290" t="str">
        <f t="shared" si="246"/>
        <v>2024-Q3</v>
      </c>
      <c r="J1290" t="s">
        <v>44</v>
      </c>
      <c r="K1290" t="s">
        <v>1742</v>
      </c>
      <c r="L1290" t="s">
        <v>1743</v>
      </c>
      <c r="M1290" t="s">
        <v>47</v>
      </c>
      <c r="N1290" t="s">
        <v>25</v>
      </c>
      <c r="O1290" t="s">
        <v>149</v>
      </c>
      <c r="P1290" t="s">
        <v>113</v>
      </c>
      <c r="Q1290" t="s">
        <v>28</v>
      </c>
      <c r="R1290" t="s">
        <v>1744</v>
      </c>
      <c r="S1290" t="s">
        <v>59</v>
      </c>
      <c r="T1290" t="s">
        <v>101</v>
      </c>
      <c r="U1290" t="s">
        <v>1745</v>
      </c>
      <c r="V1290" s="3">
        <v>1026.78</v>
      </c>
      <c r="W1290" s="4">
        <v>2</v>
      </c>
      <c r="X1290" s="2">
        <v>0</v>
      </c>
      <c r="Y1290" s="3">
        <v>19.21</v>
      </c>
      <c r="Z1290" t="str">
        <f t="shared" si="242"/>
        <v>Normal</v>
      </c>
      <c r="AA1290" t="str">
        <f t="shared" si="243"/>
        <v>Low</v>
      </c>
      <c r="AB1290" t="str">
        <f t="shared" si="247"/>
        <v>Low Profit</v>
      </c>
      <c r="AC1290" s="3">
        <f t="shared" si="248"/>
        <v>1.8708973684723115E-2</v>
      </c>
      <c r="AD1290" s="3">
        <f t="shared" si="249"/>
        <v>513.39</v>
      </c>
      <c r="AE1290" s="3">
        <f t="shared" si="250"/>
        <v>9.6050000000000004</v>
      </c>
      <c r="AF1290" t="str">
        <f t="shared" si="251"/>
        <v>Regular</v>
      </c>
    </row>
    <row r="1291" spans="1:32" x14ac:dyDescent="0.25">
      <c r="A1291" t="s">
        <v>4101</v>
      </c>
      <c r="B1291" s="1">
        <v>45555</v>
      </c>
      <c r="C1291" s="1">
        <v>45561</v>
      </c>
      <c r="D1291" s="4">
        <f t="shared" si="240"/>
        <v>6</v>
      </c>
      <c r="E1291" s="4" t="str">
        <f>TEXT(Table1[[#This Row],[Order_Date]],"dddd")</f>
        <v>Friday</v>
      </c>
      <c r="F1291" s="4">
        <f t="shared" si="241"/>
        <v>9</v>
      </c>
      <c r="G1291" t="str">
        <f t="shared" si="244"/>
        <v>September</v>
      </c>
      <c r="H1291">
        <f t="shared" si="245"/>
        <v>2024</v>
      </c>
      <c r="I1291" t="str">
        <f t="shared" si="246"/>
        <v>2024-Q3</v>
      </c>
      <c r="J1291" t="s">
        <v>55</v>
      </c>
      <c r="K1291" t="s">
        <v>4102</v>
      </c>
      <c r="L1291" t="s">
        <v>4103</v>
      </c>
      <c r="M1291" t="s">
        <v>36</v>
      </c>
      <c r="N1291" t="s">
        <v>25</v>
      </c>
      <c r="O1291" t="s">
        <v>227</v>
      </c>
      <c r="P1291" t="s">
        <v>49</v>
      </c>
      <c r="Q1291" t="s">
        <v>39</v>
      </c>
      <c r="R1291" t="s">
        <v>4104</v>
      </c>
      <c r="S1291" t="s">
        <v>51</v>
      </c>
      <c r="T1291" t="s">
        <v>151</v>
      </c>
      <c r="U1291" t="s">
        <v>4105</v>
      </c>
      <c r="V1291" s="3">
        <v>2721.09</v>
      </c>
      <c r="W1291" s="4">
        <v>4</v>
      </c>
      <c r="X1291" s="2">
        <v>0</v>
      </c>
      <c r="Y1291" s="3">
        <v>-156.13</v>
      </c>
      <c r="Z1291" t="str">
        <f t="shared" si="242"/>
        <v>Normal</v>
      </c>
      <c r="AA1291" t="str">
        <f t="shared" si="243"/>
        <v>Low</v>
      </c>
      <c r="AB1291" t="str">
        <f t="shared" si="247"/>
        <v>Loss</v>
      </c>
      <c r="AC1291" s="3">
        <f t="shared" si="248"/>
        <v>-5.7377742007798341E-2</v>
      </c>
      <c r="AD1291" s="3">
        <f t="shared" si="249"/>
        <v>680.27250000000004</v>
      </c>
      <c r="AE1291" s="3">
        <f t="shared" si="250"/>
        <v>-39.032499999999999</v>
      </c>
      <c r="AF1291" t="str">
        <f t="shared" si="251"/>
        <v>Regular</v>
      </c>
    </row>
    <row r="1292" spans="1:32" x14ac:dyDescent="0.25">
      <c r="A1292" t="s">
        <v>5540</v>
      </c>
      <c r="B1292" s="1">
        <v>45556</v>
      </c>
      <c r="C1292" s="1">
        <v>45565</v>
      </c>
      <c r="D1292" s="4">
        <f t="shared" si="240"/>
        <v>9</v>
      </c>
      <c r="E1292" s="4" t="str">
        <f>TEXT(Table1[[#This Row],[Order_Date]],"dddd")</f>
        <v>Saturday</v>
      </c>
      <c r="F1292" s="4">
        <f t="shared" si="241"/>
        <v>9</v>
      </c>
      <c r="G1292" t="str">
        <f t="shared" si="244"/>
        <v>September</v>
      </c>
      <c r="H1292">
        <f t="shared" si="245"/>
        <v>2024</v>
      </c>
      <c r="I1292" t="str">
        <f t="shared" si="246"/>
        <v>2024-Q3</v>
      </c>
      <c r="J1292" t="s">
        <v>21</v>
      </c>
      <c r="K1292" t="s">
        <v>5541</v>
      </c>
      <c r="L1292" t="s">
        <v>5542</v>
      </c>
      <c r="M1292" t="s">
        <v>36</v>
      </c>
      <c r="N1292" t="s">
        <v>25</v>
      </c>
      <c r="O1292" t="s">
        <v>511</v>
      </c>
      <c r="P1292" t="s">
        <v>120</v>
      </c>
      <c r="Q1292" t="s">
        <v>66</v>
      </c>
      <c r="R1292" t="s">
        <v>5543</v>
      </c>
      <c r="S1292" t="s">
        <v>30</v>
      </c>
      <c r="T1292" t="s">
        <v>82</v>
      </c>
      <c r="U1292" t="s">
        <v>5544</v>
      </c>
      <c r="V1292" s="3">
        <v>4175.62</v>
      </c>
      <c r="W1292" s="4">
        <v>4</v>
      </c>
      <c r="X1292" s="2">
        <v>0.3</v>
      </c>
      <c r="Y1292" s="3">
        <v>569.04</v>
      </c>
      <c r="Z1292" t="str">
        <f t="shared" si="242"/>
        <v>Normal</v>
      </c>
      <c r="AA1292" t="str">
        <f t="shared" si="243"/>
        <v>High</v>
      </c>
      <c r="AB1292" t="str">
        <f t="shared" si="247"/>
        <v>High Profit</v>
      </c>
      <c r="AC1292" s="3">
        <f t="shared" si="248"/>
        <v>0.1362767684798904</v>
      </c>
      <c r="AD1292" s="3">
        <f t="shared" si="249"/>
        <v>1043.905</v>
      </c>
      <c r="AE1292" s="3">
        <f t="shared" si="250"/>
        <v>142.26</v>
      </c>
      <c r="AF1292" t="str">
        <f t="shared" si="251"/>
        <v>Regular</v>
      </c>
    </row>
    <row r="1293" spans="1:32" x14ac:dyDescent="0.25">
      <c r="A1293" t="s">
        <v>5253</v>
      </c>
      <c r="B1293" s="1">
        <v>45556</v>
      </c>
      <c r="C1293" s="1">
        <v>45566</v>
      </c>
      <c r="D1293" s="4">
        <f t="shared" si="240"/>
        <v>10</v>
      </c>
      <c r="E1293" s="4" t="str">
        <f>TEXT(Table1[[#This Row],[Order_Date]],"dddd")</f>
        <v>Saturday</v>
      </c>
      <c r="F1293" s="4">
        <f t="shared" si="241"/>
        <v>9</v>
      </c>
      <c r="G1293" t="str">
        <f t="shared" si="244"/>
        <v>September</v>
      </c>
      <c r="H1293">
        <f t="shared" si="245"/>
        <v>2024</v>
      </c>
      <c r="I1293" t="str">
        <f t="shared" si="246"/>
        <v>2024-Q3</v>
      </c>
      <c r="J1293" t="s">
        <v>21</v>
      </c>
      <c r="K1293" t="s">
        <v>5254</v>
      </c>
      <c r="L1293" t="s">
        <v>5255</v>
      </c>
      <c r="M1293" t="s">
        <v>24</v>
      </c>
      <c r="N1293" t="s">
        <v>25</v>
      </c>
      <c r="O1293" t="s">
        <v>80</v>
      </c>
      <c r="P1293" t="s">
        <v>49</v>
      </c>
      <c r="Q1293" t="s">
        <v>28</v>
      </c>
      <c r="R1293" t="s">
        <v>5256</v>
      </c>
      <c r="S1293" t="s">
        <v>30</v>
      </c>
      <c r="T1293" t="s">
        <v>41</v>
      </c>
      <c r="U1293" t="s">
        <v>5257</v>
      </c>
      <c r="V1293" s="3">
        <v>316.56</v>
      </c>
      <c r="W1293" s="4">
        <v>4</v>
      </c>
      <c r="X1293" s="2">
        <v>0</v>
      </c>
      <c r="Y1293" s="3">
        <v>-8.14</v>
      </c>
      <c r="Z1293" t="str">
        <f t="shared" si="242"/>
        <v>Normal</v>
      </c>
      <c r="AA1293" t="str">
        <f t="shared" si="243"/>
        <v>Low</v>
      </c>
      <c r="AB1293" t="str">
        <f t="shared" si="247"/>
        <v>Loss</v>
      </c>
      <c r="AC1293" s="3">
        <f t="shared" si="248"/>
        <v>-2.5713924690422038E-2</v>
      </c>
      <c r="AD1293" s="3">
        <f t="shared" si="249"/>
        <v>79.14</v>
      </c>
      <c r="AE1293" s="3">
        <f t="shared" si="250"/>
        <v>-2.0350000000000001</v>
      </c>
      <c r="AF1293" t="str">
        <f t="shared" si="251"/>
        <v>Regular</v>
      </c>
    </row>
    <row r="1294" spans="1:32" x14ac:dyDescent="0.25">
      <c r="A1294" t="s">
        <v>538</v>
      </c>
      <c r="B1294" s="1">
        <v>45556</v>
      </c>
      <c r="C1294" s="1">
        <f>B1294+5</f>
        <v>45561</v>
      </c>
      <c r="D1294" s="4">
        <f t="shared" si="240"/>
        <v>5</v>
      </c>
      <c r="E1294" s="4" t="str">
        <f>TEXT(Table1[[#This Row],[Order_Date]],"dddd")</f>
        <v>Saturday</v>
      </c>
      <c r="F1294" s="4">
        <f t="shared" si="241"/>
        <v>9</v>
      </c>
      <c r="G1294" t="str">
        <f t="shared" si="244"/>
        <v>September</v>
      </c>
      <c r="H1294">
        <f t="shared" si="245"/>
        <v>2024</v>
      </c>
      <c r="I1294" t="str">
        <f t="shared" si="246"/>
        <v>2024-Q3</v>
      </c>
      <c r="J1294" t="s">
        <v>21</v>
      </c>
      <c r="K1294" t="s">
        <v>539</v>
      </c>
      <c r="L1294" t="s">
        <v>540</v>
      </c>
      <c r="M1294" t="s">
        <v>24</v>
      </c>
      <c r="N1294" t="s">
        <v>25</v>
      </c>
      <c r="O1294" t="s">
        <v>149</v>
      </c>
      <c r="P1294" t="s">
        <v>113</v>
      </c>
      <c r="Q1294" t="s">
        <v>66</v>
      </c>
      <c r="R1294" t="s">
        <v>541</v>
      </c>
      <c r="S1294" t="s">
        <v>51</v>
      </c>
      <c r="T1294" t="s">
        <v>52</v>
      </c>
      <c r="U1294" t="s">
        <v>542</v>
      </c>
      <c r="V1294" s="3">
        <v>2620.77</v>
      </c>
      <c r="W1294" s="4">
        <v>2</v>
      </c>
      <c r="X1294" s="2">
        <v>0</v>
      </c>
      <c r="Y1294" s="3">
        <v>570.27</v>
      </c>
      <c r="Z1294" t="str">
        <f t="shared" si="242"/>
        <v>Normal</v>
      </c>
      <c r="AA1294" t="str">
        <f t="shared" si="243"/>
        <v>Low</v>
      </c>
      <c r="AB1294" t="str">
        <f t="shared" si="247"/>
        <v>High Profit</v>
      </c>
      <c r="AC1294" s="3">
        <f t="shared" si="248"/>
        <v>0.2175963552696345</v>
      </c>
      <c r="AD1294" s="3">
        <f t="shared" si="249"/>
        <v>1310.385</v>
      </c>
      <c r="AE1294" s="3">
        <f t="shared" si="250"/>
        <v>285.13499999999999</v>
      </c>
      <c r="AF1294" t="str">
        <f t="shared" si="251"/>
        <v>Regular</v>
      </c>
    </row>
    <row r="1295" spans="1:32" x14ac:dyDescent="0.25">
      <c r="A1295" t="s">
        <v>1342</v>
      </c>
      <c r="B1295" s="1">
        <v>45557</v>
      </c>
      <c r="C1295" s="1">
        <v>45561</v>
      </c>
      <c r="D1295" s="4">
        <f t="shared" si="240"/>
        <v>4</v>
      </c>
      <c r="E1295" s="4" t="str">
        <f>TEXT(Table1[[#This Row],[Order_Date]],"dddd")</f>
        <v>Sunday</v>
      </c>
      <c r="F1295" s="4">
        <f t="shared" si="241"/>
        <v>9</v>
      </c>
      <c r="G1295" t="str">
        <f t="shared" si="244"/>
        <v>September</v>
      </c>
      <c r="H1295">
        <f t="shared" si="245"/>
        <v>2024</v>
      </c>
      <c r="I1295" t="str">
        <f t="shared" si="246"/>
        <v>2024-Q3</v>
      </c>
      <c r="J1295" t="s">
        <v>44</v>
      </c>
      <c r="K1295" t="s">
        <v>1343</v>
      </c>
      <c r="L1295" t="s">
        <v>1344</v>
      </c>
      <c r="M1295" t="s">
        <v>24</v>
      </c>
      <c r="N1295" t="s">
        <v>25</v>
      </c>
      <c r="O1295" t="s">
        <v>149</v>
      </c>
      <c r="P1295" t="s">
        <v>113</v>
      </c>
      <c r="Q1295" t="s">
        <v>39</v>
      </c>
      <c r="R1295" t="s">
        <v>1345</v>
      </c>
      <c r="S1295" t="s">
        <v>30</v>
      </c>
      <c r="T1295" t="s">
        <v>41</v>
      </c>
      <c r="U1295" t="s">
        <v>1346</v>
      </c>
      <c r="V1295" s="3">
        <v>3496.24</v>
      </c>
      <c r="W1295" s="4">
        <v>1</v>
      </c>
      <c r="X1295" s="2">
        <v>0.1</v>
      </c>
      <c r="Y1295" s="3">
        <v>848.79</v>
      </c>
      <c r="Z1295" t="str">
        <f t="shared" si="242"/>
        <v>Normal</v>
      </c>
      <c r="AA1295" t="str">
        <f t="shared" si="243"/>
        <v>Medium</v>
      </c>
      <c r="AB1295" t="str">
        <f t="shared" si="247"/>
        <v>High Profit</v>
      </c>
      <c r="AC1295" s="3">
        <f t="shared" si="248"/>
        <v>0.2427722353156534</v>
      </c>
      <c r="AD1295" s="3">
        <f t="shared" si="249"/>
        <v>3496.24</v>
      </c>
      <c r="AE1295" s="3">
        <f t="shared" si="250"/>
        <v>848.79</v>
      </c>
      <c r="AF1295" t="str">
        <f t="shared" si="251"/>
        <v>Regular</v>
      </c>
    </row>
    <row r="1296" spans="1:32" x14ac:dyDescent="0.25">
      <c r="A1296" t="s">
        <v>808</v>
      </c>
      <c r="B1296" s="1">
        <v>45558</v>
      </c>
      <c r="C1296" s="1">
        <v>45567</v>
      </c>
      <c r="D1296" s="4">
        <f t="shared" si="240"/>
        <v>9</v>
      </c>
      <c r="E1296" s="4" t="str">
        <f>TEXT(Table1[[#This Row],[Order_Date]],"dddd")</f>
        <v>Monday</v>
      </c>
      <c r="F1296" s="4">
        <f t="shared" si="241"/>
        <v>9</v>
      </c>
      <c r="G1296" t="str">
        <f t="shared" si="244"/>
        <v>September</v>
      </c>
      <c r="H1296">
        <f t="shared" si="245"/>
        <v>2024</v>
      </c>
      <c r="I1296" t="str">
        <f t="shared" si="246"/>
        <v>2024-Q3</v>
      </c>
      <c r="J1296" t="s">
        <v>21</v>
      </c>
      <c r="K1296" t="s">
        <v>809</v>
      </c>
      <c r="L1296" t="s">
        <v>810</v>
      </c>
      <c r="M1296" t="s">
        <v>36</v>
      </c>
      <c r="N1296" t="s">
        <v>25</v>
      </c>
      <c r="O1296" t="s">
        <v>255</v>
      </c>
      <c r="P1296" t="s">
        <v>143</v>
      </c>
      <c r="Q1296" t="s">
        <v>87</v>
      </c>
      <c r="R1296" t="s">
        <v>811</v>
      </c>
      <c r="S1296" t="s">
        <v>59</v>
      </c>
      <c r="T1296" t="s">
        <v>101</v>
      </c>
      <c r="U1296" t="s">
        <v>812</v>
      </c>
      <c r="V1296" s="3">
        <v>325.48</v>
      </c>
      <c r="W1296" s="4">
        <v>5</v>
      </c>
      <c r="X1296" s="2">
        <v>0.1</v>
      </c>
      <c r="Y1296" s="3">
        <v>58.19</v>
      </c>
      <c r="Z1296" t="str">
        <f t="shared" si="242"/>
        <v>Normal</v>
      </c>
      <c r="AA1296" t="str">
        <f t="shared" si="243"/>
        <v>Medium</v>
      </c>
      <c r="AB1296" t="str">
        <f t="shared" si="247"/>
        <v>Low Profit</v>
      </c>
      <c r="AC1296" s="3">
        <f t="shared" si="248"/>
        <v>0.17878210642743023</v>
      </c>
      <c r="AD1296" s="3">
        <f t="shared" si="249"/>
        <v>65.096000000000004</v>
      </c>
      <c r="AE1296" s="3">
        <f t="shared" si="250"/>
        <v>11.638</v>
      </c>
      <c r="AF1296" t="str">
        <f t="shared" si="251"/>
        <v>Regular</v>
      </c>
    </row>
    <row r="1297" spans="1:32" x14ac:dyDescent="0.25">
      <c r="A1297" t="s">
        <v>654</v>
      </c>
      <c r="B1297" s="1">
        <v>45558</v>
      </c>
      <c r="C1297" s="1">
        <v>45562</v>
      </c>
      <c r="D1297" s="4">
        <f t="shared" si="240"/>
        <v>4</v>
      </c>
      <c r="E1297" s="4" t="str">
        <f>TEXT(Table1[[#This Row],[Order_Date]],"dddd")</f>
        <v>Monday</v>
      </c>
      <c r="F1297" s="4">
        <f t="shared" si="241"/>
        <v>9</v>
      </c>
      <c r="G1297" t="str">
        <f t="shared" si="244"/>
        <v>September</v>
      </c>
      <c r="H1297">
        <f t="shared" si="245"/>
        <v>2024</v>
      </c>
      <c r="I1297" t="str">
        <f t="shared" si="246"/>
        <v>2024-Q3</v>
      </c>
      <c r="J1297" t="s">
        <v>21</v>
      </c>
      <c r="K1297" t="s">
        <v>655</v>
      </c>
      <c r="L1297" t="s">
        <v>656</v>
      </c>
      <c r="M1297" t="s">
        <v>47</v>
      </c>
      <c r="N1297" t="s">
        <v>25</v>
      </c>
      <c r="O1297" t="s">
        <v>162</v>
      </c>
      <c r="P1297" t="s">
        <v>163</v>
      </c>
      <c r="Q1297" t="s">
        <v>28</v>
      </c>
      <c r="R1297" t="s">
        <v>657</v>
      </c>
      <c r="S1297" t="s">
        <v>51</v>
      </c>
      <c r="T1297" t="s">
        <v>52</v>
      </c>
      <c r="U1297" t="s">
        <v>658</v>
      </c>
      <c r="V1297" s="3">
        <v>4218.12</v>
      </c>
      <c r="W1297" s="4">
        <v>2</v>
      </c>
      <c r="X1297" s="2">
        <v>0.2</v>
      </c>
      <c r="Y1297" s="3">
        <v>149.36000000000001</v>
      </c>
      <c r="Z1297" t="str">
        <f t="shared" si="242"/>
        <v>Normal</v>
      </c>
      <c r="AA1297" t="str">
        <f t="shared" si="243"/>
        <v>High</v>
      </c>
      <c r="AB1297" t="str">
        <f t="shared" si="247"/>
        <v>Low Profit</v>
      </c>
      <c r="AC1297" s="3">
        <f t="shared" si="248"/>
        <v>3.5409139616701286E-2</v>
      </c>
      <c r="AD1297" s="3">
        <f t="shared" si="249"/>
        <v>2109.06</v>
      </c>
      <c r="AE1297" s="3">
        <f t="shared" si="250"/>
        <v>74.680000000000007</v>
      </c>
      <c r="AF1297" t="str">
        <f t="shared" si="251"/>
        <v>Regular</v>
      </c>
    </row>
    <row r="1298" spans="1:32" x14ac:dyDescent="0.25">
      <c r="A1298" t="s">
        <v>6777</v>
      </c>
      <c r="B1298" s="1">
        <v>45558</v>
      </c>
      <c r="C1298" s="1">
        <v>45559</v>
      </c>
      <c r="D1298" s="4">
        <f t="shared" si="240"/>
        <v>1</v>
      </c>
      <c r="E1298" s="4" t="str">
        <f>TEXT(Table1[[#This Row],[Order_Date]],"dddd")</f>
        <v>Monday</v>
      </c>
      <c r="F1298" s="4">
        <f t="shared" si="241"/>
        <v>9</v>
      </c>
      <c r="G1298" t="str">
        <f t="shared" si="244"/>
        <v>September</v>
      </c>
      <c r="H1298">
        <f t="shared" si="245"/>
        <v>2024</v>
      </c>
      <c r="I1298" t="str">
        <f t="shared" si="246"/>
        <v>2024-Q3</v>
      </c>
      <c r="J1298" t="s">
        <v>44</v>
      </c>
      <c r="K1298" t="s">
        <v>6778</v>
      </c>
      <c r="L1298" t="s">
        <v>6779</v>
      </c>
      <c r="M1298" t="s">
        <v>47</v>
      </c>
      <c r="N1298" t="s">
        <v>25</v>
      </c>
      <c r="O1298" t="s">
        <v>244</v>
      </c>
      <c r="P1298" t="s">
        <v>163</v>
      </c>
      <c r="Q1298" t="s">
        <v>66</v>
      </c>
      <c r="R1298" t="s">
        <v>6780</v>
      </c>
      <c r="S1298" t="s">
        <v>59</v>
      </c>
      <c r="T1298" t="s">
        <v>277</v>
      </c>
      <c r="U1298" t="s">
        <v>6781</v>
      </c>
      <c r="V1298" s="3">
        <v>381.69</v>
      </c>
      <c r="W1298" s="4">
        <v>1</v>
      </c>
      <c r="X1298" s="2">
        <v>0.4</v>
      </c>
      <c r="Y1298" s="3">
        <v>17.29</v>
      </c>
      <c r="Z1298" t="str">
        <f t="shared" si="242"/>
        <v>Normal</v>
      </c>
      <c r="AA1298" t="str">
        <f t="shared" si="243"/>
        <v>High</v>
      </c>
      <c r="AB1298" t="str">
        <f t="shared" si="247"/>
        <v>Low Profit</v>
      </c>
      <c r="AC1298" s="3">
        <f t="shared" si="248"/>
        <v>4.5298540700568525E-2</v>
      </c>
      <c r="AD1298" s="3">
        <f t="shared" si="249"/>
        <v>381.69</v>
      </c>
      <c r="AE1298" s="3">
        <f t="shared" si="250"/>
        <v>17.29</v>
      </c>
      <c r="AF1298" t="str">
        <f t="shared" si="251"/>
        <v>Regular</v>
      </c>
    </row>
    <row r="1299" spans="1:32" x14ac:dyDescent="0.25">
      <c r="A1299" t="s">
        <v>1176</v>
      </c>
      <c r="B1299" s="1">
        <v>45559</v>
      </c>
      <c r="C1299" s="1">
        <v>45569</v>
      </c>
      <c r="D1299" s="4">
        <f t="shared" si="240"/>
        <v>10</v>
      </c>
      <c r="E1299" s="4" t="str">
        <f>TEXT(Table1[[#This Row],[Order_Date]],"dddd")</f>
        <v>Tuesday</v>
      </c>
      <c r="F1299" s="4">
        <f t="shared" si="241"/>
        <v>9</v>
      </c>
      <c r="G1299" t="str">
        <f t="shared" si="244"/>
        <v>September</v>
      </c>
      <c r="H1299">
        <f t="shared" si="245"/>
        <v>2024</v>
      </c>
      <c r="I1299" t="str">
        <f t="shared" si="246"/>
        <v>2024-Q3</v>
      </c>
      <c r="J1299" t="s">
        <v>44</v>
      </c>
      <c r="K1299" t="s">
        <v>1177</v>
      </c>
      <c r="L1299" t="s">
        <v>1178</v>
      </c>
      <c r="M1299" t="s">
        <v>24</v>
      </c>
      <c r="N1299" t="s">
        <v>25</v>
      </c>
      <c r="O1299" t="s">
        <v>233</v>
      </c>
      <c r="P1299" t="s">
        <v>163</v>
      </c>
      <c r="Q1299" t="s">
        <v>39</v>
      </c>
      <c r="R1299" t="s">
        <v>1179</v>
      </c>
      <c r="S1299" t="s">
        <v>51</v>
      </c>
      <c r="T1299" t="s">
        <v>94</v>
      </c>
      <c r="U1299" t="s">
        <v>1180</v>
      </c>
      <c r="V1299" s="3">
        <v>3448.2</v>
      </c>
      <c r="W1299" s="4">
        <v>8</v>
      </c>
      <c r="X1299" s="2">
        <v>0.3</v>
      </c>
      <c r="Y1299" s="3">
        <v>730.69</v>
      </c>
      <c r="Z1299" t="str">
        <f t="shared" si="242"/>
        <v>Normal</v>
      </c>
      <c r="AA1299" t="str">
        <f t="shared" si="243"/>
        <v>High</v>
      </c>
      <c r="AB1299" t="str">
        <f t="shared" si="247"/>
        <v>High Profit</v>
      </c>
      <c r="AC1299" s="3">
        <f t="shared" si="248"/>
        <v>0.21190476190476193</v>
      </c>
      <c r="AD1299" s="3">
        <f t="shared" si="249"/>
        <v>431.02499999999998</v>
      </c>
      <c r="AE1299" s="3">
        <f t="shared" si="250"/>
        <v>91.336250000000007</v>
      </c>
      <c r="AF1299" t="str">
        <f t="shared" si="251"/>
        <v>Regular</v>
      </c>
    </row>
    <row r="1300" spans="1:32" x14ac:dyDescent="0.25">
      <c r="A1300" t="s">
        <v>3278</v>
      </c>
      <c r="B1300" s="1">
        <v>45559</v>
      </c>
      <c r="C1300" s="1">
        <v>45561</v>
      </c>
      <c r="D1300" s="4">
        <f t="shared" si="240"/>
        <v>2</v>
      </c>
      <c r="E1300" s="4" t="str">
        <f>TEXT(Table1[[#This Row],[Order_Date]],"dddd")</f>
        <v>Tuesday</v>
      </c>
      <c r="F1300" s="4">
        <f t="shared" si="241"/>
        <v>9</v>
      </c>
      <c r="G1300" t="str">
        <f t="shared" si="244"/>
        <v>September</v>
      </c>
      <c r="H1300">
        <f t="shared" si="245"/>
        <v>2024</v>
      </c>
      <c r="I1300" t="str">
        <f t="shared" si="246"/>
        <v>2024-Q3</v>
      </c>
      <c r="J1300" t="s">
        <v>44</v>
      </c>
      <c r="K1300" t="s">
        <v>3279</v>
      </c>
      <c r="L1300" t="s">
        <v>3280</v>
      </c>
      <c r="M1300" t="s">
        <v>36</v>
      </c>
      <c r="N1300" t="s">
        <v>25</v>
      </c>
      <c r="O1300" t="s">
        <v>142</v>
      </c>
      <c r="P1300" t="s">
        <v>143</v>
      </c>
      <c r="Q1300" t="s">
        <v>39</v>
      </c>
      <c r="R1300" t="s">
        <v>3281</v>
      </c>
      <c r="S1300" t="s">
        <v>30</v>
      </c>
      <c r="T1300" t="s">
        <v>82</v>
      </c>
      <c r="U1300" t="s">
        <v>3282</v>
      </c>
      <c r="V1300" s="3">
        <v>1187.73</v>
      </c>
      <c r="W1300" s="4">
        <v>1</v>
      </c>
      <c r="X1300" s="2">
        <v>0</v>
      </c>
      <c r="Y1300" s="3">
        <v>260.45</v>
      </c>
      <c r="Z1300" t="str">
        <f t="shared" si="242"/>
        <v>Normal</v>
      </c>
      <c r="AA1300" t="str">
        <f t="shared" si="243"/>
        <v>Low</v>
      </c>
      <c r="AB1300" t="str">
        <f t="shared" si="247"/>
        <v>Low Profit</v>
      </c>
      <c r="AC1300" s="3">
        <f t="shared" si="248"/>
        <v>0.21928384397127293</v>
      </c>
      <c r="AD1300" s="3">
        <f t="shared" si="249"/>
        <v>1187.73</v>
      </c>
      <c r="AE1300" s="3">
        <f t="shared" si="250"/>
        <v>260.45</v>
      </c>
      <c r="AF1300" t="str">
        <f t="shared" si="251"/>
        <v>Regular</v>
      </c>
    </row>
    <row r="1301" spans="1:32" x14ac:dyDescent="0.25">
      <c r="A1301" t="s">
        <v>1683</v>
      </c>
      <c r="B1301" s="1">
        <v>45559</v>
      </c>
      <c r="C1301" s="1">
        <v>45567</v>
      </c>
      <c r="D1301" s="4">
        <f t="shared" si="240"/>
        <v>8</v>
      </c>
      <c r="E1301" s="4" t="str">
        <f>TEXT(Table1[[#This Row],[Order_Date]],"dddd")</f>
        <v>Tuesday</v>
      </c>
      <c r="F1301" s="4">
        <f t="shared" si="241"/>
        <v>9</v>
      </c>
      <c r="G1301" t="str">
        <f t="shared" si="244"/>
        <v>September</v>
      </c>
      <c r="H1301">
        <f t="shared" si="245"/>
        <v>2024</v>
      </c>
      <c r="I1301" t="str">
        <f t="shared" si="246"/>
        <v>2024-Q3</v>
      </c>
      <c r="J1301" t="s">
        <v>104</v>
      </c>
      <c r="K1301" t="s">
        <v>1684</v>
      </c>
      <c r="L1301" t="s">
        <v>1685</v>
      </c>
      <c r="M1301" t="s">
        <v>36</v>
      </c>
      <c r="N1301" t="s">
        <v>25</v>
      </c>
      <c r="O1301" t="s">
        <v>80</v>
      </c>
      <c r="P1301" t="s">
        <v>49</v>
      </c>
      <c r="Q1301" t="s">
        <v>66</v>
      </c>
      <c r="R1301" t="s">
        <v>1686</v>
      </c>
      <c r="S1301" t="s">
        <v>51</v>
      </c>
      <c r="T1301" t="s">
        <v>127</v>
      </c>
      <c r="U1301" t="s">
        <v>1687</v>
      </c>
      <c r="V1301" s="3">
        <v>4670.9399999999996</v>
      </c>
      <c r="W1301" s="4">
        <v>3</v>
      </c>
      <c r="X1301" s="2">
        <v>0</v>
      </c>
      <c r="Y1301" s="3">
        <v>-279.98</v>
      </c>
      <c r="Z1301" t="str">
        <f t="shared" si="242"/>
        <v>Normal</v>
      </c>
      <c r="AA1301" t="str">
        <f t="shared" si="243"/>
        <v>Low</v>
      </c>
      <c r="AB1301" t="str">
        <f t="shared" si="247"/>
        <v>Loss</v>
      </c>
      <c r="AC1301" s="3">
        <f t="shared" si="248"/>
        <v>-5.9940825615400761E-2</v>
      </c>
      <c r="AD1301" s="3">
        <f t="shared" si="249"/>
        <v>1556.9799999999998</v>
      </c>
      <c r="AE1301" s="3">
        <f t="shared" si="250"/>
        <v>-93.326666666666668</v>
      </c>
      <c r="AF1301" t="str">
        <f t="shared" si="251"/>
        <v>Regular</v>
      </c>
    </row>
    <row r="1302" spans="1:32" x14ac:dyDescent="0.25">
      <c r="A1302" t="s">
        <v>2080</v>
      </c>
      <c r="B1302" s="1">
        <v>45560</v>
      </c>
      <c r="C1302" s="1">
        <v>45570</v>
      </c>
      <c r="D1302" s="4">
        <f t="shared" si="240"/>
        <v>10</v>
      </c>
      <c r="E1302" s="4" t="str">
        <f>TEXT(Table1[[#This Row],[Order_Date]],"dddd")</f>
        <v>Wednesday</v>
      </c>
      <c r="F1302" s="4">
        <f t="shared" si="241"/>
        <v>9</v>
      </c>
      <c r="G1302" t="str">
        <f t="shared" si="244"/>
        <v>September</v>
      </c>
      <c r="H1302">
        <f t="shared" si="245"/>
        <v>2024</v>
      </c>
      <c r="I1302" t="str">
        <f t="shared" si="246"/>
        <v>2024-Q3</v>
      </c>
      <c r="J1302" t="s">
        <v>104</v>
      </c>
      <c r="K1302" t="s">
        <v>2081</v>
      </c>
      <c r="L1302" t="s">
        <v>2082</v>
      </c>
      <c r="M1302" t="s">
        <v>47</v>
      </c>
      <c r="N1302" t="s">
        <v>25</v>
      </c>
      <c r="O1302" t="s">
        <v>511</v>
      </c>
      <c r="P1302" t="s">
        <v>120</v>
      </c>
      <c r="Q1302" t="s">
        <v>87</v>
      </c>
      <c r="R1302" t="s">
        <v>2083</v>
      </c>
      <c r="S1302" t="s">
        <v>51</v>
      </c>
      <c r="T1302" t="s">
        <v>127</v>
      </c>
      <c r="U1302" t="s">
        <v>2084</v>
      </c>
      <c r="V1302" s="3">
        <v>4173.2700000000004</v>
      </c>
      <c r="W1302" s="4">
        <v>1</v>
      </c>
      <c r="X1302" s="2">
        <v>0.2</v>
      </c>
      <c r="Y1302" s="3">
        <v>603.03</v>
      </c>
      <c r="Z1302" t="str">
        <f t="shared" si="242"/>
        <v>Normal</v>
      </c>
      <c r="AA1302" t="str">
        <f t="shared" si="243"/>
        <v>High</v>
      </c>
      <c r="AB1302" t="str">
        <f t="shared" si="247"/>
        <v>High Profit</v>
      </c>
      <c r="AC1302" s="3">
        <f t="shared" si="248"/>
        <v>0.14449819925382251</v>
      </c>
      <c r="AD1302" s="3">
        <f t="shared" si="249"/>
        <v>4173.2700000000004</v>
      </c>
      <c r="AE1302" s="3">
        <f t="shared" si="250"/>
        <v>603.03</v>
      </c>
      <c r="AF1302" t="str">
        <f t="shared" si="251"/>
        <v>Regular</v>
      </c>
    </row>
    <row r="1303" spans="1:32" x14ac:dyDescent="0.25">
      <c r="A1303" t="s">
        <v>3337</v>
      </c>
      <c r="B1303" s="1">
        <v>45560</v>
      </c>
      <c r="C1303" s="1">
        <v>45569</v>
      </c>
      <c r="D1303" s="4">
        <f t="shared" si="240"/>
        <v>9</v>
      </c>
      <c r="E1303" s="4" t="str">
        <f>TEXT(Table1[[#This Row],[Order_Date]],"dddd")</f>
        <v>Wednesday</v>
      </c>
      <c r="F1303" s="4">
        <f t="shared" si="241"/>
        <v>9</v>
      </c>
      <c r="G1303" t="str">
        <f t="shared" si="244"/>
        <v>September</v>
      </c>
      <c r="H1303">
        <f t="shared" si="245"/>
        <v>2024</v>
      </c>
      <c r="I1303" t="str">
        <f t="shared" si="246"/>
        <v>2024-Q3</v>
      </c>
      <c r="J1303" t="s">
        <v>104</v>
      </c>
      <c r="K1303" t="s">
        <v>3338</v>
      </c>
      <c r="L1303" t="s">
        <v>3339</v>
      </c>
      <c r="M1303" t="s">
        <v>24</v>
      </c>
      <c r="N1303" t="s">
        <v>25</v>
      </c>
      <c r="O1303" t="s">
        <v>511</v>
      </c>
      <c r="P1303" t="s">
        <v>120</v>
      </c>
      <c r="Q1303" t="s">
        <v>39</v>
      </c>
      <c r="R1303" t="s">
        <v>3340</v>
      </c>
      <c r="S1303" t="s">
        <v>30</v>
      </c>
      <c r="T1303" t="s">
        <v>31</v>
      </c>
      <c r="U1303" t="s">
        <v>3341</v>
      </c>
      <c r="V1303" s="3">
        <v>818.83</v>
      </c>
      <c r="W1303" s="4">
        <v>6</v>
      </c>
      <c r="X1303" s="2">
        <v>0.1</v>
      </c>
      <c r="Y1303" s="3">
        <v>109.2</v>
      </c>
      <c r="Z1303" t="str">
        <f t="shared" si="242"/>
        <v>Normal</v>
      </c>
      <c r="AA1303" t="str">
        <f t="shared" si="243"/>
        <v>Medium</v>
      </c>
      <c r="AB1303" t="str">
        <f t="shared" si="247"/>
        <v>Low Profit</v>
      </c>
      <c r="AC1303" s="3">
        <f t="shared" si="248"/>
        <v>0.13336101510692086</v>
      </c>
      <c r="AD1303" s="3">
        <f t="shared" si="249"/>
        <v>136.47166666666666</v>
      </c>
      <c r="AE1303" s="3">
        <f t="shared" si="250"/>
        <v>18.2</v>
      </c>
      <c r="AF1303" t="str">
        <f t="shared" si="251"/>
        <v>Regular</v>
      </c>
    </row>
    <row r="1304" spans="1:32" x14ac:dyDescent="0.25">
      <c r="A1304" t="s">
        <v>2025</v>
      </c>
      <c r="B1304" s="1">
        <v>45560</v>
      </c>
      <c r="C1304" s="1">
        <v>45563</v>
      </c>
      <c r="D1304" s="4">
        <f t="shared" si="240"/>
        <v>3</v>
      </c>
      <c r="E1304" s="4" t="str">
        <f>TEXT(Table1[[#This Row],[Order_Date]],"dddd")</f>
        <v>Wednesday</v>
      </c>
      <c r="F1304" s="4">
        <f t="shared" si="241"/>
        <v>9</v>
      </c>
      <c r="G1304" t="str">
        <f t="shared" si="244"/>
        <v>September</v>
      </c>
      <c r="H1304">
        <f t="shared" si="245"/>
        <v>2024</v>
      </c>
      <c r="I1304" t="str">
        <f t="shared" si="246"/>
        <v>2024-Q3</v>
      </c>
      <c r="J1304" t="s">
        <v>104</v>
      </c>
      <c r="K1304" t="s">
        <v>2026</v>
      </c>
      <c r="L1304" t="s">
        <v>2027</v>
      </c>
      <c r="M1304" t="s">
        <v>47</v>
      </c>
      <c r="N1304" t="s">
        <v>25</v>
      </c>
      <c r="O1304" t="s">
        <v>26</v>
      </c>
      <c r="P1304" t="s">
        <v>27</v>
      </c>
      <c r="Q1304" t="s">
        <v>66</v>
      </c>
      <c r="R1304" t="s">
        <v>2028</v>
      </c>
      <c r="S1304" t="s">
        <v>59</v>
      </c>
      <c r="T1304" t="s">
        <v>60</v>
      </c>
      <c r="U1304" t="s">
        <v>2029</v>
      </c>
      <c r="V1304" s="3">
        <v>4020.17</v>
      </c>
      <c r="W1304" s="4">
        <v>4</v>
      </c>
      <c r="X1304" s="2">
        <v>0</v>
      </c>
      <c r="Y1304" s="3">
        <v>-146.5</v>
      </c>
      <c r="Z1304" t="str">
        <f t="shared" si="242"/>
        <v>Normal</v>
      </c>
      <c r="AA1304" t="str">
        <f t="shared" si="243"/>
        <v>Low</v>
      </c>
      <c r="AB1304" t="str">
        <f t="shared" si="247"/>
        <v>Loss</v>
      </c>
      <c r="AC1304" s="3">
        <f t="shared" si="248"/>
        <v>-3.6441245021976681E-2</v>
      </c>
      <c r="AD1304" s="3">
        <f t="shared" si="249"/>
        <v>1005.0425</v>
      </c>
      <c r="AE1304" s="3">
        <f t="shared" si="250"/>
        <v>-36.625</v>
      </c>
      <c r="AF1304" t="str">
        <f t="shared" si="251"/>
        <v>Regular</v>
      </c>
    </row>
    <row r="1305" spans="1:32" x14ac:dyDescent="0.25">
      <c r="A1305" t="s">
        <v>3000</v>
      </c>
      <c r="B1305" s="1">
        <v>45560</v>
      </c>
      <c r="C1305" s="1">
        <v>45567</v>
      </c>
      <c r="D1305" s="4">
        <f t="shared" si="240"/>
        <v>7</v>
      </c>
      <c r="E1305" s="4" t="str">
        <f>TEXT(Table1[[#This Row],[Order_Date]],"dddd")</f>
        <v>Wednesday</v>
      </c>
      <c r="F1305" s="4">
        <f t="shared" si="241"/>
        <v>9</v>
      </c>
      <c r="G1305" t="str">
        <f t="shared" si="244"/>
        <v>September</v>
      </c>
      <c r="H1305">
        <f t="shared" si="245"/>
        <v>2024</v>
      </c>
      <c r="I1305" t="str">
        <f t="shared" si="246"/>
        <v>2024-Q3</v>
      </c>
      <c r="J1305" t="s">
        <v>55</v>
      </c>
      <c r="K1305" t="s">
        <v>3001</v>
      </c>
      <c r="L1305" t="s">
        <v>3002</v>
      </c>
      <c r="M1305" t="s">
        <v>24</v>
      </c>
      <c r="N1305" t="s">
        <v>25</v>
      </c>
      <c r="O1305" t="s">
        <v>37</v>
      </c>
      <c r="P1305" t="s">
        <v>38</v>
      </c>
      <c r="Q1305" t="s">
        <v>39</v>
      </c>
      <c r="R1305" t="s">
        <v>3003</v>
      </c>
      <c r="S1305" t="s">
        <v>51</v>
      </c>
      <c r="T1305" t="s">
        <v>151</v>
      </c>
      <c r="U1305" t="s">
        <v>3004</v>
      </c>
      <c r="V1305" s="3">
        <v>1470.6</v>
      </c>
      <c r="W1305" s="4">
        <v>3</v>
      </c>
      <c r="X1305" s="2">
        <v>0.3</v>
      </c>
      <c r="Y1305" s="3">
        <v>421.86</v>
      </c>
      <c r="Z1305" t="str">
        <f t="shared" si="242"/>
        <v>Normal</v>
      </c>
      <c r="AA1305" t="str">
        <f t="shared" si="243"/>
        <v>High</v>
      </c>
      <c r="AB1305" t="str">
        <f t="shared" si="247"/>
        <v>Low Profit</v>
      </c>
      <c r="AC1305" s="3">
        <f t="shared" si="248"/>
        <v>0.28686250509995925</v>
      </c>
      <c r="AD1305" s="3">
        <f t="shared" si="249"/>
        <v>490.2</v>
      </c>
      <c r="AE1305" s="3">
        <f t="shared" si="250"/>
        <v>140.62</v>
      </c>
      <c r="AF1305" t="str">
        <f t="shared" si="251"/>
        <v>Regular</v>
      </c>
    </row>
    <row r="1306" spans="1:32" x14ac:dyDescent="0.25">
      <c r="A1306" t="s">
        <v>6644</v>
      </c>
      <c r="B1306" s="1">
        <v>45560</v>
      </c>
      <c r="C1306" s="1">
        <v>45564</v>
      </c>
      <c r="D1306" s="4">
        <f t="shared" si="240"/>
        <v>4</v>
      </c>
      <c r="E1306" s="4" t="str">
        <f>TEXT(Table1[[#This Row],[Order_Date]],"dddd")</f>
        <v>Wednesday</v>
      </c>
      <c r="F1306" s="4">
        <f t="shared" si="241"/>
        <v>9</v>
      </c>
      <c r="G1306" t="str">
        <f t="shared" si="244"/>
        <v>September</v>
      </c>
      <c r="H1306">
        <f t="shared" si="245"/>
        <v>2024</v>
      </c>
      <c r="I1306" t="str">
        <f t="shared" si="246"/>
        <v>2024-Q3</v>
      </c>
      <c r="J1306" t="s">
        <v>21</v>
      </c>
      <c r="K1306" t="s">
        <v>6645</v>
      </c>
      <c r="L1306" t="s">
        <v>6646</v>
      </c>
      <c r="M1306" t="s">
        <v>47</v>
      </c>
      <c r="N1306" t="s">
        <v>25</v>
      </c>
      <c r="O1306" t="s">
        <v>48</v>
      </c>
      <c r="P1306" t="s">
        <v>49</v>
      </c>
      <c r="Q1306" t="s">
        <v>66</v>
      </c>
      <c r="R1306" t="s">
        <v>6647</v>
      </c>
      <c r="S1306" t="s">
        <v>51</v>
      </c>
      <c r="T1306" t="s">
        <v>127</v>
      </c>
      <c r="U1306" t="s">
        <v>6648</v>
      </c>
      <c r="V1306" s="3">
        <v>885.5</v>
      </c>
      <c r="W1306" s="4">
        <v>7</v>
      </c>
      <c r="X1306" s="2">
        <v>0.4</v>
      </c>
      <c r="Y1306" s="3">
        <v>252.27</v>
      </c>
      <c r="Z1306" t="str">
        <f t="shared" si="242"/>
        <v>Normal</v>
      </c>
      <c r="AA1306" t="str">
        <f t="shared" si="243"/>
        <v>High</v>
      </c>
      <c r="AB1306" t="str">
        <f t="shared" si="247"/>
        <v>Low Profit</v>
      </c>
      <c r="AC1306" s="3">
        <f t="shared" si="248"/>
        <v>0.2848898927159797</v>
      </c>
      <c r="AD1306" s="3">
        <f t="shared" si="249"/>
        <v>126.5</v>
      </c>
      <c r="AE1306" s="3">
        <f t="shared" si="250"/>
        <v>36.03857142857143</v>
      </c>
      <c r="AF1306" t="str">
        <f t="shared" si="251"/>
        <v>Regular</v>
      </c>
    </row>
    <row r="1307" spans="1:32" x14ac:dyDescent="0.25">
      <c r="A1307" t="s">
        <v>5332</v>
      </c>
      <c r="B1307" s="1">
        <v>45561</v>
      </c>
      <c r="C1307" s="1">
        <v>45562</v>
      </c>
      <c r="D1307" s="4">
        <f t="shared" si="240"/>
        <v>1</v>
      </c>
      <c r="E1307" s="4" t="str">
        <f>TEXT(Table1[[#This Row],[Order_Date]],"dddd")</f>
        <v>Thursday</v>
      </c>
      <c r="F1307" s="4">
        <f t="shared" si="241"/>
        <v>9</v>
      </c>
      <c r="G1307" t="str">
        <f t="shared" si="244"/>
        <v>September</v>
      </c>
      <c r="H1307">
        <f t="shared" si="245"/>
        <v>2024</v>
      </c>
      <c r="I1307" t="str">
        <f t="shared" si="246"/>
        <v>2024-Q3</v>
      </c>
      <c r="J1307" t="s">
        <v>104</v>
      </c>
      <c r="K1307" t="s">
        <v>5333</v>
      </c>
      <c r="L1307" t="s">
        <v>5334</v>
      </c>
      <c r="M1307" t="s">
        <v>47</v>
      </c>
      <c r="N1307" t="s">
        <v>25</v>
      </c>
      <c r="O1307" t="s">
        <v>37</v>
      </c>
      <c r="P1307" t="s">
        <v>38</v>
      </c>
      <c r="Q1307" t="s">
        <v>39</v>
      </c>
      <c r="R1307" t="s">
        <v>5335</v>
      </c>
      <c r="S1307" t="s">
        <v>59</v>
      </c>
      <c r="T1307" t="s">
        <v>60</v>
      </c>
      <c r="U1307" t="s">
        <v>5336</v>
      </c>
      <c r="V1307" s="3">
        <v>2638.37</v>
      </c>
      <c r="W1307" s="4">
        <v>4</v>
      </c>
      <c r="X1307" s="2">
        <v>0.2</v>
      </c>
      <c r="Y1307" s="3">
        <v>394.46</v>
      </c>
      <c r="Z1307" t="str">
        <f t="shared" si="242"/>
        <v>Normal</v>
      </c>
      <c r="AA1307" t="str">
        <f t="shared" si="243"/>
        <v>High</v>
      </c>
      <c r="AB1307" t="str">
        <f t="shared" si="247"/>
        <v>Low Profit</v>
      </c>
      <c r="AC1307" s="3">
        <f t="shared" si="248"/>
        <v>0.149508977133609</v>
      </c>
      <c r="AD1307" s="3">
        <f t="shared" si="249"/>
        <v>659.59249999999997</v>
      </c>
      <c r="AE1307" s="3">
        <f t="shared" si="250"/>
        <v>98.614999999999995</v>
      </c>
      <c r="AF1307" t="str">
        <f t="shared" si="251"/>
        <v>Regular</v>
      </c>
    </row>
    <row r="1308" spans="1:32" x14ac:dyDescent="0.25">
      <c r="A1308" t="s">
        <v>484</v>
      </c>
      <c r="B1308" s="1">
        <v>45562</v>
      </c>
      <c r="C1308" s="1">
        <v>45571</v>
      </c>
      <c r="D1308" s="4">
        <f t="shared" si="240"/>
        <v>9</v>
      </c>
      <c r="E1308" s="4" t="str">
        <f>TEXT(Table1[[#This Row],[Order_Date]],"dddd")</f>
        <v>Friday</v>
      </c>
      <c r="F1308" s="4">
        <f t="shared" si="241"/>
        <v>9</v>
      </c>
      <c r="G1308" t="str">
        <f t="shared" si="244"/>
        <v>September</v>
      </c>
      <c r="H1308">
        <f t="shared" si="245"/>
        <v>2024</v>
      </c>
      <c r="I1308" t="str">
        <f t="shared" si="246"/>
        <v>2024-Q3</v>
      </c>
      <c r="J1308" t="s">
        <v>21</v>
      </c>
      <c r="K1308" t="s">
        <v>485</v>
      </c>
      <c r="L1308" t="s">
        <v>486</v>
      </c>
      <c r="M1308" t="s">
        <v>36</v>
      </c>
      <c r="N1308" t="s">
        <v>25</v>
      </c>
      <c r="O1308" t="s">
        <v>80</v>
      </c>
      <c r="P1308" t="s">
        <v>49</v>
      </c>
      <c r="Q1308" t="s">
        <v>87</v>
      </c>
      <c r="R1308" t="s">
        <v>487</v>
      </c>
      <c r="S1308" t="s">
        <v>30</v>
      </c>
      <c r="T1308" t="s">
        <v>31</v>
      </c>
      <c r="U1308" t="s">
        <v>488</v>
      </c>
      <c r="V1308" s="3">
        <v>486.81</v>
      </c>
      <c r="W1308" s="4">
        <v>8</v>
      </c>
      <c r="X1308" s="2">
        <v>0.4</v>
      </c>
      <c r="Y1308" s="3">
        <v>-84.26</v>
      </c>
      <c r="Z1308" t="str">
        <f t="shared" si="242"/>
        <v>Normal</v>
      </c>
      <c r="AA1308" t="str">
        <f t="shared" si="243"/>
        <v>High</v>
      </c>
      <c r="AB1308" t="str">
        <f t="shared" si="247"/>
        <v>Loss</v>
      </c>
      <c r="AC1308" s="3">
        <f t="shared" si="248"/>
        <v>-0.17308600891518253</v>
      </c>
      <c r="AD1308" s="3">
        <f t="shared" si="249"/>
        <v>60.85125</v>
      </c>
      <c r="AE1308" s="3">
        <f t="shared" si="250"/>
        <v>-10.532500000000001</v>
      </c>
      <c r="AF1308" t="str">
        <f t="shared" si="251"/>
        <v>Regular</v>
      </c>
    </row>
    <row r="1309" spans="1:32" x14ac:dyDescent="0.25">
      <c r="A1309" t="s">
        <v>3553</v>
      </c>
      <c r="B1309" s="1">
        <v>45563</v>
      </c>
      <c r="C1309" s="1">
        <v>45572</v>
      </c>
      <c r="D1309" s="4">
        <f t="shared" si="240"/>
        <v>9</v>
      </c>
      <c r="E1309" s="4" t="str">
        <f>TEXT(Table1[[#This Row],[Order_Date]],"dddd")</f>
        <v>Saturday</v>
      </c>
      <c r="F1309" s="4">
        <f t="shared" si="241"/>
        <v>9</v>
      </c>
      <c r="G1309" t="str">
        <f t="shared" si="244"/>
        <v>September</v>
      </c>
      <c r="H1309">
        <f t="shared" si="245"/>
        <v>2024</v>
      </c>
      <c r="I1309" t="str">
        <f t="shared" si="246"/>
        <v>2024-Q3</v>
      </c>
      <c r="J1309" t="s">
        <v>55</v>
      </c>
      <c r="K1309" t="s">
        <v>3554</v>
      </c>
      <c r="L1309" t="s">
        <v>3555</v>
      </c>
      <c r="M1309" t="s">
        <v>24</v>
      </c>
      <c r="N1309" t="s">
        <v>25</v>
      </c>
      <c r="O1309" t="s">
        <v>142</v>
      </c>
      <c r="P1309" t="s">
        <v>143</v>
      </c>
      <c r="Q1309" t="s">
        <v>66</v>
      </c>
      <c r="R1309" t="s">
        <v>3556</v>
      </c>
      <c r="S1309" t="s">
        <v>30</v>
      </c>
      <c r="T1309" t="s">
        <v>68</v>
      </c>
      <c r="U1309" t="s">
        <v>3557</v>
      </c>
      <c r="V1309" s="3">
        <v>2287.9</v>
      </c>
      <c r="W1309" s="4">
        <v>9</v>
      </c>
      <c r="X1309" s="2">
        <v>0.4</v>
      </c>
      <c r="Y1309" s="3">
        <v>298.64999999999998</v>
      </c>
      <c r="Z1309" t="str">
        <f t="shared" si="242"/>
        <v>Normal</v>
      </c>
      <c r="AA1309" t="str">
        <f t="shared" si="243"/>
        <v>High</v>
      </c>
      <c r="AB1309" t="str">
        <f t="shared" si="247"/>
        <v>Low Profit</v>
      </c>
      <c r="AC1309" s="3">
        <f t="shared" si="248"/>
        <v>0.13053455133528563</v>
      </c>
      <c r="AD1309" s="3">
        <f t="shared" si="249"/>
        <v>254.21111111111111</v>
      </c>
      <c r="AE1309" s="3">
        <f t="shared" si="250"/>
        <v>33.18333333333333</v>
      </c>
      <c r="AF1309" t="str">
        <f t="shared" si="251"/>
        <v>Regular</v>
      </c>
    </row>
    <row r="1310" spans="1:32" x14ac:dyDescent="0.25">
      <c r="A1310" t="s">
        <v>6324</v>
      </c>
      <c r="B1310" s="1">
        <v>45563</v>
      </c>
      <c r="C1310" s="1">
        <v>45572</v>
      </c>
      <c r="D1310" s="4">
        <f t="shared" si="240"/>
        <v>9</v>
      </c>
      <c r="E1310" s="4" t="str">
        <f>TEXT(Table1[[#This Row],[Order_Date]],"dddd")</f>
        <v>Saturday</v>
      </c>
      <c r="F1310" s="4">
        <f t="shared" si="241"/>
        <v>9</v>
      </c>
      <c r="G1310" t="str">
        <f t="shared" si="244"/>
        <v>September</v>
      </c>
      <c r="H1310">
        <f t="shared" si="245"/>
        <v>2024</v>
      </c>
      <c r="I1310" t="str">
        <f t="shared" si="246"/>
        <v>2024-Q3</v>
      </c>
      <c r="J1310" t="s">
        <v>44</v>
      </c>
      <c r="K1310" t="s">
        <v>6325</v>
      </c>
      <c r="L1310" t="s">
        <v>6326</v>
      </c>
      <c r="M1310" t="s">
        <v>47</v>
      </c>
      <c r="N1310" t="s">
        <v>25</v>
      </c>
      <c r="O1310" t="s">
        <v>99</v>
      </c>
      <c r="P1310" t="s">
        <v>74</v>
      </c>
      <c r="Q1310" t="s">
        <v>39</v>
      </c>
      <c r="R1310" t="s">
        <v>6327</v>
      </c>
      <c r="S1310" t="s">
        <v>51</v>
      </c>
      <c r="T1310" t="s">
        <v>127</v>
      </c>
      <c r="U1310" t="s">
        <v>6328</v>
      </c>
      <c r="V1310" s="3">
        <v>529.36</v>
      </c>
      <c r="W1310" s="4">
        <v>7</v>
      </c>
      <c r="X1310" s="2">
        <v>0</v>
      </c>
      <c r="Y1310" s="3">
        <v>39.57</v>
      </c>
      <c r="Z1310" t="str">
        <f t="shared" si="242"/>
        <v>Normal</v>
      </c>
      <c r="AA1310" t="str">
        <f t="shared" si="243"/>
        <v>Low</v>
      </c>
      <c r="AB1310" t="str">
        <f t="shared" si="247"/>
        <v>Low Profit</v>
      </c>
      <c r="AC1310" s="3">
        <f t="shared" si="248"/>
        <v>7.4750642285023428E-2</v>
      </c>
      <c r="AD1310" s="3">
        <f t="shared" si="249"/>
        <v>75.622857142857143</v>
      </c>
      <c r="AE1310" s="3">
        <f t="shared" si="250"/>
        <v>5.652857142857143</v>
      </c>
      <c r="AF1310" t="str">
        <f t="shared" si="251"/>
        <v>Regular</v>
      </c>
    </row>
    <row r="1311" spans="1:32" x14ac:dyDescent="0.25">
      <c r="A1311" t="s">
        <v>3625</v>
      </c>
      <c r="B1311" s="1">
        <v>45564</v>
      </c>
      <c r="C1311" s="1">
        <v>45570</v>
      </c>
      <c r="D1311" s="4">
        <f t="shared" si="240"/>
        <v>6</v>
      </c>
      <c r="E1311" s="4" t="str">
        <f>TEXT(Table1[[#This Row],[Order_Date]],"dddd")</f>
        <v>Sunday</v>
      </c>
      <c r="F1311" s="4">
        <f t="shared" si="241"/>
        <v>9</v>
      </c>
      <c r="G1311" t="str">
        <f t="shared" si="244"/>
        <v>September</v>
      </c>
      <c r="H1311">
        <f t="shared" si="245"/>
        <v>2024</v>
      </c>
      <c r="I1311" t="str">
        <f t="shared" si="246"/>
        <v>2024-Q3</v>
      </c>
      <c r="J1311" t="s">
        <v>104</v>
      </c>
      <c r="K1311" t="s">
        <v>3626</v>
      </c>
      <c r="L1311" t="s">
        <v>331</v>
      </c>
      <c r="M1311" t="s">
        <v>36</v>
      </c>
      <c r="N1311" t="s">
        <v>25</v>
      </c>
      <c r="O1311" t="s">
        <v>201</v>
      </c>
      <c r="P1311" t="s">
        <v>113</v>
      </c>
      <c r="Q1311" t="s">
        <v>28</v>
      </c>
      <c r="R1311" t="s">
        <v>3627</v>
      </c>
      <c r="S1311" t="s">
        <v>51</v>
      </c>
      <c r="T1311" t="s">
        <v>52</v>
      </c>
      <c r="U1311" t="s">
        <v>3628</v>
      </c>
      <c r="V1311" s="3">
        <v>3721.9</v>
      </c>
      <c r="W1311" s="4">
        <v>4</v>
      </c>
      <c r="X1311" s="2">
        <v>0.3</v>
      </c>
      <c r="Y1311" s="3">
        <v>-645.29999999999995</v>
      </c>
      <c r="Z1311" t="str">
        <f t="shared" si="242"/>
        <v>Normal</v>
      </c>
      <c r="AA1311" t="str">
        <f t="shared" si="243"/>
        <v>High</v>
      </c>
      <c r="AB1311" t="str">
        <f t="shared" si="247"/>
        <v>Loss</v>
      </c>
      <c r="AC1311" s="3">
        <f t="shared" si="248"/>
        <v>-0.17337918804911467</v>
      </c>
      <c r="AD1311" s="3">
        <f t="shared" si="249"/>
        <v>930.47500000000002</v>
      </c>
      <c r="AE1311" s="3">
        <f t="shared" si="250"/>
        <v>-161.32499999999999</v>
      </c>
      <c r="AF1311" t="str">
        <f t="shared" si="251"/>
        <v>Regular</v>
      </c>
    </row>
    <row r="1312" spans="1:32" x14ac:dyDescent="0.25">
      <c r="A1312" t="s">
        <v>1936</v>
      </c>
      <c r="B1312" s="1">
        <v>45564</v>
      </c>
      <c r="C1312" s="1">
        <v>45569</v>
      </c>
      <c r="D1312" s="4">
        <f t="shared" si="240"/>
        <v>5</v>
      </c>
      <c r="E1312" s="4" t="str">
        <f>TEXT(Table1[[#This Row],[Order_Date]],"dddd")</f>
        <v>Sunday</v>
      </c>
      <c r="F1312" s="4">
        <f t="shared" si="241"/>
        <v>9</v>
      </c>
      <c r="G1312" t="str">
        <f t="shared" si="244"/>
        <v>September</v>
      </c>
      <c r="H1312">
        <f t="shared" si="245"/>
        <v>2024</v>
      </c>
      <c r="I1312" t="str">
        <f t="shared" si="246"/>
        <v>2024-Q3</v>
      </c>
      <c r="J1312" t="s">
        <v>104</v>
      </c>
      <c r="K1312" t="s">
        <v>1937</v>
      </c>
      <c r="L1312" t="s">
        <v>1938</v>
      </c>
      <c r="M1312" t="s">
        <v>24</v>
      </c>
      <c r="N1312" t="s">
        <v>25</v>
      </c>
      <c r="O1312" t="s">
        <v>80</v>
      </c>
      <c r="P1312" t="s">
        <v>49</v>
      </c>
      <c r="Q1312" t="s">
        <v>39</v>
      </c>
      <c r="R1312" t="s">
        <v>1939</v>
      </c>
      <c r="S1312" t="s">
        <v>30</v>
      </c>
      <c r="T1312" t="s">
        <v>41</v>
      </c>
      <c r="U1312" t="s">
        <v>1940</v>
      </c>
      <c r="V1312" s="3">
        <v>292.70999999999998</v>
      </c>
      <c r="W1312" s="4">
        <v>8</v>
      </c>
      <c r="X1312" s="2">
        <v>0.1</v>
      </c>
      <c r="Y1312" s="3">
        <v>-17.18</v>
      </c>
      <c r="Z1312" t="str">
        <f t="shared" si="242"/>
        <v>Normal</v>
      </c>
      <c r="AA1312" t="str">
        <f t="shared" si="243"/>
        <v>Medium</v>
      </c>
      <c r="AB1312" t="str">
        <f t="shared" si="247"/>
        <v>Loss</v>
      </c>
      <c r="AC1312" s="3">
        <f t="shared" si="248"/>
        <v>-5.8692904239691167E-2</v>
      </c>
      <c r="AD1312" s="3">
        <f t="shared" si="249"/>
        <v>36.588749999999997</v>
      </c>
      <c r="AE1312" s="3">
        <f t="shared" si="250"/>
        <v>-2.1475</v>
      </c>
      <c r="AF1312" t="str">
        <f t="shared" si="251"/>
        <v>Regular</v>
      </c>
    </row>
    <row r="1313" spans="1:32" x14ac:dyDescent="0.25">
      <c r="A1313" t="s">
        <v>6921</v>
      </c>
      <c r="B1313" s="1">
        <v>45564</v>
      </c>
      <c r="C1313" s="1">
        <v>45566</v>
      </c>
      <c r="D1313" s="4">
        <f t="shared" si="240"/>
        <v>2</v>
      </c>
      <c r="E1313" s="4" t="str">
        <f>TEXT(Table1[[#This Row],[Order_Date]],"dddd")</f>
        <v>Sunday</v>
      </c>
      <c r="F1313" s="4">
        <f t="shared" si="241"/>
        <v>9</v>
      </c>
      <c r="G1313" t="str">
        <f t="shared" si="244"/>
        <v>September</v>
      </c>
      <c r="H1313">
        <f t="shared" si="245"/>
        <v>2024</v>
      </c>
      <c r="I1313" t="str">
        <f t="shared" si="246"/>
        <v>2024-Q3</v>
      </c>
      <c r="J1313" t="s">
        <v>21</v>
      </c>
      <c r="K1313" t="s">
        <v>6922</v>
      </c>
      <c r="L1313" t="s">
        <v>6923</v>
      </c>
      <c r="M1313" t="s">
        <v>36</v>
      </c>
      <c r="N1313" t="s">
        <v>25</v>
      </c>
      <c r="O1313" t="s">
        <v>113</v>
      </c>
      <c r="P1313" t="s">
        <v>113</v>
      </c>
      <c r="Q1313" t="s">
        <v>39</v>
      </c>
      <c r="R1313" t="s">
        <v>6924</v>
      </c>
      <c r="S1313" t="s">
        <v>59</v>
      </c>
      <c r="T1313" t="s">
        <v>101</v>
      </c>
      <c r="U1313" t="s">
        <v>6925</v>
      </c>
      <c r="V1313" s="3">
        <v>2781.67</v>
      </c>
      <c r="W1313" s="4">
        <v>10</v>
      </c>
      <c r="X1313" s="2">
        <v>0.1</v>
      </c>
      <c r="Y1313" s="3">
        <v>-413.46</v>
      </c>
      <c r="Z1313" t="str">
        <f t="shared" si="242"/>
        <v>Normal</v>
      </c>
      <c r="AA1313" t="str">
        <f t="shared" si="243"/>
        <v>Medium</v>
      </c>
      <c r="AB1313" t="str">
        <f t="shared" si="247"/>
        <v>Loss</v>
      </c>
      <c r="AC1313" s="3">
        <f t="shared" si="248"/>
        <v>-0.14863732937408103</v>
      </c>
      <c r="AD1313" s="3">
        <f t="shared" si="249"/>
        <v>278.16700000000003</v>
      </c>
      <c r="AE1313" s="3">
        <f t="shared" si="250"/>
        <v>-41.345999999999997</v>
      </c>
      <c r="AF1313" t="str">
        <f t="shared" si="251"/>
        <v>Regular</v>
      </c>
    </row>
    <row r="1314" spans="1:32" x14ac:dyDescent="0.25">
      <c r="A1314" t="s">
        <v>962</v>
      </c>
      <c r="B1314" s="1">
        <v>45565</v>
      </c>
      <c r="C1314" s="1">
        <v>45567</v>
      </c>
      <c r="D1314" s="4">
        <f t="shared" si="240"/>
        <v>2</v>
      </c>
      <c r="E1314" s="4" t="str">
        <f>TEXT(Table1[[#This Row],[Order_Date]],"dddd")</f>
        <v>Monday</v>
      </c>
      <c r="F1314" s="4">
        <f t="shared" si="241"/>
        <v>9</v>
      </c>
      <c r="G1314" t="str">
        <f t="shared" si="244"/>
        <v>September</v>
      </c>
      <c r="H1314">
        <f t="shared" si="245"/>
        <v>2024</v>
      </c>
      <c r="I1314" t="str">
        <f t="shared" si="246"/>
        <v>2024-Q3</v>
      </c>
      <c r="J1314" t="s">
        <v>21</v>
      </c>
      <c r="K1314" t="s">
        <v>963</v>
      </c>
      <c r="L1314" t="s">
        <v>964</v>
      </c>
      <c r="M1314" t="s">
        <v>47</v>
      </c>
      <c r="N1314" t="s">
        <v>25</v>
      </c>
      <c r="O1314" t="s">
        <v>119</v>
      </c>
      <c r="P1314" t="s">
        <v>120</v>
      </c>
      <c r="Q1314" t="s">
        <v>28</v>
      </c>
      <c r="R1314" t="s">
        <v>965</v>
      </c>
      <c r="S1314" t="s">
        <v>30</v>
      </c>
      <c r="T1314" t="s">
        <v>68</v>
      </c>
      <c r="U1314" t="s">
        <v>966</v>
      </c>
      <c r="V1314" s="3">
        <v>507.02</v>
      </c>
      <c r="W1314" s="4">
        <v>1</v>
      </c>
      <c r="X1314" s="2">
        <v>0</v>
      </c>
      <c r="Y1314" s="3">
        <v>24.88</v>
      </c>
      <c r="Z1314" t="str">
        <f t="shared" si="242"/>
        <v>Normal</v>
      </c>
      <c r="AA1314" t="str">
        <f t="shared" si="243"/>
        <v>Low</v>
      </c>
      <c r="AB1314" t="str">
        <f t="shared" si="247"/>
        <v>Low Profit</v>
      </c>
      <c r="AC1314" s="3">
        <f t="shared" si="248"/>
        <v>4.9071042562423575E-2</v>
      </c>
      <c r="AD1314" s="3">
        <f t="shared" si="249"/>
        <v>507.02</v>
      </c>
      <c r="AE1314" s="3">
        <f t="shared" si="250"/>
        <v>24.88</v>
      </c>
      <c r="AF1314" t="str">
        <f t="shared" si="251"/>
        <v>Regular</v>
      </c>
    </row>
    <row r="1315" spans="1:32" x14ac:dyDescent="0.25">
      <c r="A1315" t="s">
        <v>4907</v>
      </c>
      <c r="B1315" s="1">
        <v>45565</v>
      </c>
      <c r="C1315" s="1">
        <v>45570</v>
      </c>
      <c r="D1315" s="4">
        <f t="shared" si="240"/>
        <v>5</v>
      </c>
      <c r="E1315" s="4" t="str">
        <f>TEXT(Table1[[#This Row],[Order_Date]],"dddd")</f>
        <v>Monday</v>
      </c>
      <c r="F1315" s="4">
        <f t="shared" si="241"/>
        <v>9</v>
      </c>
      <c r="G1315" t="str">
        <f t="shared" si="244"/>
        <v>September</v>
      </c>
      <c r="H1315">
        <f t="shared" si="245"/>
        <v>2024</v>
      </c>
      <c r="I1315" t="str">
        <f t="shared" si="246"/>
        <v>2024-Q3</v>
      </c>
      <c r="J1315" t="s">
        <v>44</v>
      </c>
      <c r="K1315" t="s">
        <v>4908</v>
      </c>
      <c r="L1315" t="s">
        <v>4909</v>
      </c>
      <c r="M1315" t="s">
        <v>47</v>
      </c>
      <c r="N1315" t="s">
        <v>25</v>
      </c>
      <c r="O1315" t="s">
        <v>162</v>
      </c>
      <c r="P1315" t="s">
        <v>163</v>
      </c>
      <c r="Q1315" t="s">
        <v>39</v>
      </c>
      <c r="R1315" t="s">
        <v>7403</v>
      </c>
      <c r="S1315" t="s">
        <v>59</v>
      </c>
      <c r="T1315" t="s">
        <v>303</v>
      </c>
      <c r="U1315" t="s">
        <v>4910</v>
      </c>
      <c r="V1315" s="3">
        <v>3916.87</v>
      </c>
      <c r="W1315" s="4">
        <v>4</v>
      </c>
      <c r="X1315" s="2">
        <v>0.1</v>
      </c>
      <c r="Y1315" s="3">
        <v>-120.8</v>
      </c>
      <c r="Z1315" t="str">
        <f t="shared" si="242"/>
        <v>Normal</v>
      </c>
      <c r="AA1315" t="str">
        <f t="shared" si="243"/>
        <v>Medium</v>
      </c>
      <c r="AB1315" t="str">
        <f t="shared" si="247"/>
        <v>Loss</v>
      </c>
      <c r="AC1315" s="3">
        <f t="shared" si="248"/>
        <v>-3.0840952086742732E-2</v>
      </c>
      <c r="AD1315" s="3">
        <f t="shared" si="249"/>
        <v>979.21749999999997</v>
      </c>
      <c r="AE1315" s="3">
        <f t="shared" si="250"/>
        <v>-30.2</v>
      </c>
      <c r="AF1315" t="str">
        <f t="shared" si="251"/>
        <v>Regular</v>
      </c>
    </row>
    <row r="1316" spans="1:32" x14ac:dyDescent="0.25">
      <c r="A1316" t="s">
        <v>5932</v>
      </c>
      <c r="B1316" s="1">
        <v>45566</v>
      </c>
      <c r="C1316" s="1">
        <v>45570</v>
      </c>
      <c r="D1316" s="4">
        <f t="shared" si="240"/>
        <v>4</v>
      </c>
      <c r="E1316" s="4" t="str">
        <f>TEXT(Table1[[#This Row],[Order_Date]],"dddd")</f>
        <v>Tuesday</v>
      </c>
      <c r="F1316" s="4">
        <f t="shared" si="241"/>
        <v>10</v>
      </c>
      <c r="G1316" t="str">
        <f t="shared" si="244"/>
        <v>October</v>
      </c>
      <c r="H1316">
        <f t="shared" si="245"/>
        <v>2024</v>
      </c>
      <c r="I1316" t="str">
        <f t="shared" si="246"/>
        <v>2024-Q4</v>
      </c>
      <c r="J1316" t="s">
        <v>104</v>
      </c>
      <c r="K1316" t="s">
        <v>5933</v>
      </c>
      <c r="L1316" t="s">
        <v>5934</v>
      </c>
      <c r="M1316" t="s">
        <v>47</v>
      </c>
      <c r="N1316" t="s">
        <v>25</v>
      </c>
      <c r="O1316" t="s">
        <v>511</v>
      </c>
      <c r="P1316" t="s">
        <v>120</v>
      </c>
      <c r="Q1316" t="s">
        <v>87</v>
      </c>
      <c r="R1316" t="s">
        <v>5935</v>
      </c>
      <c r="S1316" t="s">
        <v>30</v>
      </c>
      <c r="T1316" t="s">
        <v>41</v>
      </c>
      <c r="U1316" t="s">
        <v>5936</v>
      </c>
      <c r="V1316" s="3">
        <v>1136.73</v>
      </c>
      <c r="W1316" s="4">
        <v>5</v>
      </c>
      <c r="X1316" s="2">
        <v>0.4</v>
      </c>
      <c r="Y1316" s="3">
        <v>222.37</v>
      </c>
      <c r="Z1316" t="str">
        <f t="shared" si="242"/>
        <v>Normal</v>
      </c>
      <c r="AA1316" t="str">
        <f t="shared" si="243"/>
        <v>High</v>
      </c>
      <c r="AB1316" t="str">
        <f t="shared" si="247"/>
        <v>Low Profit</v>
      </c>
      <c r="AC1316" s="3">
        <f t="shared" si="248"/>
        <v>0.1956225312959102</v>
      </c>
      <c r="AD1316" s="3">
        <f t="shared" si="249"/>
        <v>227.346</v>
      </c>
      <c r="AE1316" s="3">
        <f t="shared" si="250"/>
        <v>44.474000000000004</v>
      </c>
      <c r="AF1316" t="str">
        <f t="shared" si="251"/>
        <v>Regular</v>
      </c>
    </row>
    <row r="1317" spans="1:32" x14ac:dyDescent="0.25">
      <c r="A1317" t="s">
        <v>2780</v>
      </c>
      <c r="B1317" s="1">
        <v>45566</v>
      </c>
      <c r="C1317" s="1">
        <v>45574</v>
      </c>
      <c r="D1317" s="4">
        <f t="shared" si="240"/>
        <v>8</v>
      </c>
      <c r="E1317" s="4" t="str">
        <f>TEXT(Table1[[#This Row],[Order_Date]],"dddd")</f>
        <v>Tuesday</v>
      </c>
      <c r="F1317" s="4">
        <f t="shared" si="241"/>
        <v>10</v>
      </c>
      <c r="G1317" t="str">
        <f t="shared" si="244"/>
        <v>October</v>
      </c>
      <c r="H1317">
        <f t="shared" si="245"/>
        <v>2024</v>
      </c>
      <c r="I1317" t="str">
        <f t="shared" si="246"/>
        <v>2024-Q4</v>
      </c>
      <c r="J1317" t="s">
        <v>104</v>
      </c>
      <c r="K1317" t="s">
        <v>2781</v>
      </c>
      <c r="L1317" t="s">
        <v>2782</v>
      </c>
      <c r="M1317" t="s">
        <v>24</v>
      </c>
      <c r="N1317" t="s">
        <v>25</v>
      </c>
      <c r="O1317" t="s">
        <v>149</v>
      </c>
      <c r="P1317" t="s">
        <v>113</v>
      </c>
      <c r="Q1317" t="s">
        <v>87</v>
      </c>
      <c r="R1317" t="s">
        <v>2783</v>
      </c>
      <c r="S1317" t="s">
        <v>30</v>
      </c>
      <c r="T1317" t="s">
        <v>68</v>
      </c>
      <c r="U1317" t="s">
        <v>2784</v>
      </c>
      <c r="V1317" s="3">
        <v>3138.44</v>
      </c>
      <c r="W1317" s="4">
        <v>7</v>
      </c>
      <c r="X1317" s="2">
        <v>0.2</v>
      </c>
      <c r="Y1317" s="3">
        <v>843.63</v>
      </c>
      <c r="Z1317" t="str">
        <f t="shared" si="242"/>
        <v>Normal</v>
      </c>
      <c r="AA1317" t="str">
        <f t="shared" si="243"/>
        <v>High</v>
      </c>
      <c r="AB1317" t="str">
        <f t="shared" si="247"/>
        <v>High Profit</v>
      </c>
      <c r="AC1317" s="3">
        <f t="shared" si="248"/>
        <v>0.26880552121436124</v>
      </c>
      <c r="AD1317" s="3">
        <f t="shared" si="249"/>
        <v>448.34857142857146</v>
      </c>
      <c r="AE1317" s="3">
        <f t="shared" si="250"/>
        <v>120.51857142857143</v>
      </c>
      <c r="AF1317" t="str">
        <f t="shared" si="251"/>
        <v>Regular</v>
      </c>
    </row>
    <row r="1318" spans="1:32" x14ac:dyDescent="0.25">
      <c r="A1318" t="s">
        <v>3470</v>
      </c>
      <c r="B1318" s="1">
        <v>45566</v>
      </c>
      <c r="C1318" s="1">
        <v>45574</v>
      </c>
      <c r="D1318" s="4">
        <f t="shared" si="240"/>
        <v>8</v>
      </c>
      <c r="E1318" s="4" t="str">
        <f>TEXT(Table1[[#This Row],[Order_Date]],"dddd")</f>
        <v>Tuesday</v>
      </c>
      <c r="F1318" s="4">
        <f t="shared" si="241"/>
        <v>10</v>
      </c>
      <c r="G1318" t="str">
        <f t="shared" si="244"/>
        <v>October</v>
      </c>
      <c r="H1318">
        <f t="shared" si="245"/>
        <v>2024</v>
      </c>
      <c r="I1318" t="str">
        <f t="shared" si="246"/>
        <v>2024-Q4</v>
      </c>
      <c r="J1318" t="s">
        <v>104</v>
      </c>
      <c r="K1318" t="s">
        <v>3471</v>
      </c>
      <c r="L1318" t="s">
        <v>3472</v>
      </c>
      <c r="M1318" t="s">
        <v>36</v>
      </c>
      <c r="N1318" t="s">
        <v>25</v>
      </c>
      <c r="O1318" t="s">
        <v>227</v>
      </c>
      <c r="P1318" t="s">
        <v>49</v>
      </c>
      <c r="Q1318" t="s">
        <v>28</v>
      </c>
      <c r="R1318" t="s">
        <v>3473</v>
      </c>
      <c r="S1318" t="s">
        <v>30</v>
      </c>
      <c r="T1318" t="s">
        <v>41</v>
      </c>
      <c r="U1318" t="s">
        <v>3474</v>
      </c>
      <c r="V1318" s="3">
        <v>4481.34</v>
      </c>
      <c r="W1318" s="4">
        <v>4</v>
      </c>
      <c r="X1318" s="2">
        <v>0.2</v>
      </c>
      <c r="Y1318" s="3">
        <v>585.22</v>
      </c>
      <c r="Z1318" t="str">
        <f t="shared" si="242"/>
        <v>Normal</v>
      </c>
      <c r="AA1318" t="str">
        <f t="shared" si="243"/>
        <v>High</v>
      </c>
      <c r="AB1318" t="str">
        <f t="shared" si="247"/>
        <v>High Profit</v>
      </c>
      <c r="AC1318" s="3">
        <f t="shared" si="248"/>
        <v>0.13059040376316014</v>
      </c>
      <c r="AD1318" s="3">
        <f t="shared" si="249"/>
        <v>1120.335</v>
      </c>
      <c r="AE1318" s="3">
        <f t="shared" si="250"/>
        <v>146.30500000000001</v>
      </c>
      <c r="AF1318" t="str">
        <f t="shared" si="251"/>
        <v>Regular</v>
      </c>
    </row>
    <row r="1319" spans="1:32" x14ac:dyDescent="0.25">
      <c r="A1319" t="s">
        <v>1800</v>
      </c>
      <c r="B1319" s="1">
        <v>45566</v>
      </c>
      <c r="C1319" s="1">
        <v>45569</v>
      </c>
      <c r="D1319" s="4">
        <f t="shared" si="240"/>
        <v>3</v>
      </c>
      <c r="E1319" s="4" t="str">
        <f>TEXT(Table1[[#This Row],[Order_Date]],"dddd")</f>
        <v>Tuesday</v>
      </c>
      <c r="F1319" s="4">
        <f t="shared" si="241"/>
        <v>10</v>
      </c>
      <c r="G1319" t="str">
        <f t="shared" si="244"/>
        <v>October</v>
      </c>
      <c r="H1319">
        <f t="shared" si="245"/>
        <v>2024</v>
      </c>
      <c r="I1319" t="str">
        <f t="shared" si="246"/>
        <v>2024-Q4</v>
      </c>
      <c r="J1319" t="s">
        <v>44</v>
      </c>
      <c r="K1319" t="s">
        <v>1801</v>
      </c>
      <c r="L1319" t="s">
        <v>1802</v>
      </c>
      <c r="M1319" t="s">
        <v>47</v>
      </c>
      <c r="N1319" t="s">
        <v>25</v>
      </c>
      <c r="O1319" t="s">
        <v>382</v>
      </c>
      <c r="P1319" t="s">
        <v>38</v>
      </c>
      <c r="Q1319" t="s">
        <v>39</v>
      </c>
      <c r="R1319" t="s">
        <v>1803</v>
      </c>
      <c r="S1319" t="s">
        <v>59</v>
      </c>
      <c r="T1319" t="s">
        <v>303</v>
      </c>
      <c r="U1319" t="s">
        <v>1804</v>
      </c>
      <c r="V1319" s="3">
        <v>468.08</v>
      </c>
      <c r="W1319" s="4">
        <v>5</v>
      </c>
      <c r="X1319" s="2">
        <v>0</v>
      </c>
      <c r="Y1319" s="3">
        <v>-11</v>
      </c>
      <c r="Z1319" t="str">
        <f t="shared" si="242"/>
        <v>Normal</v>
      </c>
      <c r="AA1319" t="str">
        <f t="shared" si="243"/>
        <v>Low</v>
      </c>
      <c r="AB1319" t="str">
        <f t="shared" si="247"/>
        <v>Loss</v>
      </c>
      <c r="AC1319" s="3">
        <f t="shared" si="248"/>
        <v>-2.3500256366433089E-2</v>
      </c>
      <c r="AD1319" s="3">
        <f t="shared" si="249"/>
        <v>93.616</v>
      </c>
      <c r="AE1319" s="3">
        <f t="shared" si="250"/>
        <v>-2.2000000000000002</v>
      </c>
      <c r="AF1319" t="str">
        <f t="shared" si="251"/>
        <v>Regular</v>
      </c>
    </row>
    <row r="1320" spans="1:32" x14ac:dyDescent="0.25">
      <c r="A1320" t="s">
        <v>5297</v>
      </c>
      <c r="B1320" s="1">
        <v>45567</v>
      </c>
      <c r="C1320" s="1">
        <v>45576</v>
      </c>
      <c r="D1320" s="4">
        <f t="shared" si="240"/>
        <v>9</v>
      </c>
      <c r="E1320" s="4" t="str">
        <f>TEXT(Table1[[#This Row],[Order_Date]],"dddd")</f>
        <v>Wednesday</v>
      </c>
      <c r="F1320" s="4">
        <f t="shared" si="241"/>
        <v>10</v>
      </c>
      <c r="G1320" t="str">
        <f t="shared" si="244"/>
        <v>October</v>
      </c>
      <c r="H1320">
        <f t="shared" si="245"/>
        <v>2024</v>
      </c>
      <c r="I1320" t="str">
        <f t="shared" si="246"/>
        <v>2024-Q4</v>
      </c>
      <c r="J1320" t="s">
        <v>21</v>
      </c>
      <c r="K1320" t="s">
        <v>5298</v>
      </c>
      <c r="L1320" t="s">
        <v>5299</v>
      </c>
      <c r="M1320" t="s">
        <v>47</v>
      </c>
      <c r="N1320" t="s">
        <v>25</v>
      </c>
      <c r="O1320" t="s">
        <v>233</v>
      </c>
      <c r="P1320" t="s">
        <v>163</v>
      </c>
      <c r="Q1320" t="s">
        <v>39</v>
      </c>
      <c r="R1320" t="s">
        <v>5300</v>
      </c>
      <c r="S1320" t="s">
        <v>51</v>
      </c>
      <c r="T1320" t="s">
        <v>94</v>
      </c>
      <c r="U1320" t="s">
        <v>5301</v>
      </c>
      <c r="V1320" s="3">
        <v>213.05</v>
      </c>
      <c r="W1320" s="4">
        <v>10</v>
      </c>
      <c r="X1320" s="2">
        <v>0.3</v>
      </c>
      <c r="Y1320" s="3">
        <v>13.21</v>
      </c>
      <c r="Z1320" t="str">
        <f t="shared" si="242"/>
        <v>Normal</v>
      </c>
      <c r="AA1320" t="str">
        <f t="shared" si="243"/>
        <v>High</v>
      </c>
      <c r="AB1320" t="str">
        <f t="shared" si="247"/>
        <v>Low Profit</v>
      </c>
      <c r="AC1320" s="3">
        <f t="shared" si="248"/>
        <v>6.2004224360478762E-2</v>
      </c>
      <c r="AD1320" s="3">
        <f t="shared" si="249"/>
        <v>21.305</v>
      </c>
      <c r="AE1320" s="3">
        <f t="shared" si="250"/>
        <v>1.3210000000000002</v>
      </c>
      <c r="AF1320" t="str">
        <f t="shared" si="251"/>
        <v>Regular</v>
      </c>
    </row>
    <row r="1321" spans="1:32" x14ac:dyDescent="0.25">
      <c r="A1321" t="s">
        <v>4406</v>
      </c>
      <c r="B1321" s="1">
        <v>45567</v>
      </c>
      <c r="C1321" s="1">
        <v>45570</v>
      </c>
      <c r="D1321" s="4">
        <f t="shared" si="240"/>
        <v>3</v>
      </c>
      <c r="E1321" s="4" t="str">
        <f>TEXT(Table1[[#This Row],[Order_Date]],"dddd")</f>
        <v>Wednesday</v>
      </c>
      <c r="F1321" s="4">
        <f t="shared" si="241"/>
        <v>10</v>
      </c>
      <c r="G1321" t="str">
        <f t="shared" si="244"/>
        <v>October</v>
      </c>
      <c r="H1321">
        <f t="shared" si="245"/>
        <v>2024</v>
      </c>
      <c r="I1321" t="str">
        <f t="shared" si="246"/>
        <v>2024-Q4</v>
      </c>
      <c r="J1321" t="s">
        <v>104</v>
      </c>
      <c r="K1321" t="s">
        <v>4407</v>
      </c>
      <c r="L1321" t="s">
        <v>4408</v>
      </c>
      <c r="M1321" t="s">
        <v>36</v>
      </c>
      <c r="N1321" t="s">
        <v>25</v>
      </c>
      <c r="O1321" t="s">
        <v>190</v>
      </c>
      <c r="P1321" t="s">
        <v>120</v>
      </c>
      <c r="Q1321" t="s">
        <v>66</v>
      </c>
      <c r="R1321" t="s">
        <v>4409</v>
      </c>
      <c r="S1321" t="s">
        <v>59</v>
      </c>
      <c r="T1321" t="s">
        <v>277</v>
      </c>
      <c r="U1321" t="s">
        <v>4410</v>
      </c>
      <c r="V1321" s="3">
        <v>2256.66</v>
      </c>
      <c r="W1321" s="4">
        <v>8</v>
      </c>
      <c r="X1321" s="2">
        <v>0.4</v>
      </c>
      <c r="Y1321" s="3">
        <v>220.45</v>
      </c>
      <c r="Z1321" t="str">
        <f t="shared" si="242"/>
        <v>Normal</v>
      </c>
      <c r="AA1321" t="str">
        <f t="shared" si="243"/>
        <v>High</v>
      </c>
      <c r="AB1321" t="str">
        <f t="shared" si="247"/>
        <v>Low Profit</v>
      </c>
      <c r="AC1321" s="3">
        <f t="shared" si="248"/>
        <v>9.7688619464163851E-2</v>
      </c>
      <c r="AD1321" s="3">
        <f t="shared" si="249"/>
        <v>282.08249999999998</v>
      </c>
      <c r="AE1321" s="3">
        <f t="shared" si="250"/>
        <v>27.556249999999999</v>
      </c>
      <c r="AF1321" t="str">
        <f t="shared" si="251"/>
        <v>Regular</v>
      </c>
    </row>
    <row r="1322" spans="1:32" x14ac:dyDescent="0.25">
      <c r="A1322" t="s">
        <v>5893</v>
      </c>
      <c r="B1322" s="1">
        <v>45567</v>
      </c>
      <c r="C1322" s="1">
        <v>45570</v>
      </c>
      <c r="D1322" s="4">
        <f t="shared" si="240"/>
        <v>3</v>
      </c>
      <c r="E1322" s="4" t="str">
        <f>TEXT(Table1[[#This Row],[Order_Date]],"dddd")</f>
        <v>Wednesday</v>
      </c>
      <c r="F1322" s="4">
        <f t="shared" si="241"/>
        <v>10</v>
      </c>
      <c r="G1322" t="str">
        <f t="shared" si="244"/>
        <v>October</v>
      </c>
      <c r="H1322">
        <f t="shared" si="245"/>
        <v>2024</v>
      </c>
      <c r="I1322" t="str">
        <f t="shared" si="246"/>
        <v>2024-Q4</v>
      </c>
      <c r="J1322" t="s">
        <v>44</v>
      </c>
      <c r="K1322" t="s">
        <v>5894</v>
      </c>
      <c r="L1322" t="s">
        <v>5895</v>
      </c>
      <c r="M1322" t="s">
        <v>47</v>
      </c>
      <c r="N1322" t="s">
        <v>25</v>
      </c>
      <c r="O1322" t="s">
        <v>162</v>
      </c>
      <c r="P1322" t="s">
        <v>163</v>
      </c>
      <c r="Q1322" t="s">
        <v>39</v>
      </c>
      <c r="R1322" t="s">
        <v>5896</v>
      </c>
      <c r="S1322" t="s">
        <v>59</v>
      </c>
      <c r="T1322" t="s">
        <v>60</v>
      </c>
      <c r="U1322" t="s">
        <v>5897</v>
      </c>
      <c r="V1322" s="3">
        <v>2086.02</v>
      </c>
      <c r="W1322" s="4">
        <v>2</v>
      </c>
      <c r="X1322" s="2">
        <v>0.3</v>
      </c>
      <c r="Y1322" s="3">
        <v>-263.58999999999997</v>
      </c>
      <c r="Z1322" t="str">
        <f t="shared" si="242"/>
        <v>Normal</v>
      </c>
      <c r="AA1322" t="str">
        <f t="shared" si="243"/>
        <v>High</v>
      </c>
      <c r="AB1322" t="str">
        <f t="shared" si="247"/>
        <v>Loss</v>
      </c>
      <c r="AC1322" s="3">
        <f t="shared" si="248"/>
        <v>-0.12636024582698152</v>
      </c>
      <c r="AD1322" s="3">
        <f t="shared" si="249"/>
        <v>1043.01</v>
      </c>
      <c r="AE1322" s="3">
        <f t="shared" si="250"/>
        <v>-131.79499999999999</v>
      </c>
      <c r="AF1322" t="str">
        <f t="shared" si="251"/>
        <v>Regular</v>
      </c>
    </row>
    <row r="1323" spans="1:32" x14ac:dyDescent="0.25">
      <c r="A1323" t="s">
        <v>4711</v>
      </c>
      <c r="B1323" s="1">
        <v>45569</v>
      </c>
      <c r="C1323" s="1">
        <v>45575</v>
      </c>
      <c r="D1323" s="4">
        <f t="shared" si="240"/>
        <v>6</v>
      </c>
      <c r="E1323" s="4" t="str">
        <f>TEXT(Table1[[#This Row],[Order_Date]],"dddd")</f>
        <v>Friday</v>
      </c>
      <c r="F1323" s="4">
        <f t="shared" si="241"/>
        <v>10</v>
      </c>
      <c r="G1323" t="str">
        <f t="shared" si="244"/>
        <v>October</v>
      </c>
      <c r="H1323">
        <f t="shared" si="245"/>
        <v>2024</v>
      </c>
      <c r="I1323" t="str">
        <f t="shared" si="246"/>
        <v>2024-Q4</v>
      </c>
      <c r="J1323" t="s">
        <v>104</v>
      </c>
      <c r="K1323" t="s">
        <v>4712</v>
      </c>
      <c r="L1323" t="s">
        <v>4713</v>
      </c>
      <c r="M1323" t="s">
        <v>47</v>
      </c>
      <c r="N1323" t="s">
        <v>25</v>
      </c>
      <c r="O1323" t="s">
        <v>142</v>
      </c>
      <c r="P1323" t="s">
        <v>143</v>
      </c>
      <c r="Q1323" t="s">
        <v>39</v>
      </c>
      <c r="R1323" t="s">
        <v>4714</v>
      </c>
      <c r="S1323" t="s">
        <v>59</v>
      </c>
      <c r="T1323" t="s">
        <v>101</v>
      </c>
      <c r="U1323" t="s">
        <v>4715</v>
      </c>
      <c r="V1323" s="3">
        <v>100.27</v>
      </c>
      <c r="W1323" s="4">
        <v>4</v>
      </c>
      <c r="X1323" s="2">
        <v>0.4</v>
      </c>
      <c r="Y1323" s="3">
        <v>25.32</v>
      </c>
      <c r="Z1323" t="str">
        <f t="shared" si="242"/>
        <v>Normal</v>
      </c>
      <c r="AA1323" t="str">
        <f t="shared" si="243"/>
        <v>High</v>
      </c>
      <c r="AB1323" t="str">
        <f t="shared" si="247"/>
        <v>Low Profit</v>
      </c>
      <c r="AC1323" s="3">
        <f t="shared" si="248"/>
        <v>0.25251820085768428</v>
      </c>
      <c r="AD1323" s="3">
        <f t="shared" si="249"/>
        <v>25.067499999999999</v>
      </c>
      <c r="AE1323" s="3">
        <f t="shared" si="250"/>
        <v>6.33</v>
      </c>
      <c r="AF1323" t="str">
        <f t="shared" si="251"/>
        <v>Regular</v>
      </c>
    </row>
    <row r="1324" spans="1:32" x14ac:dyDescent="0.25">
      <c r="A1324" t="s">
        <v>5230</v>
      </c>
      <c r="B1324" s="1">
        <v>45570</v>
      </c>
      <c r="C1324" s="1">
        <v>45575</v>
      </c>
      <c r="D1324" s="4">
        <f t="shared" si="240"/>
        <v>5</v>
      </c>
      <c r="E1324" s="4" t="str">
        <f>TEXT(Table1[[#This Row],[Order_Date]],"dddd")</f>
        <v>Saturday</v>
      </c>
      <c r="F1324" s="4">
        <f t="shared" si="241"/>
        <v>10</v>
      </c>
      <c r="G1324" t="str">
        <f t="shared" si="244"/>
        <v>October</v>
      </c>
      <c r="H1324">
        <f t="shared" si="245"/>
        <v>2024</v>
      </c>
      <c r="I1324" t="str">
        <f t="shared" si="246"/>
        <v>2024-Q4</v>
      </c>
      <c r="J1324" t="s">
        <v>21</v>
      </c>
      <c r="K1324" t="s">
        <v>5231</v>
      </c>
      <c r="L1324" t="s">
        <v>5232</v>
      </c>
      <c r="M1324" t="s">
        <v>47</v>
      </c>
      <c r="N1324" t="s">
        <v>25</v>
      </c>
      <c r="O1324" t="s">
        <v>511</v>
      </c>
      <c r="P1324" t="s">
        <v>120</v>
      </c>
      <c r="Q1324" t="s">
        <v>28</v>
      </c>
      <c r="R1324" t="s">
        <v>5233</v>
      </c>
      <c r="S1324" t="s">
        <v>59</v>
      </c>
      <c r="T1324" t="s">
        <v>303</v>
      </c>
      <c r="U1324" t="s">
        <v>3901</v>
      </c>
      <c r="V1324" s="3">
        <v>1874.17</v>
      </c>
      <c r="W1324" s="4">
        <v>9</v>
      </c>
      <c r="X1324" s="2">
        <v>0.2</v>
      </c>
      <c r="Y1324" s="3">
        <v>279.36</v>
      </c>
      <c r="Z1324" t="str">
        <f t="shared" si="242"/>
        <v>Normal</v>
      </c>
      <c r="AA1324" t="str">
        <f t="shared" si="243"/>
        <v>High</v>
      </c>
      <c r="AB1324" t="str">
        <f t="shared" si="247"/>
        <v>Low Profit</v>
      </c>
      <c r="AC1324" s="3">
        <f t="shared" si="248"/>
        <v>0.14905798300047488</v>
      </c>
      <c r="AD1324" s="3">
        <f t="shared" si="249"/>
        <v>208.24111111111111</v>
      </c>
      <c r="AE1324" s="3">
        <f t="shared" si="250"/>
        <v>31.040000000000003</v>
      </c>
      <c r="AF1324" t="str">
        <f t="shared" si="251"/>
        <v>Regular</v>
      </c>
    </row>
    <row r="1325" spans="1:32" x14ac:dyDescent="0.25">
      <c r="A1325" t="s">
        <v>3210</v>
      </c>
      <c r="B1325" s="1">
        <v>45570</v>
      </c>
      <c r="C1325" s="1">
        <v>45580</v>
      </c>
      <c r="D1325" s="4">
        <f t="shared" si="240"/>
        <v>10</v>
      </c>
      <c r="E1325" s="4" t="str">
        <f>TEXT(Table1[[#This Row],[Order_Date]],"dddd")</f>
        <v>Saturday</v>
      </c>
      <c r="F1325" s="4">
        <f t="shared" si="241"/>
        <v>10</v>
      </c>
      <c r="G1325" t="str">
        <f t="shared" si="244"/>
        <v>October</v>
      </c>
      <c r="H1325">
        <f t="shared" si="245"/>
        <v>2024</v>
      </c>
      <c r="I1325" t="str">
        <f t="shared" si="246"/>
        <v>2024-Q4</v>
      </c>
      <c r="J1325" t="s">
        <v>55</v>
      </c>
      <c r="K1325" t="s">
        <v>3211</v>
      </c>
      <c r="L1325" t="s">
        <v>3212</v>
      </c>
      <c r="M1325" t="s">
        <v>24</v>
      </c>
      <c r="N1325" t="s">
        <v>25</v>
      </c>
      <c r="O1325" t="s">
        <v>156</v>
      </c>
      <c r="P1325" t="s">
        <v>143</v>
      </c>
      <c r="Q1325" t="s">
        <v>28</v>
      </c>
      <c r="R1325" t="s">
        <v>3213</v>
      </c>
      <c r="S1325" t="s">
        <v>30</v>
      </c>
      <c r="T1325" t="s">
        <v>41</v>
      </c>
      <c r="U1325" t="s">
        <v>3214</v>
      </c>
      <c r="V1325" s="3">
        <v>825.28</v>
      </c>
      <c r="W1325" s="4">
        <v>7</v>
      </c>
      <c r="X1325" s="2">
        <v>0</v>
      </c>
      <c r="Y1325" s="3">
        <v>-74.739999999999995</v>
      </c>
      <c r="Z1325" t="str">
        <f t="shared" si="242"/>
        <v>Normal</v>
      </c>
      <c r="AA1325" t="str">
        <f t="shared" si="243"/>
        <v>Low</v>
      </c>
      <c r="AB1325" t="str">
        <f t="shared" si="247"/>
        <v>Loss</v>
      </c>
      <c r="AC1325" s="3">
        <f t="shared" si="248"/>
        <v>-9.0563202791779762E-2</v>
      </c>
      <c r="AD1325" s="3">
        <f t="shared" si="249"/>
        <v>117.89714285714285</v>
      </c>
      <c r="AE1325" s="3">
        <f t="shared" si="250"/>
        <v>-10.677142857142856</v>
      </c>
      <c r="AF1325" t="str">
        <f t="shared" si="251"/>
        <v>Regular</v>
      </c>
    </row>
    <row r="1326" spans="1:32" x14ac:dyDescent="0.25">
      <c r="A1326" t="s">
        <v>5158</v>
      </c>
      <c r="B1326" s="1">
        <v>45571</v>
      </c>
      <c r="C1326" s="1">
        <v>45578</v>
      </c>
      <c r="D1326" s="4">
        <f t="shared" si="240"/>
        <v>7</v>
      </c>
      <c r="E1326" s="4" t="str">
        <f>TEXT(Table1[[#This Row],[Order_Date]],"dddd")</f>
        <v>Sunday</v>
      </c>
      <c r="F1326" s="4">
        <f t="shared" si="241"/>
        <v>10</v>
      </c>
      <c r="G1326" t="str">
        <f t="shared" si="244"/>
        <v>October</v>
      </c>
      <c r="H1326">
        <f t="shared" si="245"/>
        <v>2024</v>
      </c>
      <c r="I1326" t="str">
        <f t="shared" si="246"/>
        <v>2024-Q4</v>
      </c>
      <c r="J1326" t="s">
        <v>21</v>
      </c>
      <c r="K1326" t="s">
        <v>5159</v>
      </c>
      <c r="L1326" t="s">
        <v>5160</v>
      </c>
      <c r="M1326" t="s">
        <v>36</v>
      </c>
      <c r="N1326" t="s">
        <v>25</v>
      </c>
      <c r="O1326" t="s">
        <v>244</v>
      </c>
      <c r="P1326" t="s">
        <v>163</v>
      </c>
      <c r="Q1326" t="s">
        <v>39</v>
      </c>
      <c r="R1326" t="s">
        <v>5161</v>
      </c>
      <c r="S1326" t="s">
        <v>51</v>
      </c>
      <c r="T1326" t="s">
        <v>151</v>
      </c>
      <c r="U1326" t="s">
        <v>5162</v>
      </c>
      <c r="V1326" s="3">
        <v>2819.87</v>
      </c>
      <c r="W1326" s="4">
        <v>7</v>
      </c>
      <c r="X1326" s="2">
        <v>0</v>
      </c>
      <c r="Y1326" s="3">
        <v>-335.35</v>
      </c>
      <c r="Z1326" t="str">
        <f t="shared" si="242"/>
        <v>Normal</v>
      </c>
      <c r="AA1326" t="str">
        <f t="shared" si="243"/>
        <v>Low</v>
      </c>
      <c r="AB1326" t="str">
        <f t="shared" si="247"/>
        <v>Loss</v>
      </c>
      <c r="AC1326" s="3">
        <f t="shared" si="248"/>
        <v>-0.1189239220247742</v>
      </c>
      <c r="AD1326" s="3">
        <f t="shared" si="249"/>
        <v>402.83857142857141</v>
      </c>
      <c r="AE1326" s="3">
        <f t="shared" si="250"/>
        <v>-47.907142857142858</v>
      </c>
      <c r="AF1326" t="str">
        <f t="shared" si="251"/>
        <v>Regular</v>
      </c>
    </row>
    <row r="1327" spans="1:32" x14ac:dyDescent="0.25">
      <c r="A1327" t="s">
        <v>1041</v>
      </c>
      <c r="B1327" s="1">
        <v>45572</v>
      </c>
      <c r="C1327" s="1">
        <v>45577</v>
      </c>
      <c r="D1327" s="4">
        <f t="shared" si="240"/>
        <v>5</v>
      </c>
      <c r="E1327" s="4" t="str">
        <f>TEXT(Table1[[#This Row],[Order_Date]],"dddd")</f>
        <v>Monday</v>
      </c>
      <c r="F1327" s="4">
        <f t="shared" si="241"/>
        <v>10</v>
      </c>
      <c r="G1327" t="str">
        <f t="shared" si="244"/>
        <v>October</v>
      </c>
      <c r="H1327">
        <f t="shared" si="245"/>
        <v>2024</v>
      </c>
      <c r="I1327" t="str">
        <f t="shared" si="246"/>
        <v>2024-Q4</v>
      </c>
      <c r="J1327" t="s">
        <v>55</v>
      </c>
      <c r="K1327" t="s">
        <v>1042</v>
      </c>
      <c r="L1327" t="s">
        <v>1043</v>
      </c>
      <c r="M1327" t="s">
        <v>47</v>
      </c>
      <c r="N1327" t="s">
        <v>25</v>
      </c>
      <c r="O1327" t="s">
        <v>156</v>
      </c>
      <c r="P1327" t="s">
        <v>143</v>
      </c>
      <c r="Q1327" t="s">
        <v>66</v>
      </c>
      <c r="R1327" t="s">
        <v>1044</v>
      </c>
      <c r="S1327" t="s">
        <v>59</v>
      </c>
      <c r="T1327" t="s">
        <v>101</v>
      </c>
      <c r="U1327" t="s">
        <v>1045</v>
      </c>
      <c r="V1327" s="3">
        <v>4741.0600000000004</v>
      </c>
      <c r="W1327" s="4">
        <v>9</v>
      </c>
      <c r="X1327" s="2">
        <v>0.4</v>
      </c>
      <c r="Y1327" s="3">
        <v>537.23</v>
      </c>
      <c r="Z1327" t="str">
        <f t="shared" si="242"/>
        <v>Normal</v>
      </c>
      <c r="AA1327" t="str">
        <f t="shared" si="243"/>
        <v>High</v>
      </c>
      <c r="AB1327" t="str">
        <f t="shared" si="247"/>
        <v>High Profit</v>
      </c>
      <c r="AC1327" s="3">
        <f t="shared" si="248"/>
        <v>0.11331432211362015</v>
      </c>
      <c r="AD1327" s="3">
        <f t="shared" si="249"/>
        <v>526.78444444444449</v>
      </c>
      <c r="AE1327" s="3">
        <f t="shared" si="250"/>
        <v>59.692222222222227</v>
      </c>
      <c r="AF1327" t="str">
        <f t="shared" si="251"/>
        <v>Regular</v>
      </c>
    </row>
    <row r="1328" spans="1:32" x14ac:dyDescent="0.25">
      <c r="A1328" t="s">
        <v>6066</v>
      </c>
      <c r="B1328" s="1">
        <v>45572</v>
      </c>
      <c r="C1328" s="1">
        <v>45574</v>
      </c>
      <c r="D1328" s="4">
        <f t="shared" si="240"/>
        <v>2</v>
      </c>
      <c r="E1328" s="4" t="str">
        <f>TEXT(Table1[[#This Row],[Order_Date]],"dddd")</f>
        <v>Monday</v>
      </c>
      <c r="F1328" s="4">
        <f t="shared" si="241"/>
        <v>10</v>
      </c>
      <c r="G1328" t="str">
        <f t="shared" si="244"/>
        <v>October</v>
      </c>
      <c r="H1328">
        <f t="shared" si="245"/>
        <v>2024</v>
      </c>
      <c r="I1328" t="str">
        <f t="shared" si="246"/>
        <v>2024-Q4</v>
      </c>
      <c r="J1328" t="s">
        <v>104</v>
      </c>
      <c r="K1328" t="s">
        <v>6067</v>
      </c>
      <c r="L1328" t="s">
        <v>6068</v>
      </c>
      <c r="M1328" t="s">
        <v>47</v>
      </c>
      <c r="N1328" t="s">
        <v>25</v>
      </c>
      <c r="O1328" t="s">
        <v>37</v>
      </c>
      <c r="P1328" t="s">
        <v>38</v>
      </c>
      <c r="Q1328" t="s">
        <v>66</v>
      </c>
      <c r="R1328" t="s">
        <v>6069</v>
      </c>
      <c r="S1328" t="s">
        <v>59</v>
      </c>
      <c r="T1328" t="s">
        <v>60</v>
      </c>
      <c r="U1328" t="s">
        <v>6070</v>
      </c>
      <c r="V1328" s="3">
        <v>4736.58</v>
      </c>
      <c r="W1328" s="4">
        <v>6</v>
      </c>
      <c r="X1328" s="2">
        <v>0.4</v>
      </c>
      <c r="Y1328" s="3">
        <v>1087.52</v>
      </c>
      <c r="Z1328" t="str">
        <f t="shared" si="242"/>
        <v>Outlier</v>
      </c>
      <c r="AA1328" t="str">
        <f t="shared" si="243"/>
        <v>High</v>
      </c>
      <c r="AB1328" t="str">
        <f t="shared" si="247"/>
        <v>High Profit</v>
      </c>
      <c r="AC1328" s="3">
        <f t="shared" si="248"/>
        <v>0.22960026010328127</v>
      </c>
      <c r="AD1328" s="3">
        <f t="shared" si="249"/>
        <v>789.43</v>
      </c>
      <c r="AE1328" s="3">
        <f t="shared" si="250"/>
        <v>181.25333333333333</v>
      </c>
      <c r="AF1328" t="str">
        <f t="shared" si="251"/>
        <v>Regular</v>
      </c>
    </row>
    <row r="1329" spans="1:32" x14ac:dyDescent="0.25">
      <c r="A1329" t="s">
        <v>1225</v>
      </c>
      <c r="B1329" s="1">
        <v>45573</v>
      </c>
      <c r="C1329" s="1">
        <v>45577</v>
      </c>
      <c r="D1329" s="4">
        <f t="shared" si="240"/>
        <v>4</v>
      </c>
      <c r="E1329" s="4" t="str">
        <f>TEXT(Table1[[#This Row],[Order_Date]],"dddd")</f>
        <v>Tuesday</v>
      </c>
      <c r="F1329" s="4">
        <f t="shared" si="241"/>
        <v>10</v>
      </c>
      <c r="G1329" t="str">
        <f t="shared" si="244"/>
        <v>October</v>
      </c>
      <c r="H1329">
        <f t="shared" si="245"/>
        <v>2024</v>
      </c>
      <c r="I1329" t="str">
        <f t="shared" si="246"/>
        <v>2024-Q4</v>
      </c>
      <c r="J1329" t="s">
        <v>21</v>
      </c>
      <c r="K1329" t="s">
        <v>7402</v>
      </c>
      <c r="L1329" t="s">
        <v>1226</v>
      </c>
      <c r="M1329" t="s">
        <v>36</v>
      </c>
      <c r="N1329" t="s">
        <v>25</v>
      </c>
      <c r="O1329" t="s">
        <v>190</v>
      </c>
      <c r="P1329" t="s">
        <v>120</v>
      </c>
      <c r="Q1329" t="s">
        <v>87</v>
      </c>
      <c r="R1329" t="s">
        <v>7403</v>
      </c>
      <c r="S1329" t="s">
        <v>51</v>
      </c>
      <c r="T1329" t="s">
        <v>108</v>
      </c>
      <c r="U1329" t="s">
        <v>1227</v>
      </c>
      <c r="V1329" s="3">
        <v>89.21</v>
      </c>
      <c r="W1329" s="4">
        <v>3</v>
      </c>
      <c r="X1329" s="2">
        <v>0</v>
      </c>
      <c r="Y1329" s="3">
        <v>9.31</v>
      </c>
      <c r="Z1329" t="str">
        <f t="shared" si="242"/>
        <v>Normal</v>
      </c>
      <c r="AA1329" t="str">
        <f t="shared" si="243"/>
        <v>Low</v>
      </c>
      <c r="AB1329" t="str">
        <f t="shared" si="247"/>
        <v>Low Profit</v>
      </c>
      <c r="AC1329" s="3">
        <f t="shared" si="248"/>
        <v>0.10436049770205136</v>
      </c>
      <c r="AD1329" s="3">
        <f t="shared" si="249"/>
        <v>29.736666666666665</v>
      </c>
      <c r="AE1329" s="3">
        <f t="shared" si="250"/>
        <v>3.1033333333333335</v>
      </c>
      <c r="AF1329" t="str">
        <f t="shared" si="251"/>
        <v>Regular</v>
      </c>
    </row>
    <row r="1330" spans="1:32" x14ac:dyDescent="0.25">
      <c r="A1330" t="s">
        <v>1703</v>
      </c>
      <c r="B1330" s="1">
        <v>45574</v>
      </c>
      <c r="C1330" s="1">
        <v>45580</v>
      </c>
      <c r="D1330" s="4">
        <f t="shared" si="240"/>
        <v>6</v>
      </c>
      <c r="E1330" s="4" t="str">
        <f>TEXT(Table1[[#This Row],[Order_Date]],"dddd")</f>
        <v>Wednesday</v>
      </c>
      <c r="F1330" s="4">
        <f t="shared" si="241"/>
        <v>10</v>
      </c>
      <c r="G1330" t="str">
        <f t="shared" si="244"/>
        <v>October</v>
      </c>
      <c r="H1330">
        <f t="shared" si="245"/>
        <v>2024</v>
      </c>
      <c r="I1330" t="str">
        <f t="shared" si="246"/>
        <v>2024-Q4</v>
      </c>
      <c r="J1330" t="s">
        <v>44</v>
      </c>
      <c r="K1330" t="s">
        <v>1704</v>
      </c>
      <c r="L1330" t="s">
        <v>1705</v>
      </c>
      <c r="M1330" t="s">
        <v>36</v>
      </c>
      <c r="N1330" t="s">
        <v>25</v>
      </c>
      <c r="O1330" t="s">
        <v>179</v>
      </c>
      <c r="P1330" t="s">
        <v>27</v>
      </c>
      <c r="Q1330" t="s">
        <v>66</v>
      </c>
      <c r="R1330" t="s">
        <v>1706</v>
      </c>
      <c r="S1330" t="s">
        <v>30</v>
      </c>
      <c r="T1330" t="s">
        <v>68</v>
      </c>
      <c r="U1330" t="s">
        <v>1707</v>
      </c>
      <c r="V1330" s="3">
        <v>4763.7</v>
      </c>
      <c r="W1330" s="4">
        <v>7</v>
      </c>
      <c r="X1330" s="2">
        <v>0.2</v>
      </c>
      <c r="Y1330" s="3">
        <v>-352.34</v>
      </c>
      <c r="Z1330" t="str">
        <f t="shared" si="242"/>
        <v>Normal</v>
      </c>
      <c r="AA1330" t="str">
        <f t="shared" si="243"/>
        <v>High</v>
      </c>
      <c r="AB1330" t="str">
        <f t="shared" si="247"/>
        <v>Loss</v>
      </c>
      <c r="AC1330" s="3">
        <f t="shared" si="248"/>
        <v>-7.3963515754560533E-2</v>
      </c>
      <c r="AD1330" s="3">
        <f t="shared" si="249"/>
        <v>680.52857142857135</v>
      </c>
      <c r="AE1330" s="3">
        <f t="shared" si="250"/>
        <v>-50.334285714285713</v>
      </c>
      <c r="AF1330" t="str">
        <f t="shared" si="251"/>
        <v>Regular</v>
      </c>
    </row>
    <row r="1331" spans="1:32" x14ac:dyDescent="0.25">
      <c r="A1331" t="s">
        <v>5535</v>
      </c>
      <c r="B1331" s="1">
        <v>45574</v>
      </c>
      <c r="C1331" s="1">
        <v>45577</v>
      </c>
      <c r="D1331" s="4">
        <f t="shared" si="240"/>
        <v>3</v>
      </c>
      <c r="E1331" s="4" t="str">
        <f>TEXT(Table1[[#This Row],[Order_Date]],"dddd")</f>
        <v>Wednesday</v>
      </c>
      <c r="F1331" s="4">
        <f t="shared" si="241"/>
        <v>10</v>
      </c>
      <c r="G1331" t="str">
        <f t="shared" si="244"/>
        <v>October</v>
      </c>
      <c r="H1331">
        <f t="shared" si="245"/>
        <v>2024</v>
      </c>
      <c r="I1331" t="str">
        <f t="shared" si="246"/>
        <v>2024-Q4</v>
      </c>
      <c r="J1331" t="s">
        <v>104</v>
      </c>
      <c r="K1331" t="s">
        <v>5536</v>
      </c>
      <c r="L1331" t="s">
        <v>5537</v>
      </c>
      <c r="M1331" t="s">
        <v>24</v>
      </c>
      <c r="N1331" t="s">
        <v>25</v>
      </c>
      <c r="O1331" t="s">
        <v>149</v>
      </c>
      <c r="P1331" t="s">
        <v>113</v>
      </c>
      <c r="Q1331" t="s">
        <v>28</v>
      </c>
      <c r="R1331" t="s">
        <v>5538</v>
      </c>
      <c r="S1331" t="s">
        <v>30</v>
      </c>
      <c r="T1331" t="s">
        <v>31</v>
      </c>
      <c r="U1331" t="s">
        <v>5539</v>
      </c>
      <c r="V1331" s="3">
        <v>2135.83</v>
      </c>
      <c r="W1331" s="4">
        <v>8</v>
      </c>
      <c r="X1331" s="2">
        <v>0.2</v>
      </c>
      <c r="Y1331" s="3">
        <v>-225.84</v>
      </c>
      <c r="Z1331" t="str">
        <f t="shared" si="242"/>
        <v>Normal</v>
      </c>
      <c r="AA1331" t="str">
        <f t="shared" si="243"/>
        <v>High</v>
      </c>
      <c r="AB1331" t="str">
        <f t="shared" si="247"/>
        <v>Loss</v>
      </c>
      <c r="AC1331" s="3">
        <f t="shared" si="248"/>
        <v>-0.105738752616079</v>
      </c>
      <c r="AD1331" s="3">
        <f t="shared" si="249"/>
        <v>266.97874999999999</v>
      </c>
      <c r="AE1331" s="3">
        <f t="shared" si="250"/>
        <v>-28.23</v>
      </c>
      <c r="AF1331" t="str">
        <f t="shared" si="251"/>
        <v>Regular</v>
      </c>
    </row>
    <row r="1332" spans="1:32" x14ac:dyDescent="0.25">
      <c r="A1332" t="s">
        <v>3926</v>
      </c>
      <c r="B1332" s="1">
        <v>45575</v>
      </c>
      <c r="C1332" s="1">
        <v>45579</v>
      </c>
      <c r="D1332" s="4">
        <f t="shared" si="240"/>
        <v>4</v>
      </c>
      <c r="E1332" s="4" t="str">
        <f>TEXT(Table1[[#This Row],[Order_Date]],"dddd")</f>
        <v>Thursday</v>
      </c>
      <c r="F1332" s="4">
        <f t="shared" si="241"/>
        <v>10</v>
      </c>
      <c r="G1332" t="str">
        <f t="shared" si="244"/>
        <v>October</v>
      </c>
      <c r="H1332">
        <f t="shared" si="245"/>
        <v>2024</v>
      </c>
      <c r="I1332" t="str">
        <f t="shared" si="246"/>
        <v>2024-Q4</v>
      </c>
      <c r="J1332" t="s">
        <v>21</v>
      </c>
      <c r="K1332" t="s">
        <v>3927</v>
      </c>
      <c r="L1332" t="s">
        <v>3928</v>
      </c>
      <c r="M1332" t="s">
        <v>36</v>
      </c>
      <c r="N1332" t="s">
        <v>25</v>
      </c>
      <c r="O1332" t="s">
        <v>80</v>
      </c>
      <c r="P1332" t="s">
        <v>49</v>
      </c>
      <c r="Q1332" t="s">
        <v>66</v>
      </c>
      <c r="R1332" t="s">
        <v>3929</v>
      </c>
      <c r="S1332" t="s">
        <v>30</v>
      </c>
      <c r="T1332" t="s">
        <v>68</v>
      </c>
      <c r="U1332" t="s">
        <v>3930</v>
      </c>
      <c r="V1332" s="3">
        <v>3676.23</v>
      </c>
      <c r="W1332" s="4">
        <v>9</v>
      </c>
      <c r="X1332" s="2">
        <v>0.2</v>
      </c>
      <c r="Y1332" s="3">
        <v>764.77</v>
      </c>
      <c r="Z1332" t="str">
        <f t="shared" si="242"/>
        <v>Normal</v>
      </c>
      <c r="AA1332" t="str">
        <f t="shared" si="243"/>
        <v>High</v>
      </c>
      <c r="AB1332" t="str">
        <f t="shared" si="247"/>
        <v>High Profit</v>
      </c>
      <c r="AC1332" s="3">
        <f t="shared" si="248"/>
        <v>0.20803105355214443</v>
      </c>
      <c r="AD1332" s="3">
        <f t="shared" si="249"/>
        <v>408.47</v>
      </c>
      <c r="AE1332" s="3">
        <f t="shared" si="250"/>
        <v>84.974444444444444</v>
      </c>
      <c r="AF1332" t="str">
        <f t="shared" si="251"/>
        <v>Regular</v>
      </c>
    </row>
    <row r="1333" spans="1:32" x14ac:dyDescent="0.25">
      <c r="A1333" t="s">
        <v>5193</v>
      </c>
      <c r="B1333" s="1">
        <v>45575</v>
      </c>
      <c r="C1333" s="1">
        <v>45583</v>
      </c>
      <c r="D1333" s="4">
        <f t="shared" si="240"/>
        <v>8</v>
      </c>
      <c r="E1333" s="4" t="str">
        <f>TEXT(Table1[[#This Row],[Order_Date]],"dddd")</f>
        <v>Thursday</v>
      </c>
      <c r="F1333" s="4">
        <f t="shared" si="241"/>
        <v>10</v>
      </c>
      <c r="G1333" t="str">
        <f t="shared" si="244"/>
        <v>October</v>
      </c>
      <c r="H1333">
        <f t="shared" si="245"/>
        <v>2024</v>
      </c>
      <c r="I1333" t="str">
        <f t="shared" si="246"/>
        <v>2024-Q4</v>
      </c>
      <c r="J1333" t="s">
        <v>104</v>
      </c>
      <c r="K1333" t="s">
        <v>5194</v>
      </c>
      <c r="L1333" t="s">
        <v>5195</v>
      </c>
      <c r="M1333" t="s">
        <v>47</v>
      </c>
      <c r="N1333" t="s">
        <v>25</v>
      </c>
      <c r="O1333" t="s">
        <v>113</v>
      </c>
      <c r="P1333" t="s">
        <v>113</v>
      </c>
      <c r="Q1333" t="s">
        <v>87</v>
      </c>
      <c r="R1333" t="s">
        <v>5196</v>
      </c>
      <c r="S1333" t="s">
        <v>51</v>
      </c>
      <c r="T1333" t="s">
        <v>108</v>
      </c>
      <c r="U1333" t="s">
        <v>1227</v>
      </c>
      <c r="V1333" s="3">
        <v>2039.83</v>
      </c>
      <c r="W1333" s="4">
        <v>2</v>
      </c>
      <c r="X1333" s="2">
        <v>0.4</v>
      </c>
      <c r="Y1333" s="3">
        <v>-346.9</v>
      </c>
      <c r="Z1333" t="str">
        <f t="shared" si="242"/>
        <v>Normal</v>
      </c>
      <c r="AA1333" t="str">
        <f t="shared" si="243"/>
        <v>High</v>
      </c>
      <c r="AB1333" t="str">
        <f t="shared" si="247"/>
        <v>Loss</v>
      </c>
      <c r="AC1333" s="3">
        <f t="shared" si="248"/>
        <v>-0.1700631915404715</v>
      </c>
      <c r="AD1333" s="3">
        <f t="shared" si="249"/>
        <v>1019.915</v>
      </c>
      <c r="AE1333" s="3">
        <f t="shared" si="250"/>
        <v>-173.45</v>
      </c>
      <c r="AF1333" t="str">
        <f t="shared" si="251"/>
        <v>Regular</v>
      </c>
    </row>
    <row r="1334" spans="1:32" x14ac:dyDescent="0.25">
      <c r="A1334" t="s">
        <v>4729</v>
      </c>
      <c r="B1334" s="1">
        <v>45575</v>
      </c>
      <c r="C1334" s="1">
        <v>45576</v>
      </c>
      <c r="D1334" s="4">
        <f t="shared" si="240"/>
        <v>1</v>
      </c>
      <c r="E1334" s="4" t="str">
        <f>TEXT(Table1[[#This Row],[Order_Date]],"dddd")</f>
        <v>Thursday</v>
      </c>
      <c r="F1334" s="4">
        <f t="shared" si="241"/>
        <v>10</v>
      </c>
      <c r="G1334" t="str">
        <f t="shared" si="244"/>
        <v>October</v>
      </c>
      <c r="H1334">
        <f t="shared" si="245"/>
        <v>2024</v>
      </c>
      <c r="I1334" t="str">
        <f t="shared" si="246"/>
        <v>2024-Q4</v>
      </c>
      <c r="J1334" t="s">
        <v>21</v>
      </c>
      <c r="K1334" t="s">
        <v>4730</v>
      </c>
      <c r="L1334" t="s">
        <v>4731</v>
      </c>
      <c r="M1334" t="s">
        <v>36</v>
      </c>
      <c r="N1334" t="s">
        <v>25</v>
      </c>
      <c r="O1334" t="s">
        <v>162</v>
      </c>
      <c r="P1334" t="s">
        <v>163</v>
      </c>
      <c r="Q1334" t="s">
        <v>28</v>
      </c>
      <c r="R1334" t="s">
        <v>4732</v>
      </c>
      <c r="S1334" t="s">
        <v>59</v>
      </c>
      <c r="T1334" t="s">
        <v>101</v>
      </c>
      <c r="U1334" t="s">
        <v>4733</v>
      </c>
      <c r="V1334" s="3">
        <v>3787.31</v>
      </c>
      <c r="W1334" s="4">
        <v>10</v>
      </c>
      <c r="X1334" s="2">
        <v>0.3</v>
      </c>
      <c r="Y1334" s="3">
        <v>560.74</v>
      </c>
      <c r="Z1334" t="str">
        <f t="shared" si="242"/>
        <v>Normal</v>
      </c>
      <c r="AA1334" t="str">
        <f t="shared" si="243"/>
        <v>High</v>
      </c>
      <c r="AB1334" t="str">
        <f t="shared" si="247"/>
        <v>High Profit</v>
      </c>
      <c r="AC1334" s="3">
        <f t="shared" si="248"/>
        <v>0.14805759232806398</v>
      </c>
      <c r="AD1334" s="3">
        <f t="shared" si="249"/>
        <v>378.73099999999999</v>
      </c>
      <c r="AE1334" s="3">
        <f t="shared" si="250"/>
        <v>56.073999999999998</v>
      </c>
      <c r="AF1334" t="str">
        <f t="shared" si="251"/>
        <v>Regular</v>
      </c>
    </row>
    <row r="1335" spans="1:32" x14ac:dyDescent="0.25">
      <c r="A1335" t="s">
        <v>4647</v>
      </c>
      <c r="B1335" s="1">
        <v>45575</v>
      </c>
      <c r="C1335" s="1">
        <v>45583</v>
      </c>
      <c r="D1335" s="4">
        <f t="shared" si="240"/>
        <v>8</v>
      </c>
      <c r="E1335" s="4" t="str">
        <f>TEXT(Table1[[#This Row],[Order_Date]],"dddd")</f>
        <v>Thursday</v>
      </c>
      <c r="F1335" s="4">
        <f t="shared" si="241"/>
        <v>10</v>
      </c>
      <c r="G1335" t="str">
        <f t="shared" si="244"/>
        <v>October</v>
      </c>
      <c r="H1335">
        <f t="shared" si="245"/>
        <v>2024</v>
      </c>
      <c r="I1335" t="str">
        <f t="shared" si="246"/>
        <v>2024-Q4</v>
      </c>
      <c r="J1335" t="s">
        <v>104</v>
      </c>
      <c r="K1335" t="s">
        <v>4648</v>
      </c>
      <c r="L1335" t="s">
        <v>4649</v>
      </c>
      <c r="M1335" t="s">
        <v>36</v>
      </c>
      <c r="N1335" t="s">
        <v>25</v>
      </c>
      <c r="O1335" t="s">
        <v>382</v>
      </c>
      <c r="P1335" t="s">
        <v>38</v>
      </c>
      <c r="Q1335" t="s">
        <v>87</v>
      </c>
      <c r="R1335" t="s">
        <v>4650</v>
      </c>
      <c r="S1335" t="s">
        <v>51</v>
      </c>
      <c r="T1335" t="s">
        <v>52</v>
      </c>
      <c r="U1335" t="s">
        <v>4651</v>
      </c>
      <c r="V1335" s="3">
        <v>32.049999999999997</v>
      </c>
      <c r="W1335" s="4">
        <v>2</v>
      </c>
      <c r="X1335" s="2">
        <v>0.2</v>
      </c>
      <c r="Y1335" s="3">
        <v>-1.64</v>
      </c>
      <c r="Z1335" t="str">
        <f t="shared" si="242"/>
        <v>Normal</v>
      </c>
      <c r="AA1335" t="str">
        <f t="shared" si="243"/>
        <v>High</v>
      </c>
      <c r="AB1335" t="str">
        <f t="shared" si="247"/>
        <v>Loss</v>
      </c>
      <c r="AC1335" s="3">
        <f t="shared" si="248"/>
        <v>-5.1170046801872079E-2</v>
      </c>
      <c r="AD1335" s="3">
        <f t="shared" si="249"/>
        <v>16.024999999999999</v>
      </c>
      <c r="AE1335" s="3">
        <f t="shared" si="250"/>
        <v>-0.82</v>
      </c>
      <c r="AF1335" t="str">
        <f t="shared" si="251"/>
        <v>Regular</v>
      </c>
    </row>
    <row r="1336" spans="1:32" x14ac:dyDescent="0.25">
      <c r="A1336" t="s">
        <v>187</v>
      </c>
      <c r="B1336" s="1">
        <v>45576</v>
      </c>
      <c r="C1336" s="1">
        <v>45580</v>
      </c>
      <c r="D1336" s="4">
        <f t="shared" si="240"/>
        <v>4</v>
      </c>
      <c r="E1336" s="4" t="str">
        <f>TEXT(Table1[[#This Row],[Order_Date]],"dddd")</f>
        <v>Friday</v>
      </c>
      <c r="F1336" s="4">
        <f t="shared" si="241"/>
        <v>10</v>
      </c>
      <c r="G1336" t="str">
        <f t="shared" si="244"/>
        <v>October</v>
      </c>
      <c r="H1336">
        <f t="shared" si="245"/>
        <v>2024</v>
      </c>
      <c r="I1336" t="str">
        <f t="shared" si="246"/>
        <v>2024-Q4</v>
      </c>
      <c r="J1336" t="s">
        <v>44</v>
      </c>
      <c r="K1336" t="s">
        <v>188</v>
      </c>
      <c r="L1336" t="s">
        <v>189</v>
      </c>
      <c r="M1336" t="s">
        <v>24</v>
      </c>
      <c r="N1336" t="s">
        <v>25</v>
      </c>
      <c r="O1336" t="s">
        <v>190</v>
      </c>
      <c r="P1336" t="s">
        <v>120</v>
      </c>
      <c r="Q1336" t="s">
        <v>66</v>
      </c>
      <c r="R1336" t="s">
        <v>191</v>
      </c>
      <c r="S1336" t="s">
        <v>30</v>
      </c>
      <c r="T1336" t="s">
        <v>68</v>
      </c>
      <c r="U1336" t="s">
        <v>192</v>
      </c>
      <c r="V1336" s="3">
        <v>1064.8399999999999</v>
      </c>
      <c r="W1336" s="4">
        <v>7</v>
      </c>
      <c r="X1336" s="2">
        <v>0.3</v>
      </c>
      <c r="Y1336" s="3">
        <v>191.4</v>
      </c>
      <c r="Z1336" t="str">
        <f t="shared" si="242"/>
        <v>Normal</v>
      </c>
      <c r="AA1336" t="str">
        <f t="shared" si="243"/>
        <v>High</v>
      </c>
      <c r="AB1336" t="str">
        <f t="shared" si="247"/>
        <v>Low Profit</v>
      </c>
      <c r="AC1336" s="3">
        <f t="shared" si="248"/>
        <v>0.17974531384996809</v>
      </c>
      <c r="AD1336" s="3">
        <f t="shared" si="249"/>
        <v>152.11999999999998</v>
      </c>
      <c r="AE1336" s="3">
        <f t="shared" si="250"/>
        <v>27.342857142857145</v>
      </c>
      <c r="AF1336" t="str">
        <f t="shared" si="251"/>
        <v>Regular</v>
      </c>
    </row>
    <row r="1337" spans="1:32" x14ac:dyDescent="0.25">
      <c r="A1337" t="s">
        <v>6309</v>
      </c>
      <c r="B1337" s="1">
        <v>45576</v>
      </c>
      <c r="C1337" s="1">
        <v>45581</v>
      </c>
      <c r="D1337" s="4">
        <f t="shared" si="240"/>
        <v>5</v>
      </c>
      <c r="E1337" s="4" t="str">
        <f>TEXT(Table1[[#This Row],[Order_Date]],"dddd")</f>
        <v>Friday</v>
      </c>
      <c r="F1337" s="4">
        <f t="shared" si="241"/>
        <v>10</v>
      </c>
      <c r="G1337" t="str">
        <f t="shared" si="244"/>
        <v>October</v>
      </c>
      <c r="H1337">
        <f t="shared" si="245"/>
        <v>2024</v>
      </c>
      <c r="I1337" t="str">
        <f t="shared" si="246"/>
        <v>2024-Q4</v>
      </c>
      <c r="J1337" t="s">
        <v>55</v>
      </c>
      <c r="K1337" t="s">
        <v>6310</v>
      </c>
      <c r="L1337" t="s">
        <v>6311</v>
      </c>
      <c r="M1337" t="s">
        <v>24</v>
      </c>
      <c r="N1337" t="s">
        <v>25</v>
      </c>
      <c r="O1337" t="s">
        <v>99</v>
      </c>
      <c r="P1337" t="s">
        <v>74</v>
      </c>
      <c r="Q1337" t="s">
        <v>39</v>
      </c>
      <c r="R1337" t="s">
        <v>6312</v>
      </c>
      <c r="S1337" t="s">
        <v>59</v>
      </c>
      <c r="T1337" t="s">
        <v>101</v>
      </c>
      <c r="U1337" t="s">
        <v>6313</v>
      </c>
      <c r="V1337" s="3">
        <v>1827.02</v>
      </c>
      <c r="W1337" s="4">
        <v>2</v>
      </c>
      <c r="X1337" s="2">
        <v>0</v>
      </c>
      <c r="Y1337" s="3">
        <v>-259.61</v>
      </c>
      <c r="Z1337" t="str">
        <f t="shared" si="242"/>
        <v>Normal</v>
      </c>
      <c r="AA1337" t="str">
        <f t="shared" si="243"/>
        <v>Low</v>
      </c>
      <c r="AB1337" t="str">
        <f t="shared" si="247"/>
        <v>Loss</v>
      </c>
      <c r="AC1337" s="3">
        <f t="shared" si="248"/>
        <v>-0.14209477728760497</v>
      </c>
      <c r="AD1337" s="3">
        <f t="shared" si="249"/>
        <v>913.51</v>
      </c>
      <c r="AE1337" s="3">
        <f t="shared" si="250"/>
        <v>-129.80500000000001</v>
      </c>
      <c r="AF1337" t="str">
        <f t="shared" si="251"/>
        <v>Regular</v>
      </c>
    </row>
    <row r="1338" spans="1:32" x14ac:dyDescent="0.25">
      <c r="A1338" t="s">
        <v>6061</v>
      </c>
      <c r="B1338" s="1">
        <v>45576</v>
      </c>
      <c r="C1338" s="1">
        <v>45583</v>
      </c>
      <c r="D1338" s="4">
        <f t="shared" si="240"/>
        <v>7</v>
      </c>
      <c r="E1338" s="4" t="str">
        <f>TEXT(Table1[[#This Row],[Order_Date]],"dddd")</f>
        <v>Friday</v>
      </c>
      <c r="F1338" s="4">
        <f t="shared" si="241"/>
        <v>10</v>
      </c>
      <c r="G1338" t="str">
        <f t="shared" si="244"/>
        <v>October</v>
      </c>
      <c r="H1338">
        <f t="shared" si="245"/>
        <v>2024</v>
      </c>
      <c r="I1338" t="str">
        <f t="shared" si="246"/>
        <v>2024-Q4</v>
      </c>
      <c r="J1338" t="s">
        <v>104</v>
      </c>
      <c r="K1338" t="s">
        <v>6062</v>
      </c>
      <c r="L1338" t="s">
        <v>6063</v>
      </c>
      <c r="M1338" t="s">
        <v>36</v>
      </c>
      <c r="N1338" t="s">
        <v>25</v>
      </c>
      <c r="O1338" t="s">
        <v>451</v>
      </c>
      <c r="P1338" t="s">
        <v>38</v>
      </c>
      <c r="Q1338" t="s">
        <v>66</v>
      </c>
      <c r="R1338" t="s">
        <v>6064</v>
      </c>
      <c r="S1338" t="s">
        <v>51</v>
      </c>
      <c r="T1338" t="s">
        <v>94</v>
      </c>
      <c r="U1338" t="s">
        <v>6065</v>
      </c>
      <c r="V1338" s="3">
        <v>117.98</v>
      </c>
      <c r="W1338" s="4">
        <v>10</v>
      </c>
      <c r="X1338" s="2">
        <v>0.4</v>
      </c>
      <c r="Y1338" s="3">
        <v>-1.52</v>
      </c>
      <c r="Z1338" t="str">
        <f t="shared" si="242"/>
        <v>Normal</v>
      </c>
      <c r="AA1338" t="str">
        <f t="shared" si="243"/>
        <v>High</v>
      </c>
      <c r="AB1338" t="str">
        <f t="shared" si="247"/>
        <v>Loss</v>
      </c>
      <c r="AC1338" s="3">
        <f t="shared" si="248"/>
        <v>-1.2883539582980165E-2</v>
      </c>
      <c r="AD1338" s="3">
        <f t="shared" si="249"/>
        <v>11.798</v>
      </c>
      <c r="AE1338" s="3">
        <f t="shared" si="250"/>
        <v>-0.152</v>
      </c>
      <c r="AF1338" t="str">
        <f t="shared" si="251"/>
        <v>Regular</v>
      </c>
    </row>
    <row r="1339" spans="1:32" x14ac:dyDescent="0.25">
      <c r="A1339" t="s">
        <v>3088</v>
      </c>
      <c r="B1339" s="1">
        <v>45576</v>
      </c>
      <c r="C1339" s="1">
        <v>45582</v>
      </c>
      <c r="D1339" s="4">
        <f t="shared" si="240"/>
        <v>6</v>
      </c>
      <c r="E1339" s="4" t="str">
        <f>TEXT(Table1[[#This Row],[Order_Date]],"dddd")</f>
        <v>Friday</v>
      </c>
      <c r="F1339" s="4">
        <f t="shared" si="241"/>
        <v>10</v>
      </c>
      <c r="G1339" t="str">
        <f t="shared" si="244"/>
        <v>October</v>
      </c>
      <c r="H1339">
        <f t="shared" si="245"/>
        <v>2024</v>
      </c>
      <c r="I1339" t="str">
        <f t="shared" si="246"/>
        <v>2024-Q4</v>
      </c>
      <c r="J1339" t="s">
        <v>21</v>
      </c>
      <c r="K1339" t="s">
        <v>3089</v>
      </c>
      <c r="L1339" t="s">
        <v>3090</v>
      </c>
      <c r="M1339" t="s">
        <v>47</v>
      </c>
      <c r="N1339" t="s">
        <v>25</v>
      </c>
      <c r="O1339" t="s">
        <v>611</v>
      </c>
      <c r="P1339" t="s">
        <v>74</v>
      </c>
      <c r="Q1339" t="s">
        <v>28</v>
      </c>
      <c r="R1339" t="s">
        <v>3091</v>
      </c>
      <c r="S1339" t="s">
        <v>30</v>
      </c>
      <c r="T1339" t="s">
        <v>31</v>
      </c>
      <c r="U1339" t="s">
        <v>3092</v>
      </c>
      <c r="V1339" s="3">
        <v>140.99</v>
      </c>
      <c r="W1339" s="4">
        <v>10</v>
      </c>
      <c r="X1339" s="2">
        <v>0</v>
      </c>
      <c r="Y1339" s="3">
        <v>-28</v>
      </c>
      <c r="Z1339" t="str">
        <f t="shared" si="242"/>
        <v>Normal</v>
      </c>
      <c r="AA1339" t="str">
        <f t="shared" si="243"/>
        <v>Low</v>
      </c>
      <c r="AB1339" t="str">
        <f t="shared" si="247"/>
        <v>Loss</v>
      </c>
      <c r="AC1339" s="3">
        <f t="shared" si="248"/>
        <v>-0.19859564508121141</v>
      </c>
      <c r="AD1339" s="3">
        <f t="shared" si="249"/>
        <v>14.099</v>
      </c>
      <c r="AE1339" s="3">
        <f t="shared" si="250"/>
        <v>-2.8</v>
      </c>
      <c r="AF1339" t="str">
        <f t="shared" si="251"/>
        <v>Regular</v>
      </c>
    </row>
    <row r="1340" spans="1:32" x14ac:dyDescent="0.25">
      <c r="A1340" t="s">
        <v>5278</v>
      </c>
      <c r="B1340" s="1">
        <v>45577</v>
      </c>
      <c r="C1340" s="1">
        <v>45579</v>
      </c>
      <c r="D1340" s="4">
        <f t="shared" si="240"/>
        <v>2</v>
      </c>
      <c r="E1340" s="4" t="str">
        <f>TEXT(Table1[[#This Row],[Order_Date]],"dddd")</f>
        <v>Saturday</v>
      </c>
      <c r="F1340" s="4">
        <f t="shared" si="241"/>
        <v>10</v>
      </c>
      <c r="G1340" t="str">
        <f t="shared" si="244"/>
        <v>October</v>
      </c>
      <c r="H1340">
        <f t="shared" si="245"/>
        <v>2024</v>
      </c>
      <c r="I1340" t="str">
        <f t="shared" si="246"/>
        <v>2024-Q4</v>
      </c>
      <c r="J1340" t="s">
        <v>104</v>
      </c>
      <c r="K1340" t="s">
        <v>5279</v>
      </c>
      <c r="L1340" t="s">
        <v>5280</v>
      </c>
      <c r="M1340" t="s">
        <v>36</v>
      </c>
      <c r="N1340" t="s">
        <v>25</v>
      </c>
      <c r="O1340" t="s">
        <v>511</v>
      </c>
      <c r="P1340" t="s">
        <v>120</v>
      </c>
      <c r="Q1340" t="s">
        <v>87</v>
      </c>
      <c r="R1340" t="s">
        <v>5281</v>
      </c>
      <c r="S1340" t="s">
        <v>30</v>
      </c>
      <c r="T1340" t="s">
        <v>82</v>
      </c>
      <c r="U1340" t="s">
        <v>5282</v>
      </c>
      <c r="V1340" s="3">
        <v>796.38</v>
      </c>
      <c r="W1340" s="4">
        <v>8</v>
      </c>
      <c r="X1340" s="2">
        <v>0.1</v>
      </c>
      <c r="Y1340" s="3">
        <v>31.45</v>
      </c>
      <c r="Z1340" t="str">
        <f t="shared" si="242"/>
        <v>Normal</v>
      </c>
      <c r="AA1340" t="str">
        <f t="shared" si="243"/>
        <v>Medium</v>
      </c>
      <c r="AB1340" t="str">
        <f t="shared" si="247"/>
        <v>Low Profit</v>
      </c>
      <c r="AC1340" s="3">
        <f t="shared" si="248"/>
        <v>3.9491197669454282E-2</v>
      </c>
      <c r="AD1340" s="3">
        <f t="shared" si="249"/>
        <v>99.547499999999999</v>
      </c>
      <c r="AE1340" s="3">
        <f t="shared" si="250"/>
        <v>3.9312499999999999</v>
      </c>
      <c r="AF1340" t="str">
        <f t="shared" si="251"/>
        <v>Regular</v>
      </c>
    </row>
    <row r="1341" spans="1:32" x14ac:dyDescent="0.25">
      <c r="A1341" t="s">
        <v>1091</v>
      </c>
      <c r="B1341" s="1">
        <v>45577</v>
      </c>
      <c r="C1341" s="1">
        <v>45587</v>
      </c>
      <c r="D1341" s="4">
        <f t="shared" si="240"/>
        <v>10</v>
      </c>
      <c r="E1341" s="4" t="str">
        <f>TEXT(Table1[[#This Row],[Order_Date]],"dddd")</f>
        <v>Saturday</v>
      </c>
      <c r="F1341" s="4">
        <f t="shared" si="241"/>
        <v>10</v>
      </c>
      <c r="G1341" t="str">
        <f t="shared" si="244"/>
        <v>October</v>
      </c>
      <c r="H1341">
        <f t="shared" si="245"/>
        <v>2024</v>
      </c>
      <c r="I1341" t="str">
        <f t="shared" si="246"/>
        <v>2024-Q4</v>
      </c>
      <c r="J1341" t="s">
        <v>55</v>
      </c>
      <c r="K1341" t="s">
        <v>1092</v>
      </c>
      <c r="L1341" t="s">
        <v>1093</v>
      </c>
      <c r="M1341" t="s">
        <v>24</v>
      </c>
      <c r="N1341" t="s">
        <v>25</v>
      </c>
      <c r="O1341" t="s">
        <v>65</v>
      </c>
      <c r="P1341" t="s">
        <v>27</v>
      </c>
      <c r="Q1341" t="s">
        <v>66</v>
      </c>
      <c r="R1341" t="s">
        <v>1094</v>
      </c>
      <c r="S1341" t="s">
        <v>30</v>
      </c>
      <c r="T1341" t="s">
        <v>82</v>
      </c>
      <c r="U1341" t="s">
        <v>1095</v>
      </c>
      <c r="V1341" s="3">
        <v>1007.36</v>
      </c>
      <c r="W1341" s="4">
        <v>8</v>
      </c>
      <c r="X1341" s="2">
        <v>0.3</v>
      </c>
      <c r="Y1341" s="3">
        <v>38.5</v>
      </c>
      <c r="Z1341" t="str">
        <f t="shared" si="242"/>
        <v>Normal</v>
      </c>
      <c r="AA1341" t="str">
        <f t="shared" si="243"/>
        <v>High</v>
      </c>
      <c r="AB1341" t="str">
        <f t="shared" si="247"/>
        <v>Low Profit</v>
      </c>
      <c r="AC1341" s="3">
        <f t="shared" si="248"/>
        <v>3.8218710292249047E-2</v>
      </c>
      <c r="AD1341" s="3">
        <f t="shared" si="249"/>
        <v>125.92</v>
      </c>
      <c r="AE1341" s="3">
        <f t="shared" si="250"/>
        <v>4.8125</v>
      </c>
      <c r="AF1341" t="str">
        <f t="shared" si="251"/>
        <v>Regular</v>
      </c>
    </row>
    <row r="1342" spans="1:32" x14ac:dyDescent="0.25">
      <c r="A1342" t="s">
        <v>4237</v>
      </c>
      <c r="B1342" s="1">
        <v>45578</v>
      </c>
      <c r="C1342" s="1">
        <v>45580</v>
      </c>
      <c r="D1342" s="4">
        <f t="shared" si="240"/>
        <v>2</v>
      </c>
      <c r="E1342" s="4" t="str">
        <f>TEXT(Table1[[#This Row],[Order_Date]],"dddd")</f>
        <v>Sunday</v>
      </c>
      <c r="F1342" s="4">
        <f t="shared" si="241"/>
        <v>10</v>
      </c>
      <c r="G1342" t="str">
        <f t="shared" si="244"/>
        <v>October</v>
      </c>
      <c r="H1342">
        <f t="shared" si="245"/>
        <v>2024</v>
      </c>
      <c r="I1342" t="str">
        <f t="shared" si="246"/>
        <v>2024-Q4</v>
      </c>
      <c r="J1342" t="s">
        <v>44</v>
      </c>
      <c r="K1342" t="s">
        <v>4238</v>
      </c>
      <c r="L1342" t="s">
        <v>4239</v>
      </c>
      <c r="M1342" t="s">
        <v>36</v>
      </c>
      <c r="N1342" t="s">
        <v>25</v>
      </c>
      <c r="O1342" t="s">
        <v>511</v>
      </c>
      <c r="P1342" t="s">
        <v>120</v>
      </c>
      <c r="Q1342" t="s">
        <v>39</v>
      </c>
      <c r="R1342" t="s">
        <v>4240</v>
      </c>
      <c r="S1342" t="s">
        <v>51</v>
      </c>
      <c r="T1342" t="s">
        <v>94</v>
      </c>
      <c r="U1342" t="s">
        <v>4241</v>
      </c>
      <c r="V1342" s="3">
        <v>4540.1899999999996</v>
      </c>
      <c r="W1342" s="4">
        <v>9</v>
      </c>
      <c r="X1342" s="2">
        <v>0.4</v>
      </c>
      <c r="Y1342" s="3">
        <v>-296.85000000000002</v>
      </c>
      <c r="Z1342" t="str">
        <f t="shared" si="242"/>
        <v>Normal</v>
      </c>
      <c r="AA1342" t="str">
        <f t="shared" si="243"/>
        <v>High</v>
      </c>
      <c r="AB1342" t="str">
        <f t="shared" si="247"/>
        <v>Loss</v>
      </c>
      <c r="AC1342" s="3">
        <f t="shared" si="248"/>
        <v>-6.5382726273570058E-2</v>
      </c>
      <c r="AD1342" s="3">
        <f t="shared" si="249"/>
        <v>504.46555555555551</v>
      </c>
      <c r="AE1342" s="3">
        <f t="shared" si="250"/>
        <v>-32.983333333333334</v>
      </c>
      <c r="AF1342" t="str">
        <f t="shared" si="251"/>
        <v>Regular</v>
      </c>
    </row>
    <row r="1343" spans="1:32" x14ac:dyDescent="0.25">
      <c r="A1343" t="s">
        <v>5234</v>
      </c>
      <c r="B1343" s="1">
        <v>45578</v>
      </c>
      <c r="C1343" s="1">
        <v>45583</v>
      </c>
      <c r="D1343" s="4">
        <f t="shared" si="240"/>
        <v>5</v>
      </c>
      <c r="E1343" s="4" t="str">
        <f>TEXT(Table1[[#This Row],[Order_Date]],"dddd")</f>
        <v>Sunday</v>
      </c>
      <c r="F1343" s="4">
        <f t="shared" si="241"/>
        <v>10</v>
      </c>
      <c r="G1343" t="str">
        <f t="shared" si="244"/>
        <v>October</v>
      </c>
      <c r="H1343">
        <f t="shared" si="245"/>
        <v>2024</v>
      </c>
      <c r="I1343" t="str">
        <f t="shared" si="246"/>
        <v>2024-Q4</v>
      </c>
      <c r="J1343" t="s">
        <v>104</v>
      </c>
      <c r="K1343" t="s">
        <v>5235</v>
      </c>
      <c r="L1343" t="s">
        <v>5236</v>
      </c>
      <c r="M1343" t="s">
        <v>24</v>
      </c>
      <c r="N1343" t="s">
        <v>25</v>
      </c>
      <c r="O1343" t="s">
        <v>511</v>
      </c>
      <c r="P1343" t="s">
        <v>120</v>
      </c>
      <c r="Q1343" t="s">
        <v>87</v>
      </c>
      <c r="R1343" t="s">
        <v>7403</v>
      </c>
      <c r="S1343" t="s">
        <v>59</v>
      </c>
      <c r="T1343" t="s">
        <v>277</v>
      </c>
      <c r="U1343" t="s">
        <v>5237</v>
      </c>
      <c r="V1343" s="3">
        <v>329.52</v>
      </c>
      <c r="W1343" s="4">
        <v>7</v>
      </c>
      <c r="X1343" s="2">
        <v>0.3</v>
      </c>
      <c r="Y1343" s="3">
        <v>0.03</v>
      </c>
      <c r="Z1343" t="str">
        <f t="shared" si="242"/>
        <v>Normal</v>
      </c>
      <c r="AA1343" t="str">
        <f t="shared" si="243"/>
        <v>High</v>
      </c>
      <c r="AB1343" t="str">
        <f t="shared" si="247"/>
        <v>Low Profit</v>
      </c>
      <c r="AC1343" s="3">
        <f t="shared" si="248"/>
        <v>9.1041514930808454E-5</v>
      </c>
      <c r="AD1343" s="3">
        <f t="shared" si="249"/>
        <v>47.074285714285715</v>
      </c>
      <c r="AE1343" s="3">
        <f t="shared" si="250"/>
        <v>4.2857142857142859E-3</v>
      </c>
      <c r="AF1343" t="str">
        <f t="shared" si="251"/>
        <v>Regular</v>
      </c>
    </row>
    <row r="1344" spans="1:32" x14ac:dyDescent="0.25">
      <c r="A1344" t="s">
        <v>3382</v>
      </c>
      <c r="B1344" s="1">
        <v>45579</v>
      </c>
      <c r="C1344" s="1">
        <v>45585</v>
      </c>
      <c r="D1344" s="4">
        <f t="shared" si="240"/>
        <v>6</v>
      </c>
      <c r="E1344" s="4" t="str">
        <f>TEXT(Table1[[#This Row],[Order_Date]],"dddd")</f>
        <v>Monday</v>
      </c>
      <c r="F1344" s="4">
        <f t="shared" si="241"/>
        <v>10</v>
      </c>
      <c r="G1344" t="str">
        <f t="shared" si="244"/>
        <v>October</v>
      </c>
      <c r="H1344">
        <f t="shared" si="245"/>
        <v>2024</v>
      </c>
      <c r="I1344" t="str">
        <f t="shared" si="246"/>
        <v>2024-Q4</v>
      </c>
      <c r="J1344" t="s">
        <v>104</v>
      </c>
      <c r="K1344" t="s">
        <v>3383</v>
      </c>
      <c r="L1344" t="s">
        <v>3384</v>
      </c>
      <c r="M1344" t="s">
        <v>24</v>
      </c>
      <c r="N1344" t="s">
        <v>25</v>
      </c>
      <c r="O1344" t="s">
        <v>119</v>
      </c>
      <c r="P1344" t="s">
        <v>120</v>
      </c>
      <c r="Q1344" t="s">
        <v>39</v>
      </c>
      <c r="R1344" t="s">
        <v>3385</v>
      </c>
      <c r="S1344" t="s">
        <v>30</v>
      </c>
      <c r="T1344" t="s">
        <v>31</v>
      </c>
      <c r="U1344" t="s">
        <v>3386</v>
      </c>
      <c r="V1344" s="3">
        <v>2792.07</v>
      </c>
      <c r="W1344" s="4">
        <v>5</v>
      </c>
      <c r="X1344" s="2">
        <v>0</v>
      </c>
      <c r="Y1344" s="3">
        <v>-326.18</v>
      </c>
      <c r="Z1344" t="str">
        <f t="shared" si="242"/>
        <v>Normal</v>
      </c>
      <c r="AA1344" t="str">
        <f t="shared" si="243"/>
        <v>Low</v>
      </c>
      <c r="AB1344" t="str">
        <f t="shared" si="247"/>
        <v>Loss</v>
      </c>
      <c r="AC1344" s="3">
        <f t="shared" si="248"/>
        <v>-0.11682371860304362</v>
      </c>
      <c r="AD1344" s="3">
        <f t="shared" si="249"/>
        <v>558.41399999999999</v>
      </c>
      <c r="AE1344" s="3">
        <f t="shared" si="250"/>
        <v>-65.236000000000004</v>
      </c>
      <c r="AF1344" t="str">
        <f t="shared" si="251"/>
        <v>Regular</v>
      </c>
    </row>
    <row r="1345" spans="1:32" x14ac:dyDescent="0.25">
      <c r="A1345" t="s">
        <v>1171</v>
      </c>
      <c r="B1345" s="1">
        <v>45579</v>
      </c>
      <c r="C1345" s="1">
        <v>45583</v>
      </c>
      <c r="D1345" s="4">
        <f t="shared" si="240"/>
        <v>4</v>
      </c>
      <c r="E1345" s="4" t="str">
        <f>TEXT(Table1[[#This Row],[Order_Date]],"dddd")</f>
        <v>Monday</v>
      </c>
      <c r="F1345" s="4">
        <f t="shared" si="241"/>
        <v>10</v>
      </c>
      <c r="G1345" t="str">
        <f t="shared" si="244"/>
        <v>October</v>
      </c>
      <c r="H1345">
        <f t="shared" si="245"/>
        <v>2024</v>
      </c>
      <c r="I1345" t="str">
        <f t="shared" si="246"/>
        <v>2024-Q4</v>
      </c>
      <c r="J1345" t="s">
        <v>44</v>
      </c>
      <c r="K1345" t="s">
        <v>1172</v>
      </c>
      <c r="L1345" t="s">
        <v>1173</v>
      </c>
      <c r="M1345" t="s">
        <v>24</v>
      </c>
      <c r="N1345" t="s">
        <v>25</v>
      </c>
      <c r="O1345" t="s">
        <v>611</v>
      </c>
      <c r="P1345" t="s">
        <v>74</v>
      </c>
      <c r="Q1345" t="s">
        <v>87</v>
      </c>
      <c r="R1345" t="s">
        <v>1174</v>
      </c>
      <c r="S1345" t="s">
        <v>30</v>
      </c>
      <c r="T1345" t="s">
        <v>41</v>
      </c>
      <c r="U1345" t="s">
        <v>1175</v>
      </c>
      <c r="V1345" s="3">
        <v>2587.09</v>
      </c>
      <c r="W1345" s="4">
        <v>4</v>
      </c>
      <c r="X1345" s="2">
        <v>0.2</v>
      </c>
      <c r="Y1345" s="3">
        <v>70.25</v>
      </c>
      <c r="Z1345" t="str">
        <f t="shared" si="242"/>
        <v>Normal</v>
      </c>
      <c r="AA1345" t="str">
        <f t="shared" si="243"/>
        <v>High</v>
      </c>
      <c r="AB1345" t="str">
        <f t="shared" si="247"/>
        <v>Low Profit</v>
      </c>
      <c r="AC1345" s="3">
        <f t="shared" si="248"/>
        <v>2.7154061126593972E-2</v>
      </c>
      <c r="AD1345" s="3">
        <f t="shared" si="249"/>
        <v>646.77250000000004</v>
      </c>
      <c r="AE1345" s="3">
        <f t="shared" si="250"/>
        <v>17.5625</v>
      </c>
      <c r="AF1345" t="str">
        <f t="shared" si="251"/>
        <v>Regular</v>
      </c>
    </row>
    <row r="1346" spans="1:32" x14ac:dyDescent="0.25">
      <c r="A1346" t="s">
        <v>6421</v>
      </c>
      <c r="B1346" s="1">
        <v>45580</v>
      </c>
      <c r="C1346" s="1">
        <v>45587</v>
      </c>
      <c r="D1346" s="4">
        <f t="shared" ref="D1346:D1409" si="252">C1346-B1346</f>
        <v>7</v>
      </c>
      <c r="E1346" s="4" t="str">
        <f>TEXT(Table1[[#This Row],[Order_Date]],"dddd")</f>
        <v>Tuesday</v>
      </c>
      <c r="F1346" s="4">
        <f t="shared" ref="F1346:F1409" si="253">MONTH(B1346)</f>
        <v>10</v>
      </c>
      <c r="G1346" t="str">
        <f t="shared" si="244"/>
        <v>October</v>
      </c>
      <c r="H1346">
        <f t="shared" si="245"/>
        <v>2024</v>
      </c>
      <c r="I1346" t="str">
        <f t="shared" si="246"/>
        <v>2024-Q4</v>
      </c>
      <c r="J1346" t="s">
        <v>44</v>
      </c>
      <c r="K1346" t="s">
        <v>6422</v>
      </c>
      <c r="L1346" t="s">
        <v>6423</v>
      </c>
      <c r="M1346" t="s">
        <v>36</v>
      </c>
      <c r="N1346" t="s">
        <v>25</v>
      </c>
      <c r="O1346" t="s">
        <v>201</v>
      </c>
      <c r="P1346" t="s">
        <v>113</v>
      </c>
      <c r="Q1346" t="s">
        <v>28</v>
      </c>
      <c r="R1346" t="s">
        <v>6424</v>
      </c>
      <c r="S1346" t="s">
        <v>51</v>
      </c>
      <c r="T1346" t="s">
        <v>52</v>
      </c>
      <c r="U1346" t="s">
        <v>6425</v>
      </c>
      <c r="V1346" s="3">
        <v>1714.58</v>
      </c>
      <c r="W1346" s="4">
        <v>8</v>
      </c>
      <c r="X1346" s="2">
        <v>0</v>
      </c>
      <c r="Y1346" s="3">
        <v>210.44</v>
      </c>
      <c r="Z1346" t="str">
        <f t="shared" ref="Z1346:Z1409" si="254">IF(OR(Y1346&lt;-800.884,Y1346&gt;1030.126),"Outlier","Normal")</f>
        <v>Normal</v>
      </c>
      <c r="AA1346" t="str">
        <f t="shared" ref="AA1346:AA1409" si="255">IF(X1346&lt;10%,"Low",IF(X1346&lt;0.2,"Medium","High"))</f>
        <v>Low</v>
      </c>
      <c r="AB1346" t="str">
        <f t="shared" si="247"/>
        <v>Low Profit</v>
      </c>
      <c r="AC1346" s="3">
        <f t="shared" si="248"/>
        <v>0.12273559705583875</v>
      </c>
      <c r="AD1346" s="3">
        <f t="shared" si="249"/>
        <v>214.32249999999999</v>
      </c>
      <c r="AE1346" s="3">
        <f t="shared" si="250"/>
        <v>26.305</v>
      </c>
      <c r="AF1346" t="str">
        <f t="shared" si="251"/>
        <v>Regular</v>
      </c>
    </row>
    <row r="1347" spans="1:32" x14ac:dyDescent="0.25">
      <c r="A1347" t="s">
        <v>1464</v>
      </c>
      <c r="B1347" s="1">
        <v>45581</v>
      </c>
      <c r="C1347" s="1">
        <v>45589</v>
      </c>
      <c r="D1347" s="4">
        <f t="shared" si="252"/>
        <v>8</v>
      </c>
      <c r="E1347" s="4" t="str">
        <f>TEXT(Table1[[#This Row],[Order_Date]],"dddd")</f>
        <v>Wednesday</v>
      </c>
      <c r="F1347" s="4">
        <f t="shared" si="253"/>
        <v>10</v>
      </c>
      <c r="G1347" t="str">
        <f t="shared" ref="G1347:G1410" si="256">TEXT(B1347,"mmmm")</f>
        <v>October</v>
      </c>
      <c r="H1347">
        <f t="shared" ref="H1347:H1410" si="257">YEAR(B1347)</f>
        <v>2024</v>
      </c>
      <c r="I1347" t="str">
        <f t="shared" ref="I1347:I1410" si="258">H1347 &amp; "-Q" &amp; INT((MONTH(B1347)+2)/3)</f>
        <v>2024-Q4</v>
      </c>
      <c r="J1347" t="s">
        <v>55</v>
      </c>
      <c r="K1347" t="s">
        <v>1465</v>
      </c>
      <c r="L1347" t="s">
        <v>1466</v>
      </c>
      <c r="M1347" t="s">
        <v>47</v>
      </c>
      <c r="N1347" t="s">
        <v>25</v>
      </c>
      <c r="O1347" t="s">
        <v>156</v>
      </c>
      <c r="P1347" t="s">
        <v>143</v>
      </c>
      <c r="Q1347" t="s">
        <v>39</v>
      </c>
      <c r="R1347" t="s">
        <v>1467</v>
      </c>
      <c r="S1347" t="s">
        <v>59</v>
      </c>
      <c r="T1347" t="s">
        <v>303</v>
      </c>
      <c r="U1347" t="s">
        <v>1468</v>
      </c>
      <c r="V1347" s="3">
        <v>4905.8999999999996</v>
      </c>
      <c r="W1347" s="4">
        <v>6</v>
      </c>
      <c r="X1347" s="2">
        <v>0.1</v>
      </c>
      <c r="Y1347" s="3">
        <v>1049.58</v>
      </c>
      <c r="Z1347" t="str">
        <f t="shared" si="254"/>
        <v>Outlier</v>
      </c>
      <c r="AA1347" t="str">
        <f t="shared" si="255"/>
        <v>Medium</v>
      </c>
      <c r="AB1347" t="str">
        <f t="shared" ref="AB1347:AB1410" si="259">IF(Y1347&lt;0, "Loss", IF(Y1347&lt;500,"Low Profit", "High Profit"))</f>
        <v>High Profit</v>
      </c>
      <c r="AC1347" s="3">
        <f t="shared" ref="AC1347:AC1410" si="260">Y1347/V1347</f>
        <v>0.21394239589066227</v>
      </c>
      <c r="AD1347" s="3">
        <f t="shared" ref="AD1347:AD1410" si="261">V1347/W1347</f>
        <v>817.65</v>
      </c>
      <c r="AE1347" s="3">
        <f t="shared" ref="AE1347:AE1410" si="262">Y1347/W1347</f>
        <v>174.92999999999998</v>
      </c>
      <c r="AF1347" t="str">
        <f t="shared" ref="AF1347:AF1410" si="263">IF(V1347&gt;5000,"High value", "Regular")</f>
        <v>Regular</v>
      </c>
    </row>
    <row r="1348" spans="1:32" x14ac:dyDescent="0.25">
      <c r="A1348" t="s">
        <v>4925</v>
      </c>
      <c r="B1348" s="1">
        <v>45581</v>
      </c>
      <c r="C1348" s="1">
        <v>45589</v>
      </c>
      <c r="D1348" s="4">
        <f t="shared" si="252"/>
        <v>8</v>
      </c>
      <c r="E1348" s="4" t="str">
        <f>TEXT(Table1[[#This Row],[Order_Date]],"dddd")</f>
        <v>Wednesday</v>
      </c>
      <c r="F1348" s="4">
        <f t="shared" si="253"/>
        <v>10</v>
      </c>
      <c r="G1348" t="str">
        <f t="shared" si="256"/>
        <v>October</v>
      </c>
      <c r="H1348">
        <f t="shared" si="257"/>
        <v>2024</v>
      </c>
      <c r="I1348" t="str">
        <f t="shared" si="258"/>
        <v>2024-Q4</v>
      </c>
      <c r="J1348" t="s">
        <v>55</v>
      </c>
      <c r="K1348" t="s">
        <v>4926</v>
      </c>
      <c r="L1348" t="s">
        <v>4927</v>
      </c>
      <c r="M1348" t="s">
        <v>24</v>
      </c>
      <c r="N1348" t="s">
        <v>25</v>
      </c>
      <c r="O1348" t="s">
        <v>80</v>
      </c>
      <c r="P1348" t="s">
        <v>49</v>
      </c>
      <c r="Q1348" t="s">
        <v>39</v>
      </c>
      <c r="R1348" t="s">
        <v>4928</v>
      </c>
      <c r="S1348" t="s">
        <v>51</v>
      </c>
      <c r="T1348" t="s">
        <v>94</v>
      </c>
      <c r="U1348" t="s">
        <v>4929</v>
      </c>
      <c r="V1348" s="3">
        <v>3794.33</v>
      </c>
      <c r="W1348" s="4">
        <v>9</v>
      </c>
      <c r="X1348" s="2">
        <v>0.1</v>
      </c>
      <c r="Y1348" s="3">
        <v>889.02</v>
      </c>
      <c r="Z1348" t="str">
        <f t="shared" si="254"/>
        <v>Normal</v>
      </c>
      <c r="AA1348" t="str">
        <f t="shared" si="255"/>
        <v>Medium</v>
      </c>
      <c r="AB1348" t="str">
        <f t="shared" si="259"/>
        <v>High Profit</v>
      </c>
      <c r="AC1348" s="3">
        <f t="shared" si="260"/>
        <v>0.23430223517722495</v>
      </c>
      <c r="AD1348" s="3">
        <f t="shared" si="261"/>
        <v>421.59222222222223</v>
      </c>
      <c r="AE1348" s="3">
        <f t="shared" si="262"/>
        <v>98.78</v>
      </c>
      <c r="AF1348" t="str">
        <f t="shared" si="263"/>
        <v>Regular</v>
      </c>
    </row>
    <row r="1349" spans="1:32" x14ac:dyDescent="0.25">
      <c r="A1349" t="s">
        <v>1524</v>
      </c>
      <c r="B1349" s="1">
        <v>45582</v>
      </c>
      <c r="C1349" s="1">
        <v>45583</v>
      </c>
      <c r="D1349" s="4">
        <f t="shared" si="252"/>
        <v>1</v>
      </c>
      <c r="E1349" s="4" t="str">
        <f>TEXT(Table1[[#This Row],[Order_Date]],"dddd")</f>
        <v>Thursday</v>
      </c>
      <c r="F1349" s="4">
        <f t="shared" si="253"/>
        <v>10</v>
      </c>
      <c r="G1349" t="str">
        <f t="shared" si="256"/>
        <v>October</v>
      </c>
      <c r="H1349">
        <f t="shared" si="257"/>
        <v>2024</v>
      </c>
      <c r="I1349" t="str">
        <f t="shared" si="258"/>
        <v>2024-Q4</v>
      </c>
      <c r="J1349" t="s">
        <v>44</v>
      </c>
      <c r="K1349" t="s">
        <v>1525</v>
      </c>
      <c r="L1349" t="s">
        <v>1526</v>
      </c>
      <c r="M1349" t="s">
        <v>36</v>
      </c>
      <c r="N1349" t="s">
        <v>25</v>
      </c>
      <c r="O1349" t="s">
        <v>233</v>
      </c>
      <c r="P1349" t="s">
        <v>163</v>
      </c>
      <c r="Q1349" t="s">
        <v>87</v>
      </c>
      <c r="R1349" t="s">
        <v>1527</v>
      </c>
      <c r="S1349" t="s">
        <v>51</v>
      </c>
      <c r="T1349" t="s">
        <v>127</v>
      </c>
      <c r="U1349" t="s">
        <v>1528</v>
      </c>
      <c r="V1349" s="3">
        <v>2516.12</v>
      </c>
      <c r="W1349" s="4">
        <v>5</v>
      </c>
      <c r="X1349" s="2">
        <v>0.3</v>
      </c>
      <c r="Y1349" s="3">
        <v>151.72</v>
      </c>
      <c r="Z1349" t="str">
        <f t="shared" si="254"/>
        <v>Normal</v>
      </c>
      <c r="AA1349" t="str">
        <f t="shared" si="255"/>
        <v>High</v>
      </c>
      <c r="AB1349" t="str">
        <f t="shared" si="259"/>
        <v>Low Profit</v>
      </c>
      <c r="AC1349" s="3">
        <f t="shared" si="260"/>
        <v>6.0299190817608067E-2</v>
      </c>
      <c r="AD1349" s="3">
        <f t="shared" si="261"/>
        <v>503.22399999999999</v>
      </c>
      <c r="AE1349" s="3">
        <f t="shared" si="262"/>
        <v>30.344000000000001</v>
      </c>
      <c r="AF1349" t="str">
        <f t="shared" si="263"/>
        <v>Regular</v>
      </c>
    </row>
    <row r="1350" spans="1:32" x14ac:dyDescent="0.25">
      <c r="A1350" t="s">
        <v>6047</v>
      </c>
      <c r="B1350" s="1">
        <v>45582</v>
      </c>
      <c r="C1350" s="1">
        <v>45585</v>
      </c>
      <c r="D1350" s="4">
        <f t="shared" si="252"/>
        <v>3</v>
      </c>
      <c r="E1350" s="4" t="str">
        <f>TEXT(Table1[[#This Row],[Order_Date]],"dddd")</f>
        <v>Thursday</v>
      </c>
      <c r="F1350" s="4">
        <f t="shared" si="253"/>
        <v>10</v>
      </c>
      <c r="G1350" t="str">
        <f t="shared" si="256"/>
        <v>October</v>
      </c>
      <c r="H1350">
        <f t="shared" si="257"/>
        <v>2024</v>
      </c>
      <c r="I1350" t="str">
        <f t="shared" si="258"/>
        <v>2024-Q4</v>
      </c>
      <c r="J1350" t="s">
        <v>104</v>
      </c>
      <c r="K1350" t="s">
        <v>6048</v>
      </c>
      <c r="L1350" t="s">
        <v>6049</v>
      </c>
      <c r="M1350" t="s">
        <v>47</v>
      </c>
      <c r="N1350" t="s">
        <v>25</v>
      </c>
      <c r="O1350" t="s">
        <v>227</v>
      </c>
      <c r="P1350" t="s">
        <v>49</v>
      </c>
      <c r="Q1350" t="s">
        <v>28</v>
      </c>
      <c r="R1350" t="s">
        <v>6050</v>
      </c>
      <c r="S1350" t="s">
        <v>51</v>
      </c>
      <c r="T1350" t="s">
        <v>94</v>
      </c>
      <c r="U1350" t="s">
        <v>6051</v>
      </c>
      <c r="V1350" s="3">
        <v>4324.68</v>
      </c>
      <c r="W1350" s="4">
        <v>5</v>
      </c>
      <c r="X1350" s="2">
        <v>0.2</v>
      </c>
      <c r="Y1350" s="3">
        <v>-549.99</v>
      </c>
      <c r="Z1350" t="str">
        <f t="shared" si="254"/>
        <v>Normal</v>
      </c>
      <c r="AA1350" t="str">
        <f t="shared" si="255"/>
        <v>High</v>
      </c>
      <c r="AB1350" t="str">
        <f t="shared" si="259"/>
        <v>Loss</v>
      </c>
      <c r="AC1350" s="3">
        <f t="shared" si="260"/>
        <v>-0.12717472737867311</v>
      </c>
      <c r="AD1350" s="3">
        <f t="shared" si="261"/>
        <v>864.93600000000004</v>
      </c>
      <c r="AE1350" s="3">
        <f t="shared" si="262"/>
        <v>-109.998</v>
      </c>
      <c r="AF1350" t="str">
        <f t="shared" si="263"/>
        <v>Regular</v>
      </c>
    </row>
    <row r="1351" spans="1:32" x14ac:dyDescent="0.25">
      <c r="A1351" t="s">
        <v>6095</v>
      </c>
      <c r="B1351" s="1">
        <v>45583</v>
      </c>
      <c r="C1351" s="1">
        <v>45589</v>
      </c>
      <c r="D1351" s="4">
        <f t="shared" si="252"/>
        <v>6</v>
      </c>
      <c r="E1351" s="4" t="str">
        <f>TEXT(Table1[[#This Row],[Order_Date]],"dddd")</f>
        <v>Friday</v>
      </c>
      <c r="F1351" s="4">
        <f t="shared" si="253"/>
        <v>10</v>
      </c>
      <c r="G1351" t="str">
        <f t="shared" si="256"/>
        <v>October</v>
      </c>
      <c r="H1351">
        <f t="shared" si="257"/>
        <v>2024</v>
      </c>
      <c r="I1351" t="str">
        <f t="shared" si="258"/>
        <v>2024-Q4</v>
      </c>
      <c r="J1351" t="s">
        <v>21</v>
      </c>
      <c r="K1351" t="s">
        <v>6096</v>
      </c>
      <c r="L1351" t="s">
        <v>6097</v>
      </c>
      <c r="M1351" t="s">
        <v>24</v>
      </c>
      <c r="N1351" t="s">
        <v>25</v>
      </c>
      <c r="O1351" t="s">
        <v>227</v>
      </c>
      <c r="P1351" t="s">
        <v>49</v>
      </c>
      <c r="Q1351" t="s">
        <v>39</v>
      </c>
      <c r="R1351" t="s">
        <v>6098</v>
      </c>
      <c r="S1351" t="s">
        <v>59</v>
      </c>
      <c r="T1351" t="s">
        <v>101</v>
      </c>
      <c r="U1351" t="s">
        <v>6099</v>
      </c>
      <c r="V1351" s="3">
        <v>2398.38</v>
      </c>
      <c r="W1351" s="4">
        <v>5</v>
      </c>
      <c r="X1351" s="2">
        <v>0</v>
      </c>
      <c r="Y1351" s="3">
        <v>-465.25</v>
      </c>
      <c r="Z1351" t="str">
        <f t="shared" si="254"/>
        <v>Normal</v>
      </c>
      <c r="AA1351" t="str">
        <f t="shared" si="255"/>
        <v>Low</v>
      </c>
      <c r="AB1351" t="str">
        <f t="shared" si="259"/>
        <v>Loss</v>
      </c>
      <c r="AC1351" s="3">
        <f t="shared" si="260"/>
        <v>-0.19398510661363086</v>
      </c>
      <c r="AD1351" s="3">
        <f t="shared" si="261"/>
        <v>479.67600000000004</v>
      </c>
      <c r="AE1351" s="3">
        <f t="shared" si="262"/>
        <v>-93.05</v>
      </c>
      <c r="AF1351" t="str">
        <f t="shared" si="263"/>
        <v>Regular</v>
      </c>
    </row>
    <row r="1352" spans="1:32" x14ac:dyDescent="0.25">
      <c r="A1352" t="s">
        <v>6572</v>
      </c>
      <c r="B1352" s="1">
        <v>45583</v>
      </c>
      <c r="C1352" s="1">
        <v>45590</v>
      </c>
      <c r="D1352" s="4">
        <f t="shared" si="252"/>
        <v>7</v>
      </c>
      <c r="E1352" s="4" t="str">
        <f>TEXT(Table1[[#This Row],[Order_Date]],"dddd")</f>
        <v>Friday</v>
      </c>
      <c r="F1352" s="4">
        <f t="shared" si="253"/>
        <v>10</v>
      </c>
      <c r="G1352" t="str">
        <f t="shared" si="256"/>
        <v>October</v>
      </c>
      <c r="H1352">
        <f t="shared" si="257"/>
        <v>2024</v>
      </c>
      <c r="I1352" t="str">
        <f t="shared" si="258"/>
        <v>2024-Q4</v>
      </c>
      <c r="J1352" t="s">
        <v>55</v>
      </c>
      <c r="K1352" t="s">
        <v>6573</v>
      </c>
      <c r="L1352" t="s">
        <v>6574</v>
      </c>
      <c r="M1352" t="s">
        <v>24</v>
      </c>
      <c r="N1352" t="s">
        <v>25</v>
      </c>
      <c r="O1352" t="s">
        <v>382</v>
      </c>
      <c r="P1352" t="s">
        <v>38</v>
      </c>
      <c r="Q1352" t="s">
        <v>66</v>
      </c>
      <c r="R1352" t="s">
        <v>6575</v>
      </c>
      <c r="S1352" t="s">
        <v>30</v>
      </c>
      <c r="T1352" t="s">
        <v>68</v>
      </c>
      <c r="U1352" t="s">
        <v>6576</v>
      </c>
      <c r="V1352" s="3">
        <v>4391.49</v>
      </c>
      <c r="W1352" s="4">
        <v>5</v>
      </c>
      <c r="X1352" s="2">
        <v>0</v>
      </c>
      <c r="Y1352" s="3">
        <v>739.49</v>
      </c>
      <c r="Z1352" t="str">
        <f t="shared" si="254"/>
        <v>Normal</v>
      </c>
      <c r="AA1352" t="str">
        <f t="shared" si="255"/>
        <v>Low</v>
      </c>
      <c r="AB1352" t="str">
        <f t="shared" si="259"/>
        <v>High Profit</v>
      </c>
      <c r="AC1352" s="3">
        <f t="shared" si="260"/>
        <v>0.16839159374153193</v>
      </c>
      <c r="AD1352" s="3">
        <f t="shared" si="261"/>
        <v>878.298</v>
      </c>
      <c r="AE1352" s="3">
        <f t="shared" si="262"/>
        <v>147.898</v>
      </c>
      <c r="AF1352" t="str">
        <f t="shared" si="263"/>
        <v>Regular</v>
      </c>
    </row>
    <row r="1353" spans="1:32" x14ac:dyDescent="0.25">
      <c r="A1353" t="s">
        <v>3025</v>
      </c>
      <c r="B1353" s="1">
        <v>45586</v>
      </c>
      <c r="C1353" s="1">
        <v>45591</v>
      </c>
      <c r="D1353" s="4">
        <f t="shared" si="252"/>
        <v>5</v>
      </c>
      <c r="E1353" s="4" t="str">
        <f>TEXT(Table1[[#This Row],[Order_Date]],"dddd")</f>
        <v>Monday</v>
      </c>
      <c r="F1353" s="4">
        <f t="shared" si="253"/>
        <v>10</v>
      </c>
      <c r="G1353" t="str">
        <f t="shared" si="256"/>
        <v>October</v>
      </c>
      <c r="H1353">
        <f t="shared" si="257"/>
        <v>2024</v>
      </c>
      <c r="I1353" t="str">
        <f t="shared" si="258"/>
        <v>2024-Q4</v>
      </c>
      <c r="J1353" t="s">
        <v>44</v>
      </c>
      <c r="K1353" t="s">
        <v>3026</v>
      </c>
      <c r="L1353" t="s">
        <v>3027</v>
      </c>
      <c r="M1353" t="s">
        <v>24</v>
      </c>
      <c r="N1353" t="s">
        <v>25</v>
      </c>
      <c r="O1353" t="s">
        <v>382</v>
      </c>
      <c r="P1353" t="s">
        <v>38</v>
      </c>
      <c r="Q1353" t="s">
        <v>39</v>
      </c>
      <c r="R1353" t="s">
        <v>3028</v>
      </c>
      <c r="S1353" t="s">
        <v>59</v>
      </c>
      <c r="T1353" t="s">
        <v>101</v>
      </c>
      <c r="U1353" t="s">
        <v>3029</v>
      </c>
      <c r="V1353" s="3">
        <v>1345.7</v>
      </c>
      <c r="W1353" s="4">
        <v>6</v>
      </c>
      <c r="X1353" s="2">
        <v>0.4</v>
      </c>
      <c r="Y1353" s="3">
        <v>-97.69</v>
      </c>
      <c r="Z1353" t="str">
        <f t="shared" si="254"/>
        <v>Normal</v>
      </c>
      <c r="AA1353" t="str">
        <f t="shared" si="255"/>
        <v>High</v>
      </c>
      <c r="AB1353" t="str">
        <f t="shared" si="259"/>
        <v>Loss</v>
      </c>
      <c r="AC1353" s="3">
        <f t="shared" si="260"/>
        <v>-7.2594188897971312E-2</v>
      </c>
      <c r="AD1353" s="3">
        <f t="shared" si="261"/>
        <v>224.28333333333333</v>
      </c>
      <c r="AE1353" s="3">
        <f t="shared" si="262"/>
        <v>-16.281666666666666</v>
      </c>
      <c r="AF1353" t="str">
        <f t="shared" si="263"/>
        <v>Regular</v>
      </c>
    </row>
    <row r="1354" spans="1:32" x14ac:dyDescent="0.25">
      <c r="A1354" t="s">
        <v>4317</v>
      </c>
      <c r="B1354" s="1">
        <v>45587</v>
      </c>
      <c r="C1354" s="1">
        <v>45590</v>
      </c>
      <c r="D1354" s="4">
        <f t="shared" si="252"/>
        <v>3</v>
      </c>
      <c r="E1354" s="4" t="str">
        <f>TEXT(Table1[[#This Row],[Order_Date]],"dddd")</f>
        <v>Tuesday</v>
      </c>
      <c r="F1354" s="4">
        <f t="shared" si="253"/>
        <v>10</v>
      </c>
      <c r="G1354" t="str">
        <f t="shared" si="256"/>
        <v>October</v>
      </c>
      <c r="H1354">
        <f t="shared" si="257"/>
        <v>2024</v>
      </c>
      <c r="I1354" t="str">
        <f t="shared" si="258"/>
        <v>2024-Q4</v>
      </c>
      <c r="J1354" t="s">
        <v>44</v>
      </c>
      <c r="K1354" t="s">
        <v>4318</v>
      </c>
      <c r="L1354" t="s">
        <v>4319</v>
      </c>
      <c r="M1354" t="s">
        <v>24</v>
      </c>
      <c r="N1354" t="s">
        <v>25</v>
      </c>
      <c r="O1354" t="s">
        <v>142</v>
      </c>
      <c r="P1354" t="s">
        <v>143</v>
      </c>
      <c r="Q1354" t="s">
        <v>28</v>
      </c>
      <c r="R1354" t="s">
        <v>4320</v>
      </c>
      <c r="S1354" t="s">
        <v>59</v>
      </c>
      <c r="T1354" t="s">
        <v>60</v>
      </c>
      <c r="U1354" t="s">
        <v>4321</v>
      </c>
      <c r="V1354" s="3">
        <v>742.29</v>
      </c>
      <c r="W1354" s="4">
        <v>4</v>
      </c>
      <c r="X1354" s="2">
        <v>0</v>
      </c>
      <c r="Y1354" s="3">
        <v>169.68</v>
      </c>
      <c r="Z1354" t="str">
        <f t="shared" si="254"/>
        <v>Normal</v>
      </c>
      <c r="AA1354" t="str">
        <f t="shared" si="255"/>
        <v>Low</v>
      </c>
      <c r="AB1354" t="str">
        <f t="shared" si="259"/>
        <v>Low Profit</v>
      </c>
      <c r="AC1354" s="3">
        <f t="shared" si="260"/>
        <v>0.22858990421533365</v>
      </c>
      <c r="AD1354" s="3">
        <f t="shared" si="261"/>
        <v>185.57249999999999</v>
      </c>
      <c r="AE1354" s="3">
        <f t="shared" si="262"/>
        <v>42.42</v>
      </c>
      <c r="AF1354" t="str">
        <f t="shared" si="263"/>
        <v>Regular</v>
      </c>
    </row>
    <row r="1355" spans="1:32" x14ac:dyDescent="0.25">
      <c r="A1355" t="s">
        <v>1287</v>
      </c>
      <c r="B1355" s="1">
        <v>45587</v>
      </c>
      <c r="C1355" s="1">
        <v>45596</v>
      </c>
      <c r="D1355" s="4">
        <f t="shared" si="252"/>
        <v>9</v>
      </c>
      <c r="E1355" s="4" t="str">
        <f>TEXT(Table1[[#This Row],[Order_Date]],"dddd")</f>
        <v>Tuesday</v>
      </c>
      <c r="F1355" s="4">
        <f t="shared" si="253"/>
        <v>10</v>
      </c>
      <c r="G1355" t="str">
        <f t="shared" si="256"/>
        <v>October</v>
      </c>
      <c r="H1355">
        <f t="shared" si="257"/>
        <v>2024</v>
      </c>
      <c r="I1355" t="str">
        <f t="shared" si="258"/>
        <v>2024-Q4</v>
      </c>
      <c r="J1355" t="s">
        <v>44</v>
      </c>
      <c r="K1355" t="s">
        <v>1288</v>
      </c>
      <c r="L1355" t="s">
        <v>1289</v>
      </c>
      <c r="M1355" t="s">
        <v>36</v>
      </c>
      <c r="N1355" t="s">
        <v>25</v>
      </c>
      <c r="O1355" t="s">
        <v>244</v>
      </c>
      <c r="P1355" t="s">
        <v>163</v>
      </c>
      <c r="Q1355" t="s">
        <v>87</v>
      </c>
      <c r="R1355" t="s">
        <v>1290</v>
      </c>
      <c r="S1355" t="s">
        <v>30</v>
      </c>
      <c r="T1355" t="s">
        <v>68</v>
      </c>
      <c r="U1355" t="s">
        <v>1291</v>
      </c>
      <c r="V1355" s="3">
        <v>966.49</v>
      </c>
      <c r="W1355" s="4">
        <v>7</v>
      </c>
      <c r="X1355" s="2">
        <v>0.2</v>
      </c>
      <c r="Y1355" s="3">
        <v>-39.65</v>
      </c>
      <c r="Z1355" t="str">
        <f t="shared" si="254"/>
        <v>Normal</v>
      </c>
      <c r="AA1355" t="str">
        <f t="shared" si="255"/>
        <v>High</v>
      </c>
      <c r="AB1355" t="str">
        <f t="shared" si="259"/>
        <v>Loss</v>
      </c>
      <c r="AC1355" s="3">
        <f t="shared" si="260"/>
        <v>-4.1024739004024868E-2</v>
      </c>
      <c r="AD1355" s="3">
        <f t="shared" si="261"/>
        <v>138.07</v>
      </c>
      <c r="AE1355" s="3">
        <f t="shared" si="262"/>
        <v>-5.6642857142857137</v>
      </c>
      <c r="AF1355" t="str">
        <f t="shared" si="263"/>
        <v>Regular</v>
      </c>
    </row>
    <row r="1356" spans="1:32" x14ac:dyDescent="0.25">
      <c r="A1356" t="s">
        <v>6223</v>
      </c>
      <c r="B1356" s="1">
        <v>45587</v>
      </c>
      <c r="C1356" s="1">
        <v>45594</v>
      </c>
      <c r="D1356" s="4">
        <f t="shared" si="252"/>
        <v>7</v>
      </c>
      <c r="E1356" s="4" t="str">
        <f>TEXT(Table1[[#This Row],[Order_Date]],"dddd")</f>
        <v>Tuesday</v>
      </c>
      <c r="F1356" s="4">
        <f t="shared" si="253"/>
        <v>10</v>
      </c>
      <c r="G1356" t="str">
        <f t="shared" si="256"/>
        <v>October</v>
      </c>
      <c r="H1356">
        <f t="shared" si="257"/>
        <v>2024</v>
      </c>
      <c r="I1356" t="str">
        <f t="shared" si="258"/>
        <v>2024-Q4</v>
      </c>
      <c r="J1356" t="s">
        <v>44</v>
      </c>
      <c r="K1356" t="s">
        <v>6224</v>
      </c>
      <c r="L1356" t="s">
        <v>6225</v>
      </c>
      <c r="M1356" t="s">
        <v>24</v>
      </c>
      <c r="N1356" t="s">
        <v>25</v>
      </c>
      <c r="O1356" t="s">
        <v>244</v>
      </c>
      <c r="P1356" t="s">
        <v>163</v>
      </c>
      <c r="Q1356" t="s">
        <v>28</v>
      </c>
      <c r="R1356" t="s">
        <v>6226</v>
      </c>
      <c r="S1356" t="s">
        <v>51</v>
      </c>
      <c r="T1356" t="s">
        <v>151</v>
      </c>
      <c r="U1356" t="s">
        <v>6227</v>
      </c>
      <c r="V1356" s="3">
        <v>1297.04</v>
      </c>
      <c r="W1356" s="4">
        <v>5</v>
      </c>
      <c r="X1356" s="2">
        <v>0.4</v>
      </c>
      <c r="Y1356" s="3">
        <v>147.08000000000001</v>
      </c>
      <c r="Z1356" t="str">
        <f t="shared" si="254"/>
        <v>Normal</v>
      </c>
      <c r="AA1356" t="str">
        <f t="shared" si="255"/>
        <v>High</v>
      </c>
      <c r="AB1356" t="str">
        <f t="shared" si="259"/>
        <v>Low Profit</v>
      </c>
      <c r="AC1356" s="3">
        <f t="shared" si="260"/>
        <v>0.11339665700363907</v>
      </c>
      <c r="AD1356" s="3">
        <f t="shared" si="261"/>
        <v>259.40800000000002</v>
      </c>
      <c r="AE1356" s="3">
        <f t="shared" si="262"/>
        <v>29.416000000000004</v>
      </c>
      <c r="AF1356" t="str">
        <f t="shared" si="263"/>
        <v>Regular</v>
      </c>
    </row>
    <row r="1357" spans="1:32" x14ac:dyDescent="0.25">
      <c r="A1357" t="s">
        <v>1352</v>
      </c>
      <c r="B1357" s="1">
        <v>45588</v>
      </c>
      <c r="C1357" s="1">
        <v>45590</v>
      </c>
      <c r="D1357" s="4">
        <f t="shared" si="252"/>
        <v>2</v>
      </c>
      <c r="E1357" s="4" t="str">
        <f>TEXT(Table1[[#This Row],[Order_Date]],"dddd")</f>
        <v>Wednesday</v>
      </c>
      <c r="F1357" s="4">
        <f t="shared" si="253"/>
        <v>10</v>
      </c>
      <c r="G1357" t="str">
        <f t="shared" si="256"/>
        <v>October</v>
      </c>
      <c r="H1357">
        <f t="shared" si="257"/>
        <v>2024</v>
      </c>
      <c r="I1357" t="str">
        <f t="shared" si="258"/>
        <v>2024-Q4</v>
      </c>
      <c r="J1357" t="s">
        <v>21</v>
      </c>
      <c r="K1357" t="s">
        <v>1353</v>
      </c>
      <c r="L1357" t="s">
        <v>1354</v>
      </c>
      <c r="M1357" t="s">
        <v>24</v>
      </c>
      <c r="N1357" t="s">
        <v>25</v>
      </c>
      <c r="O1357" t="s">
        <v>73</v>
      </c>
      <c r="P1357" t="s">
        <v>74</v>
      </c>
      <c r="Q1357" t="s">
        <v>87</v>
      </c>
      <c r="R1357" t="s">
        <v>1355</v>
      </c>
      <c r="S1357" t="s">
        <v>51</v>
      </c>
      <c r="T1357" t="s">
        <v>94</v>
      </c>
      <c r="U1357" t="s">
        <v>1356</v>
      </c>
      <c r="V1357" s="3">
        <v>350.5</v>
      </c>
      <c r="W1357" s="4">
        <v>9</v>
      </c>
      <c r="X1357" s="2">
        <v>0.1</v>
      </c>
      <c r="Y1357" s="3">
        <v>54.96</v>
      </c>
      <c r="Z1357" t="str">
        <f t="shared" si="254"/>
        <v>Normal</v>
      </c>
      <c r="AA1357" t="str">
        <f t="shared" si="255"/>
        <v>Medium</v>
      </c>
      <c r="AB1357" t="str">
        <f t="shared" si="259"/>
        <v>Low Profit</v>
      </c>
      <c r="AC1357" s="3">
        <f t="shared" si="260"/>
        <v>0.15680456490727532</v>
      </c>
      <c r="AD1357" s="3">
        <f t="shared" si="261"/>
        <v>38.944444444444443</v>
      </c>
      <c r="AE1357" s="3">
        <f t="shared" si="262"/>
        <v>6.1066666666666665</v>
      </c>
      <c r="AF1357" t="str">
        <f t="shared" si="263"/>
        <v>Regular</v>
      </c>
    </row>
    <row r="1358" spans="1:32" x14ac:dyDescent="0.25">
      <c r="A1358" t="s">
        <v>6171</v>
      </c>
      <c r="B1358" s="1">
        <v>45588</v>
      </c>
      <c r="C1358" s="1">
        <v>45590</v>
      </c>
      <c r="D1358" s="4">
        <f t="shared" si="252"/>
        <v>2</v>
      </c>
      <c r="E1358" s="4" t="str">
        <f>TEXT(Table1[[#This Row],[Order_Date]],"dddd")</f>
        <v>Wednesday</v>
      </c>
      <c r="F1358" s="4">
        <f t="shared" si="253"/>
        <v>10</v>
      </c>
      <c r="G1358" t="str">
        <f t="shared" si="256"/>
        <v>October</v>
      </c>
      <c r="H1358">
        <f t="shared" si="257"/>
        <v>2024</v>
      </c>
      <c r="I1358" t="str">
        <f t="shared" si="258"/>
        <v>2024-Q4</v>
      </c>
      <c r="J1358" t="s">
        <v>104</v>
      </c>
      <c r="K1358" t="s">
        <v>6172</v>
      </c>
      <c r="L1358" t="s">
        <v>6173</v>
      </c>
      <c r="M1358" t="s">
        <v>36</v>
      </c>
      <c r="N1358" t="s">
        <v>25</v>
      </c>
      <c r="O1358" t="s">
        <v>611</v>
      </c>
      <c r="P1358" t="s">
        <v>74</v>
      </c>
      <c r="Q1358" t="s">
        <v>39</v>
      </c>
      <c r="R1358" t="s">
        <v>6174</v>
      </c>
      <c r="S1358" t="s">
        <v>30</v>
      </c>
      <c r="T1358" t="s">
        <v>41</v>
      </c>
      <c r="U1358" t="s">
        <v>5376</v>
      </c>
      <c r="V1358" s="3">
        <v>1971.99</v>
      </c>
      <c r="W1358" s="4">
        <v>5</v>
      </c>
      <c r="X1358" s="2">
        <v>0.2</v>
      </c>
      <c r="Y1358" s="3">
        <v>-306.68</v>
      </c>
      <c r="Z1358" t="str">
        <f t="shared" si="254"/>
        <v>Normal</v>
      </c>
      <c r="AA1358" t="str">
        <f t="shared" si="255"/>
        <v>High</v>
      </c>
      <c r="AB1358" t="str">
        <f t="shared" si="259"/>
        <v>Loss</v>
      </c>
      <c r="AC1358" s="3">
        <f t="shared" si="260"/>
        <v>-0.15551803001029418</v>
      </c>
      <c r="AD1358" s="3">
        <f t="shared" si="261"/>
        <v>394.39800000000002</v>
      </c>
      <c r="AE1358" s="3">
        <f t="shared" si="262"/>
        <v>-61.335999999999999</v>
      </c>
      <c r="AF1358" t="str">
        <f t="shared" si="263"/>
        <v>Regular</v>
      </c>
    </row>
    <row r="1359" spans="1:32" x14ac:dyDescent="0.25">
      <c r="A1359" t="s">
        <v>7372</v>
      </c>
      <c r="B1359" s="1">
        <v>45589</v>
      </c>
      <c r="C1359" s="1">
        <v>45595</v>
      </c>
      <c r="D1359" s="4">
        <f t="shared" si="252"/>
        <v>6</v>
      </c>
      <c r="E1359" s="4" t="str">
        <f>TEXT(Table1[[#This Row],[Order_Date]],"dddd")</f>
        <v>Thursday</v>
      </c>
      <c r="F1359" s="4">
        <f t="shared" si="253"/>
        <v>10</v>
      </c>
      <c r="G1359" t="str">
        <f t="shared" si="256"/>
        <v>October</v>
      </c>
      <c r="H1359">
        <f t="shared" si="257"/>
        <v>2024</v>
      </c>
      <c r="I1359" t="str">
        <f t="shared" si="258"/>
        <v>2024-Q4</v>
      </c>
      <c r="J1359" t="s">
        <v>55</v>
      </c>
      <c r="K1359" t="s">
        <v>7373</v>
      </c>
      <c r="L1359" t="s">
        <v>7374</v>
      </c>
      <c r="M1359" t="s">
        <v>36</v>
      </c>
      <c r="N1359" t="s">
        <v>25</v>
      </c>
      <c r="O1359" t="s">
        <v>37</v>
      </c>
      <c r="P1359" t="s">
        <v>38</v>
      </c>
      <c r="Q1359" t="s">
        <v>66</v>
      </c>
      <c r="R1359" t="s">
        <v>7375</v>
      </c>
      <c r="S1359" t="s">
        <v>59</v>
      </c>
      <c r="T1359" t="s">
        <v>303</v>
      </c>
      <c r="U1359" t="s">
        <v>7376</v>
      </c>
      <c r="V1359" s="3">
        <v>2897.2</v>
      </c>
      <c r="W1359" s="4">
        <v>3</v>
      </c>
      <c r="X1359" s="2">
        <v>0</v>
      </c>
      <c r="Y1359" s="3">
        <v>363.31</v>
      </c>
      <c r="Z1359" t="str">
        <f t="shared" si="254"/>
        <v>Normal</v>
      </c>
      <c r="AA1359" t="str">
        <f t="shared" si="255"/>
        <v>Low</v>
      </c>
      <c r="AB1359" t="str">
        <f t="shared" si="259"/>
        <v>Low Profit</v>
      </c>
      <c r="AC1359" s="3">
        <f t="shared" si="260"/>
        <v>0.12540038658014635</v>
      </c>
      <c r="AD1359" s="3">
        <f t="shared" si="261"/>
        <v>965.73333333333323</v>
      </c>
      <c r="AE1359" s="3">
        <f t="shared" si="262"/>
        <v>121.10333333333334</v>
      </c>
      <c r="AF1359" t="str">
        <f t="shared" si="263"/>
        <v>Regular</v>
      </c>
    </row>
    <row r="1360" spans="1:32" x14ac:dyDescent="0.25">
      <c r="A1360" t="s">
        <v>7102</v>
      </c>
      <c r="B1360" s="1">
        <v>45589</v>
      </c>
      <c r="C1360" s="1">
        <v>45591</v>
      </c>
      <c r="D1360" s="4">
        <f t="shared" si="252"/>
        <v>2</v>
      </c>
      <c r="E1360" s="4" t="str">
        <f>TEXT(Table1[[#This Row],[Order_Date]],"dddd")</f>
        <v>Thursday</v>
      </c>
      <c r="F1360" s="4">
        <f t="shared" si="253"/>
        <v>10</v>
      </c>
      <c r="G1360" t="str">
        <f t="shared" si="256"/>
        <v>October</v>
      </c>
      <c r="H1360">
        <f t="shared" si="257"/>
        <v>2024</v>
      </c>
      <c r="I1360" t="str">
        <f t="shared" si="258"/>
        <v>2024-Q4</v>
      </c>
      <c r="J1360" t="s">
        <v>21</v>
      </c>
      <c r="K1360" t="s">
        <v>7103</v>
      </c>
      <c r="L1360" t="s">
        <v>7104</v>
      </c>
      <c r="M1360" t="s">
        <v>47</v>
      </c>
      <c r="N1360" t="s">
        <v>25</v>
      </c>
      <c r="O1360" t="s">
        <v>99</v>
      </c>
      <c r="P1360" t="s">
        <v>74</v>
      </c>
      <c r="Q1360" t="s">
        <v>66</v>
      </c>
      <c r="R1360" t="s">
        <v>7105</v>
      </c>
      <c r="S1360" t="s">
        <v>59</v>
      </c>
      <c r="T1360" t="s">
        <v>303</v>
      </c>
      <c r="U1360" t="s">
        <v>7106</v>
      </c>
      <c r="V1360" s="3">
        <v>4482.9799999999996</v>
      </c>
      <c r="W1360" s="4">
        <v>2</v>
      </c>
      <c r="X1360" s="2">
        <v>0.3</v>
      </c>
      <c r="Y1360" s="3">
        <v>59.11</v>
      </c>
      <c r="Z1360" t="str">
        <f t="shared" si="254"/>
        <v>Normal</v>
      </c>
      <c r="AA1360" t="str">
        <f t="shared" si="255"/>
        <v>High</v>
      </c>
      <c r="AB1360" t="str">
        <f t="shared" si="259"/>
        <v>Low Profit</v>
      </c>
      <c r="AC1360" s="3">
        <f t="shared" si="260"/>
        <v>1.3185425765896793E-2</v>
      </c>
      <c r="AD1360" s="3">
        <f t="shared" si="261"/>
        <v>2241.4899999999998</v>
      </c>
      <c r="AE1360" s="3">
        <f t="shared" si="262"/>
        <v>29.555</v>
      </c>
      <c r="AF1360" t="str">
        <f t="shared" si="263"/>
        <v>Regular</v>
      </c>
    </row>
    <row r="1361" spans="1:32" x14ac:dyDescent="0.25">
      <c r="A1361" t="s">
        <v>4545</v>
      </c>
      <c r="B1361" s="1">
        <v>45589</v>
      </c>
      <c r="C1361" s="1">
        <v>45595</v>
      </c>
      <c r="D1361" s="4">
        <f t="shared" si="252"/>
        <v>6</v>
      </c>
      <c r="E1361" s="4" t="str">
        <f>TEXT(Table1[[#This Row],[Order_Date]],"dddd")</f>
        <v>Thursday</v>
      </c>
      <c r="F1361" s="4">
        <f t="shared" si="253"/>
        <v>10</v>
      </c>
      <c r="G1361" t="str">
        <f t="shared" si="256"/>
        <v>October</v>
      </c>
      <c r="H1361">
        <f t="shared" si="257"/>
        <v>2024</v>
      </c>
      <c r="I1361" t="str">
        <f t="shared" si="258"/>
        <v>2024-Q4</v>
      </c>
      <c r="J1361" t="s">
        <v>21</v>
      </c>
      <c r="K1361" t="s">
        <v>4546</v>
      </c>
      <c r="L1361" t="s">
        <v>4547</v>
      </c>
      <c r="M1361" t="s">
        <v>24</v>
      </c>
      <c r="N1361" t="s">
        <v>25</v>
      </c>
      <c r="O1361" t="s">
        <v>162</v>
      </c>
      <c r="P1361" t="s">
        <v>163</v>
      </c>
      <c r="Q1361" t="s">
        <v>66</v>
      </c>
      <c r="R1361" t="s">
        <v>7403</v>
      </c>
      <c r="S1361" t="s">
        <v>51</v>
      </c>
      <c r="T1361" t="s">
        <v>151</v>
      </c>
      <c r="U1361" t="s">
        <v>4548</v>
      </c>
      <c r="V1361" s="3">
        <v>1960.17</v>
      </c>
      <c r="W1361" s="4">
        <v>5</v>
      </c>
      <c r="X1361" s="2">
        <v>0.1</v>
      </c>
      <c r="Y1361" s="3">
        <v>-77.150000000000006</v>
      </c>
      <c r="Z1361" t="str">
        <f t="shared" si="254"/>
        <v>Normal</v>
      </c>
      <c r="AA1361" t="str">
        <f t="shared" si="255"/>
        <v>Medium</v>
      </c>
      <c r="AB1361" t="str">
        <f t="shared" si="259"/>
        <v>Loss</v>
      </c>
      <c r="AC1361" s="3">
        <f t="shared" si="260"/>
        <v>-3.9358831121790457E-2</v>
      </c>
      <c r="AD1361" s="3">
        <f t="shared" si="261"/>
        <v>392.03399999999999</v>
      </c>
      <c r="AE1361" s="3">
        <f t="shared" si="262"/>
        <v>-15.430000000000001</v>
      </c>
      <c r="AF1361" t="str">
        <f t="shared" si="263"/>
        <v>Regular</v>
      </c>
    </row>
    <row r="1362" spans="1:32" x14ac:dyDescent="0.25">
      <c r="A1362" t="s">
        <v>230</v>
      </c>
      <c r="B1362" s="1">
        <v>45590</v>
      </c>
      <c r="C1362" s="1">
        <v>45593</v>
      </c>
      <c r="D1362" s="4">
        <f t="shared" si="252"/>
        <v>3</v>
      </c>
      <c r="E1362" s="4" t="str">
        <f>TEXT(Table1[[#This Row],[Order_Date]],"dddd")</f>
        <v>Friday</v>
      </c>
      <c r="F1362" s="4">
        <f t="shared" si="253"/>
        <v>10</v>
      </c>
      <c r="G1362" t="str">
        <f t="shared" si="256"/>
        <v>October</v>
      </c>
      <c r="H1362">
        <f t="shared" si="257"/>
        <v>2024</v>
      </c>
      <c r="I1362" t="str">
        <f t="shared" si="258"/>
        <v>2024-Q4</v>
      </c>
      <c r="J1362" t="s">
        <v>21</v>
      </c>
      <c r="K1362" t="s">
        <v>231</v>
      </c>
      <c r="L1362" t="s">
        <v>232</v>
      </c>
      <c r="M1362" t="s">
        <v>36</v>
      </c>
      <c r="N1362" t="s">
        <v>25</v>
      </c>
      <c r="O1362" t="s">
        <v>233</v>
      </c>
      <c r="P1362" t="s">
        <v>163</v>
      </c>
      <c r="Q1362" t="s">
        <v>87</v>
      </c>
      <c r="R1362" t="s">
        <v>234</v>
      </c>
      <c r="S1362" t="s">
        <v>30</v>
      </c>
      <c r="T1362" t="s">
        <v>31</v>
      </c>
      <c r="U1362" t="s">
        <v>235</v>
      </c>
      <c r="V1362" s="3">
        <v>1054.82</v>
      </c>
      <c r="W1362" s="4">
        <v>3</v>
      </c>
      <c r="X1362" s="2">
        <v>0.4</v>
      </c>
      <c r="Y1362" s="3">
        <v>192.23</v>
      </c>
      <c r="Z1362" t="str">
        <f t="shared" si="254"/>
        <v>Normal</v>
      </c>
      <c r="AA1362" t="str">
        <f t="shared" si="255"/>
        <v>High</v>
      </c>
      <c r="AB1362" t="str">
        <f t="shared" si="259"/>
        <v>Low Profit</v>
      </c>
      <c r="AC1362" s="3">
        <f t="shared" si="260"/>
        <v>0.1822396238220739</v>
      </c>
      <c r="AD1362" s="3">
        <f t="shared" si="261"/>
        <v>351.60666666666663</v>
      </c>
      <c r="AE1362" s="3">
        <f t="shared" si="262"/>
        <v>64.076666666666668</v>
      </c>
      <c r="AF1362" t="str">
        <f t="shared" si="263"/>
        <v>Regular</v>
      </c>
    </row>
    <row r="1363" spans="1:32" x14ac:dyDescent="0.25">
      <c r="A1363" t="s">
        <v>5608</v>
      </c>
      <c r="B1363" s="1">
        <v>45590</v>
      </c>
      <c r="C1363" s="1">
        <v>45597</v>
      </c>
      <c r="D1363" s="4">
        <f t="shared" si="252"/>
        <v>7</v>
      </c>
      <c r="E1363" s="4" t="str">
        <f>TEXT(Table1[[#This Row],[Order_Date]],"dddd")</f>
        <v>Friday</v>
      </c>
      <c r="F1363" s="4">
        <f t="shared" si="253"/>
        <v>10</v>
      </c>
      <c r="G1363" t="str">
        <f t="shared" si="256"/>
        <v>October</v>
      </c>
      <c r="H1363">
        <f t="shared" si="257"/>
        <v>2024</v>
      </c>
      <c r="I1363" t="str">
        <f t="shared" si="258"/>
        <v>2024-Q4</v>
      </c>
      <c r="J1363" t="s">
        <v>104</v>
      </c>
      <c r="K1363" t="s">
        <v>5609</v>
      </c>
      <c r="L1363" t="s">
        <v>5610</v>
      </c>
      <c r="M1363" t="s">
        <v>24</v>
      </c>
      <c r="N1363" t="s">
        <v>25</v>
      </c>
      <c r="O1363" t="s">
        <v>65</v>
      </c>
      <c r="P1363" t="s">
        <v>27</v>
      </c>
      <c r="Q1363" t="s">
        <v>28</v>
      </c>
      <c r="R1363" t="s">
        <v>5611</v>
      </c>
      <c r="S1363" t="s">
        <v>51</v>
      </c>
      <c r="T1363" t="s">
        <v>52</v>
      </c>
      <c r="U1363" t="s">
        <v>5612</v>
      </c>
      <c r="V1363" s="3">
        <v>141.32</v>
      </c>
      <c r="W1363" s="4">
        <v>4</v>
      </c>
      <c r="X1363" s="2">
        <v>0.4</v>
      </c>
      <c r="Y1363" s="3">
        <v>-9.84</v>
      </c>
      <c r="Z1363" t="str">
        <f t="shared" si="254"/>
        <v>Normal</v>
      </c>
      <c r="AA1363" t="str">
        <f t="shared" si="255"/>
        <v>High</v>
      </c>
      <c r="AB1363" t="str">
        <f t="shared" si="259"/>
        <v>Loss</v>
      </c>
      <c r="AC1363" s="3">
        <f t="shared" si="260"/>
        <v>-6.9629210302858763E-2</v>
      </c>
      <c r="AD1363" s="3">
        <f t="shared" si="261"/>
        <v>35.33</v>
      </c>
      <c r="AE1363" s="3">
        <f t="shared" si="262"/>
        <v>-2.46</v>
      </c>
      <c r="AF1363" t="str">
        <f t="shared" si="263"/>
        <v>Regular</v>
      </c>
    </row>
    <row r="1364" spans="1:32" x14ac:dyDescent="0.25">
      <c r="A1364" t="s">
        <v>991</v>
      </c>
      <c r="B1364" s="1">
        <v>45590</v>
      </c>
      <c r="C1364" s="1">
        <v>45591</v>
      </c>
      <c r="D1364" s="4">
        <f t="shared" si="252"/>
        <v>1</v>
      </c>
      <c r="E1364" s="4" t="str">
        <f>TEXT(Table1[[#This Row],[Order_Date]],"dddd")</f>
        <v>Friday</v>
      </c>
      <c r="F1364" s="4">
        <f t="shared" si="253"/>
        <v>10</v>
      </c>
      <c r="G1364" t="str">
        <f t="shared" si="256"/>
        <v>October</v>
      </c>
      <c r="H1364">
        <f t="shared" si="257"/>
        <v>2024</v>
      </c>
      <c r="I1364" t="str">
        <f t="shared" si="258"/>
        <v>2024-Q4</v>
      </c>
      <c r="J1364" t="s">
        <v>55</v>
      </c>
      <c r="K1364" t="s">
        <v>992</v>
      </c>
      <c r="L1364" t="s">
        <v>993</v>
      </c>
      <c r="M1364" t="s">
        <v>24</v>
      </c>
      <c r="N1364" t="s">
        <v>25</v>
      </c>
      <c r="O1364" t="s">
        <v>48</v>
      </c>
      <c r="P1364" t="s">
        <v>49</v>
      </c>
      <c r="Q1364" t="s">
        <v>39</v>
      </c>
      <c r="R1364" t="s">
        <v>994</v>
      </c>
      <c r="S1364" t="s">
        <v>30</v>
      </c>
      <c r="T1364" t="s">
        <v>41</v>
      </c>
      <c r="U1364" t="s">
        <v>995</v>
      </c>
      <c r="V1364" s="3">
        <v>1690.82</v>
      </c>
      <c r="W1364" s="4">
        <v>2</v>
      </c>
      <c r="X1364" s="2">
        <v>0.4</v>
      </c>
      <c r="Y1364" s="3">
        <v>339.17</v>
      </c>
      <c r="Z1364" t="str">
        <f t="shared" si="254"/>
        <v>Normal</v>
      </c>
      <c r="AA1364" t="str">
        <f t="shared" si="255"/>
        <v>High</v>
      </c>
      <c r="AB1364" t="str">
        <f t="shared" si="259"/>
        <v>Low Profit</v>
      </c>
      <c r="AC1364" s="3">
        <f t="shared" si="260"/>
        <v>0.20059497758484052</v>
      </c>
      <c r="AD1364" s="3">
        <f t="shared" si="261"/>
        <v>845.41</v>
      </c>
      <c r="AE1364" s="3">
        <f t="shared" si="262"/>
        <v>169.58500000000001</v>
      </c>
      <c r="AF1364" t="str">
        <f t="shared" si="263"/>
        <v>Regular</v>
      </c>
    </row>
    <row r="1365" spans="1:32" x14ac:dyDescent="0.25">
      <c r="A1365" t="s">
        <v>5797</v>
      </c>
      <c r="B1365" s="1">
        <v>45590</v>
      </c>
      <c r="C1365" s="1">
        <v>45596</v>
      </c>
      <c r="D1365" s="4">
        <f t="shared" si="252"/>
        <v>6</v>
      </c>
      <c r="E1365" s="4" t="str">
        <f>TEXT(Table1[[#This Row],[Order_Date]],"dddd")</f>
        <v>Friday</v>
      </c>
      <c r="F1365" s="4">
        <f t="shared" si="253"/>
        <v>10</v>
      </c>
      <c r="G1365" t="str">
        <f t="shared" si="256"/>
        <v>October</v>
      </c>
      <c r="H1365">
        <f t="shared" si="257"/>
        <v>2024</v>
      </c>
      <c r="I1365" t="str">
        <f t="shared" si="258"/>
        <v>2024-Q4</v>
      </c>
      <c r="J1365" t="s">
        <v>44</v>
      </c>
      <c r="K1365" t="s">
        <v>5798</v>
      </c>
      <c r="L1365" t="s">
        <v>5799</v>
      </c>
      <c r="M1365" t="s">
        <v>24</v>
      </c>
      <c r="N1365" t="s">
        <v>25</v>
      </c>
      <c r="O1365" t="s">
        <v>227</v>
      </c>
      <c r="P1365" t="s">
        <v>49</v>
      </c>
      <c r="Q1365" t="s">
        <v>39</v>
      </c>
      <c r="R1365" t="s">
        <v>5800</v>
      </c>
      <c r="S1365" t="s">
        <v>51</v>
      </c>
      <c r="T1365" t="s">
        <v>151</v>
      </c>
      <c r="U1365" t="s">
        <v>5801</v>
      </c>
      <c r="V1365" s="3">
        <v>688.8</v>
      </c>
      <c r="W1365" s="4">
        <v>6</v>
      </c>
      <c r="X1365" s="2">
        <v>0.1</v>
      </c>
      <c r="Y1365" s="3">
        <v>-1.69</v>
      </c>
      <c r="Z1365" t="str">
        <f t="shared" si="254"/>
        <v>Normal</v>
      </c>
      <c r="AA1365" t="str">
        <f t="shared" si="255"/>
        <v>Medium</v>
      </c>
      <c r="AB1365" t="str">
        <f t="shared" si="259"/>
        <v>Loss</v>
      </c>
      <c r="AC1365" s="3">
        <f t="shared" si="260"/>
        <v>-2.4535423925667829E-3</v>
      </c>
      <c r="AD1365" s="3">
        <f t="shared" si="261"/>
        <v>114.8</v>
      </c>
      <c r="AE1365" s="3">
        <f t="shared" si="262"/>
        <v>-0.28166666666666668</v>
      </c>
      <c r="AF1365" t="str">
        <f t="shared" si="263"/>
        <v>Regular</v>
      </c>
    </row>
    <row r="1366" spans="1:32" x14ac:dyDescent="0.25">
      <c r="A1366" t="s">
        <v>2622</v>
      </c>
      <c r="B1366" s="1">
        <v>45591</v>
      </c>
      <c r="C1366" s="1">
        <v>45592</v>
      </c>
      <c r="D1366" s="4">
        <f t="shared" si="252"/>
        <v>1</v>
      </c>
      <c r="E1366" s="4" t="str">
        <f>TEXT(Table1[[#This Row],[Order_Date]],"dddd")</f>
        <v>Saturday</v>
      </c>
      <c r="F1366" s="4">
        <f t="shared" si="253"/>
        <v>10</v>
      </c>
      <c r="G1366" t="str">
        <f t="shared" si="256"/>
        <v>October</v>
      </c>
      <c r="H1366">
        <f t="shared" si="257"/>
        <v>2024</v>
      </c>
      <c r="I1366" t="str">
        <f t="shared" si="258"/>
        <v>2024-Q4</v>
      </c>
      <c r="J1366" t="s">
        <v>104</v>
      </c>
      <c r="K1366" t="s">
        <v>2623</v>
      </c>
      <c r="L1366" t="s">
        <v>2624</v>
      </c>
      <c r="M1366" t="s">
        <v>36</v>
      </c>
      <c r="N1366" t="s">
        <v>25</v>
      </c>
      <c r="O1366" t="s">
        <v>179</v>
      </c>
      <c r="P1366" t="s">
        <v>27</v>
      </c>
      <c r="Q1366" t="s">
        <v>39</v>
      </c>
      <c r="R1366" t="s">
        <v>2625</v>
      </c>
      <c r="S1366" t="s">
        <v>51</v>
      </c>
      <c r="T1366" t="s">
        <v>108</v>
      </c>
      <c r="U1366" t="s">
        <v>2626</v>
      </c>
      <c r="V1366" s="3">
        <v>3493.4</v>
      </c>
      <c r="W1366" s="4">
        <v>10</v>
      </c>
      <c r="X1366" s="2">
        <v>0</v>
      </c>
      <c r="Y1366" s="3">
        <v>295.54000000000002</v>
      </c>
      <c r="Z1366" t="str">
        <f t="shared" si="254"/>
        <v>Normal</v>
      </c>
      <c r="AA1366" t="str">
        <f t="shared" si="255"/>
        <v>Low</v>
      </c>
      <c r="AB1366" t="str">
        <f t="shared" si="259"/>
        <v>Low Profit</v>
      </c>
      <c r="AC1366" s="3">
        <f t="shared" si="260"/>
        <v>8.459953054331025E-2</v>
      </c>
      <c r="AD1366" s="3">
        <f t="shared" si="261"/>
        <v>349.34000000000003</v>
      </c>
      <c r="AE1366" s="3">
        <f t="shared" si="262"/>
        <v>29.554000000000002</v>
      </c>
      <c r="AF1366" t="str">
        <f t="shared" si="263"/>
        <v>Regular</v>
      </c>
    </row>
    <row r="1367" spans="1:32" x14ac:dyDescent="0.25">
      <c r="A1367" t="s">
        <v>1539</v>
      </c>
      <c r="B1367" s="1">
        <v>45591</v>
      </c>
      <c r="C1367" s="1">
        <v>45595</v>
      </c>
      <c r="D1367" s="4">
        <f t="shared" si="252"/>
        <v>4</v>
      </c>
      <c r="E1367" s="4" t="str">
        <f>TEXT(Table1[[#This Row],[Order_Date]],"dddd")</f>
        <v>Saturday</v>
      </c>
      <c r="F1367" s="4">
        <f t="shared" si="253"/>
        <v>10</v>
      </c>
      <c r="G1367" t="str">
        <f t="shared" si="256"/>
        <v>October</v>
      </c>
      <c r="H1367">
        <f t="shared" si="257"/>
        <v>2024</v>
      </c>
      <c r="I1367" t="str">
        <f t="shared" si="258"/>
        <v>2024-Q4</v>
      </c>
      <c r="J1367" t="s">
        <v>44</v>
      </c>
      <c r="K1367" t="s">
        <v>1540</v>
      </c>
      <c r="L1367" t="s">
        <v>1541</v>
      </c>
      <c r="M1367" t="s">
        <v>36</v>
      </c>
      <c r="N1367" t="s">
        <v>25</v>
      </c>
      <c r="O1367" t="s">
        <v>162</v>
      </c>
      <c r="P1367" t="s">
        <v>163</v>
      </c>
      <c r="Q1367" t="s">
        <v>39</v>
      </c>
      <c r="R1367" t="s">
        <v>1542</v>
      </c>
      <c r="S1367" t="s">
        <v>51</v>
      </c>
      <c r="T1367" t="s">
        <v>52</v>
      </c>
      <c r="U1367" t="s">
        <v>1205</v>
      </c>
      <c r="V1367" s="3">
        <v>4571.09</v>
      </c>
      <c r="W1367" s="4">
        <v>4</v>
      </c>
      <c r="X1367" s="2">
        <v>0</v>
      </c>
      <c r="Y1367" s="3">
        <v>1030.27</v>
      </c>
      <c r="Z1367" t="str">
        <f t="shared" si="254"/>
        <v>Outlier</v>
      </c>
      <c r="AA1367" t="str">
        <f t="shared" si="255"/>
        <v>Low</v>
      </c>
      <c r="AB1367" t="str">
        <f t="shared" si="259"/>
        <v>High Profit</v>
      </c>
      <c r="AC1367" s="3">
        <f t="shared" si="260"/>
        <v>0.22538825531765946</v>
      </c>
      <c r="AD1367" s="3">
        <f t="shared" si="261"/>
        <v>1142.7725</v>
      </c>
      <c r="AE1367" s="3">
        <f t="shared" si="262"/>
        <v>257.5675</v>
      </c>
      <c r="AF1367" t="str">
        <f t="shared" si="263"/>
        <v>Regular</v>
      </c>
    </row>
    <row r="1368" spans="1:32" x14ac:dyDescent="0.25">
      <c r="A1368" t="s">
        <v>2306</v>
      </c>
      <c r="B1368" s="1">
        <v>45592</v>
      </c>
      <c r="C1368" s="1">
        <v>45602</v>
      </c>
      <c r="D1368" s="4">
        <f t="shared" si="252"/>
        <v>10</v>
      </c>
      <c r="E1368" s="4" t="str">
        <f>TEXT(Table1[[#This Row],[Order_Date]],"dddd")</f>
        <v>Sunday</v>
      </c>
      <c r="F1368" s="4">
        <f t="shared" si="253"/>
        <v>10</v>
      </c>
      <c r="G1368" t="str">
        <f t="shared" si="256"/>
        <v>October</v>
      </c>
      <c r="H1368">
        <f t="shared" si="257"/>
        <v>2024</v>
      </c>
      <c r="I1368" t="str">
        <f t="shared" si="258"/>
        <v>2024-Q4</v>
      </c>
      <c r="J1368" t="s">
        <v>55</v>
      </c>
      <c r="K1368" t="s">
        <v>2307</v>
      </c>
      <c r="L1368" t="s">
        <v>2308</v>
      </c>
      <c r="M1368" t="s">
        <v>36</v>
      </c>
      <c r="N1368" t="s">
        <v>25</v>
      </c>
      <c r="O1368" t="s">
        <v>611</v>
      </c>
      <c r="P1368" t="s">
        <v>74</v>
      </c>
      <c r="Q1368" t="s">
        <v>87</v>
      </c>
      <c r="R1368" t="s">
        <v>2309</v>
      </c>
      <c r="S1368" t="s">
        <v>30</v>
      </c>
      <c r="T1368" t="s">
        <v>31</v>
      </c>
      <c r="U1368" t="s">
        <v>2310</v>
      </c>
      <c r="V1368" s="3">
        <v>4263.26</v>
      </c>
      <c r="W1368" s="4">
        <v>10</v>
      </c>
      <c r="X1368" s="2">
        <v>0.1</v>
      </c>
      <c r="Y1368" s="3">
        <v>-158.41999999999999</v>
      </c>
      <c r="Z1368" t="str">
        <f t="shared" si="254"/>
        <v>Normal</v>
      </c>
      <c r="AA1368" t="str">
        <f t="shared" si="255"/>
        <v>Medium</v>
      </c>
      <c r="AB1368" t="str">
        <f t="shared" si="259"/>
        <v>Loss</v>
      </c>
      <c r="AC1368" s="3">
        <f t="shared" si="260"/>
        <v>-3.7159356924044033E-2</v>
      </c>
      <c r="AD1368" s="3">
        <f t="shared" si="261"/>
        <v>426.32600000000002</v>
      </c>
      <c r="AE1368" s="3">
        <f t="shared" si="262"/>
        <v>-15.841999999999999</v>
      </c>
      <c r="AF1368" t="str">
        <f t="shared" si="263"/>
        <v>Regular</v>
      </c>
    </row>
    <row r="1369" spans="1:32" x14ac:dyDescent="0.25">
      <c r="A1369" t="s">
        <v>5028</v>
      </c>
      <c r="B1369" s="1">
        <v>45593</v>
      </c>
      <c r="C1369" s="1">
        <f>B1369+5</f>
        <v>45598</v>
      </c>
      <c r="D1369" s="4">
        <f t="shared" si="252"/>
        <v>5</v>
      </c>
      <c r="E1369" s="4" t="str">
        <f>TEXT(Table1[[#This Row],[Order_Date]],"dddd")</f>
        <v>Monday</v>
      </c>
      <c r="F1369" s="4">
        <f t="shared" si="253"/>
        <v>10</v>
      </c>
      <c r="G1369" t="str">
        <f t="shared" si="256"/>
        <v>October</v>
      </c>
      <c r="H1369">
        <f t="shared" si="257"/>
        <v>2024</v>
      </c>
      <c r="I1369" t="str">
        <f t="shared" si="258"/>
        <v>2024-Q4</v>
      </c>
      <c r="J1369" t="s">
        <v>21</v>
      </c>
      <c r="K1369" t="s">
        <v>5029</v>
      </c>
      <c r="L1369" t="s">
        <v>5030</v>
      </c>
      <c r="M1369" t="s">
        <v>24</v>
      </c>
      <c r="N1369" t="s">
        <v>25</v>
      </c>
      <c r="O1369" t="s">
        <v>233</v>
      </c>
      <c r="P1369" t="s">
        <v>163</v>
      </c>
      <c r="Q1369" t="s">
        <v>87</v>
      </c>
      <c r="R1369" t="s">
        <v>5031</v>
      </c>
      <c r="S1369" t="s">
        <v>59</v>
      </c>
      <c r="T1369" t="s">
        <v>303</v>
      </c>
      <c r="U1369" t="s">
        <v>5032</v>
      </c>
      <c r="V1369" s="3">
        <v>3811.83</v>
      </c>
      <c r="W1369" s="4">
        <v>10</v>
      </c>
      <c r="X1369" s="2">
        <v>0.4</v>
      </c>
      <c r="Y1369" s="3">
        <v>930.52</v>
      </c>
      <c r="Z1369" t="str">
        <f t="shared" si="254"/>
        <v>Normal</v>
      </c>
      <c r="AA1369" t="str">
        <f t="shared" si="255"/>
        <v>High</v>
      </c>
      <c r="AB1369" t="str">
        <f t="shared" si="259"/>
        <v>High Profit</v>
      </c>
      <c r="AC1369" s="3">
        <f t="shared" si="260"/>
        <v>0.24411371965696266</v>
      </c>
      <c r="AD1369" s="3">
        <f t="shared" si="261"/>
        <v>381.18299999999999</v>
      </c>
      <c r="AE1369" s="3">
        <f t="shared" si="262"/>
        <v>93.051999999999992</v>
      </c>
      <c r="AF1369" t="str">
        <f t="shared" si="263"/>
        <v>Regular</v>
      </c>
    </row>
    <row r="1370" spans="1:32" x14ac:dyDescent="0.25">
      <c r="A1370" t="s">
        <v>5951</v>
      </c>
      <c r="B1370" s="1">
        <v>45593</v>
      </c>
      <c r="C1370" s="1">
        <v>45601</v>
      </c>
      <c r="D1370" s="4">
        <f t="shared" si="252"/>
        <v>8</v>
      </c>
      <c r="E1370" s="4" t="str">
        <f>TEXT(Table1[[#This Row],[Order_Date]],"dddd")</f>
        <v>Monday</v>
      </c>
      <c r="F1370" s="4">
        <f t="shared" si="253"/>
        <v>10</v>
      </c>
      <c r="G1370" t="str">
        <f t="shared" si="256"/>
        <v>October</v>
      </c>
      <c r="H1370">
        <f t="shared" si="257"/>
        <v>2024</v>
      </c>
      <c r="I1370" t="str">
        <f t="shared" si="258"/>
        <v>2024-Q4</v>
      </c>
      <c r="J1370" t="s">
        <v>104</v>
      </c>
      <c r="K1370" t="s">
        <v>5952</v>
      </c>
      <c r="L1370" t="s">
        <v>5953</v>
      </c>
      <c r="M1370" t="s">
        <v>47</v>
      </c>
      <c r="N1370" t="s">
        <v>25</v>
      </c>
      <c r="O1370" t="s">
        <v>201</v>
      </c>
      <c r="P1370" t="s">
        <v>113</v>
      </c>
      <c r="Q1370" t="s">
        <v>39</v>
      </c>
      <c r="R1370" t="s">
        <v>5954</v>
      </c>
      <c r="S1370" t="s">
        <v>51</v>
      </c>
      <c r="T1370" t="s">
        <v>94</v>
      </c>
      <c r="U1370" t="s">
        <v>961</v>
      </c>
      <c r="V1370" s="3">
        <v>2984.76</v>
      </c>
      <c r="W1370" s="4">
        <v>8</v>
      </c>
      <c r="X1370" s="2">
        <v>0</v>
      </c>
      <c r="Y1370" s="3">
        <v>532.58000000000004</v>
      </c>
      <c r="Z1370" t="str">
        <f t="shared" si="254"/>
        <v>Normal</v>
      </c>
      <c r="AA1370" t="str">
        <f t="shared" si="255"/>
        <v>Low</v>
      </c>
      <c r="AB1370" t="str">
        <f t="shared" si="259"/>
        <v>High Profit</v>
      </c>
      <c r="AC1370" s="3">
        <f t="shared" si="260"/>
        <v>0.17843310684946193</v>
      </c>
      <c r="AD1370" s="3">
        <f t="shared" si="261"/>
        <v>373.09500000000003</v>
      </c>
      <c r="AE1370" s="3">
        <f t="shared" si="262"/>
        <v>66.572500000000005</v>
      </c>
      <c r="AF1370" t="str">
        <f t="shared" si="263"/>
        <v>Regular</v>
      </c>
    </row>
    <row r="1371" spans="1:32" x14ac:dyDescent="0.25">
      <c r="A1371" t="s">
        <v>4799</v>
      </c>
      <c r="B1371" s="1">
        <v>45593</v>
      </c>
      <c r="C1371" s="1">
        <v>45594</v>
      </c>
      <c r="D1371" s="4">
        <f t="shared" si="252"/>
        <v>1</v>
      </c>
      <c r="E1371" s="4" t="str">
        <f>TEXT(Table1[[#This Row],[Order_Date]],"dddd")</f>
        <v>Monday</v>
      </c>
      <c r="F1371" s="4">
        <f t="shared" si="253"/>
        <v>10</v>
      </c>
      <c r="G1371" t="str">
        <f t="shared" si="256"/>
        <v>October</v>
      </c>
      <c r="H1371">
        <f t="shared" si="257"/>
        <v>2024</v>
      </c>
      <c r="I1371" t="str">
        <f t="shared" si="258"/>
        <v>2024-Q4</v>
      </c>
      <c r="J1371" t="s">
        <v>44</v>
      </c>
      <c r="K1371" t="s">
        <v>4800</v>
      </c>
      <c r="L1371" t="s">
        <v>4801</v>
      </c>
      <c r="M1371" t="s">
        <v>47</v>
      </c>
      <c r="N1371" t="s">
        <v>25</v>
      </c>
      <c r="O1371" t="s">
        <v>179</v>
      </c>
      <c r="P1371" t="s">
        <v>27</v>
      </c>
      <c r="Q1371" t="s">
        <v>66</v>
      </c>
      <c r="R1371" t="s">
        <v>4802</v>
      </c>
      <c r="S1371" t="s">
        <v>59</v>
      </c>
      <c r="T1371" t="s">
        <v>60</v>
      </c>
      <c r="U1371" t="s">
        <v>4803</v>
      </c>
      <c r="V1371" s="3">
        <v>2872.65</v>
      </c>
      <c r="W1371" s="4">
        <v>5</v>
      </c>
      <c r="X1371" s="2">
        <v>0.2</v>
      </c>
      <c r="Y1371" s="3">
        <v>280.10000000000002</v>
      </c>
      <c r="Z1371" t="str">
        <f t="shared" si="254"/>
        <v>Normal</v>
      </c>
      <c r="AA1371" t="str">
        <f t="shared" si="255"/>
        <v>High</v>
      </c>
      <c r="AB1371" t="str">
        <f t="shared" si="259"/>
        <v>Low Profit</v>
      </c>
      <c r="AC1371" s="3">
        <f t="shared" si="260"/>
        <v>9.7505787339216402E-2</v>
      </c>
      <c r="AD1371" s="3">
        <f t="shared" si="261"/>
        <v>574.53</v>
      </c>
      <c r="AE1371" s="3">
        <f t="shared" si="262"/>
        <v>56.02</v>
      </c>
      <c r="AF1371" t="str">
        <f t="shared" si="263"/>
        <v>Regular</v>
      </c>
    </row>
    <row r="1372" spans="1:32" x14ac:dyDescent="0.25">
      <c r="A1372" t="s">
        <v>3171</v>
      </c>
      <c r="B1372" s="1">
        <v>45593</v>
      </c>
      <c r="C1372" s="1">
        <v>45600</v>
      </c>
      <c r="D1372" s="4">
        <f t="shared" si="252"/>
        <v>7</v>
      </c>
      <c r="E1372" s="4" t="str">
        <f>TEXT(Table1[[#This Row],[Order_Date]],"dddd")</f>
        <v>Monday</v>
      </c>
      <c r="F1372" s="4">
        <f t="shared" si="253"/>
        <v>10</v>
      </c>
      <c r="G1372" t="str">
        <f t="shared" si="256"/>
        <v>October</v>
      </c>
      <c r="H1372">
        <f t="shared" si="257"/>
        <v>2024</v>
      </c>
      <c r="I1372" t="str">
        <f t="shared" si="258"/>
        <v>2024-Q4</v>
      </c>
      <c r="J1372" t="s">
        <v>104</v>
      </c>
      <c r="K1372" t="s">
        <v>3172</v>
      </c>
      <c r="L1372" t="s">
        <v>3173</v>
      </c>
      <c r="M1372" t="s">
        <v>36</v>
      </c>
      <c r="N1372" t="s">
        <v>25</v>
      </c>
      <c r="O1372" t="s">
        <v>37</v>
      </c>
      <c r="P1372" t="s">
        <v>38</v>
      </c>
      <c r="Q1372" t="s">
        <v>87</v>
      </c>
      <c r="R1372" t="s">
        <v>3174</v>
      </c>
      <c r="S1372" t="s">
        <v>51</v>
      </c>
      <c r="T1372" t="s">
        <v>151</v>
      </c>
      <c r="U1372" t="s">
        <v>3175</v>
      </c>
      <c r="V1372" s="3">
        <v>2027.02</v>
      </c>
      <c r="W1372" s="4">
        <v>9</v>
      </c>
      <c r="X1372" s="2">
        <v>0</v>
      </c>
      <c r="Y1372" s="3">
        <v>7.92</v>
      </c>
      <c r="Z1372" t="str">
        <f t="shared" si="254"/>
        <v>Normal</v>
      </c>
      <c r="AA1372" t="str">
        <f t="shared" si="255"/>
        <v>Low</v>
      </c>
      <c r="AB1372" t="str">
        <f t="shared" si="259"/>
        <v>Low Profit</v>
      </c>
      <c r="AC1372" s="3">
        <f t="shared" si="260"/>
        <v>3.9072135450069559E-3</v>
      </c>
      <c r="AD1372" s="3">
        <f t="shared" si="261"/>
        <v>225.22444444444443</v>
      </c>
      <c r="AE1372" s="3">
        <f t="shared" si="262"/>
        <v>0.88</v>
      </c>
      <c r="AF1372" t="str">
        <f t="shared" si="263"/>
        <v>Regular</v>
      </c>
    </row>
    <row r="1373" spans="1:32" x14ac:dyDescent="0.25">
      <c r="A1373" t="s">
        <v>3131</v>
      </c>
      <c r="B1373" s="1">
        <v>45595</v>
      </c>
      <c r="C1373" s="1">
        <v>45596</v>
      </c>
      <c r="D1373" s="4">
        <f t="shared" si="252"/>
        <v>1</v>
      </c>
      <c r="E1373" s="4" t="str">
        <f>TEXT(Table1[[#This Row],[Order_Date]],"dddd")</f>
        <v>Wednesday</v>
      </c>
      <c r="F1373" s="4">
        <f t="shared" si="253"/>
        <v>10</v>
      </c>
      <c r="G1373" t="str">
        <f t="shared" si="256"/>
        <v>October</v>
      </c>
      <c r="H1373">
        <f t="shared" si="257"/>
        <v>2024</v>
      </c>
      <c r="I1373" t="str">
        <f t="shared" si="258"/>
        <v>2024-Q4</v>
      </c>
      <c r="J1373" t="s">
        <v>104</v>
      </c>
      <c r="K1373" t="s">
        <v>3132</v>
      </c>
      <c r="L1373" t="s">
        <v>3133</v>
      </c>
      <c r="M1373" t="s">
        <v>47</v>
      </c>
      <c r="N1373" t="s">
        <v>25</v>
      </c>
      <c r="O1373" t="s">
        <v>37</v>
      </c>
      <c r="P1373" t="s">
        <v>38</v>
      </c>
      <c r="Q1373" t="s">
        <v>28</v>
      </c>
      <c r="R1373" t="s">
        <v>3134</v>
      </c>
      <c r="S1373" t="s">
        <v>30</v>
      </c>
      <c r="T1373" t="s">
        <v>68</v>
      </c>
      <c r="U1373" t="s">
        <v>3135</v>
      </c>
      <c r="V1373" s="3">
        <v>2624.11</v>
      </c>
      <c r="W1373" s="4">
        <v>1</v>
      </c>
      <c r="X1373" s="2">
        <v>0.1</v>
      </c>
      <c r="Y1373" s="3">
        <v>378.39</v>
      </c>
      <c r="Z1373" t="str">
        <f t="shared" si="254"/>
        <v>Normal</v>
      </c>
      <c r="AA1373" t="str">
        <f t="shared" si="255"/>
        <v>Medium</v>
      </c>
      <c r="AB1373" t="str">
        <f t="shared" si="259"/>
        <v>Low Profit</v>
      </c>
      <c r="AC1373" s="3">
        <f t="shared" si="260"/>
        <v>0.14419746123447569</v>
      </c>
      <c r="AD1373" s="3">
        <f t="shared" si="261"/>
        <v>2624.11</v>
      </c>
      <c r="AE1373" s="3">
        <f t="shared" si="262"/>
        <v>378.39</v>
      </c>
      <c r="AF1373" t="str">
        <f t="shared" si="263"/>
        <v>Regular</v>
      </c>
    </row>
    <row r="1374" spans="1:32" x14ac:dyDescent="0.25">
      <c r="A1374" t="s">
        <v>146</v>
      </c>
      <c r="B1374" s="1">
        <v>45595</v>
      </c>
      <c r="C1374" s="1">
        <v>45596</v>
      </c>
      <c r="D1374" s="4">
        <f t="shared" si="252"/>
        <v>1</v>
      </c>
      <c r="E1374" s="4" t="str">
        <f>TEXT(Table1[[#This Row],[Order_Date]],"dddd")</f>
        <v>Wednesday</v>
      </c>
      <c r="F1374" s="4">
        <f t="shared" si="253"/>
        <v>10</v>
      </c>
      <c r="G1374" t="str">
        <f t="shared" si="256"/>
        <v>October</v>
      </c>
      <c r="H1374">
        <f t="shared" si="257"/>
        <v>2024</v>
      </c>
      <c r="I1374" t="str">
        <f t="shared" si="258"/>
        <v>2024-Q4</v>
      </c>
      <c r="J1374" t="s">
        <v>55</v>
      </c>
      <c r="K1374" t="s">
        <v>147</v>
      </c>
      <c r="L1374" t="s">
        <v>148</v>
      </c>
      <c r="M1374" t="s">
        <v>36</v>
      </c>
      <c r="N1374" t="s">
        <v>25</v>
      </c>
      <c r="O1374" t="s">
        <v>149</v>
      </c>
      <c r="P1374" t="s">
        <v>113</v>
      </c>
      <c r="Q1374" t="s">
        <v>39</v>
      </c>
      <c r="R1374" t="s">
        <v>150</v>
      </c>
      <c r="S1374" t="s">
        <v>51</v>
      </c>
      <c r="T1374" t="s">
        <v>151</v>
      </c>
      <c r="U1374" t="s">
        <v>152</v>
      </c>
      <c r="V1374" s="3">
        <v>2052.31</v>
      </c>
      <c r="W1374" s="4">
        <v>9</v>
      </c>
      <c r="X1374" s="2">
        <v>0.4</v>
      </c>
      <c r="Y1374" s="3">
        <v>-138.26</v>
      </c>
      <c r="Z1374" t="str">
        <f t="shared" si="254"/>
        <v>Normal</v>
      </c>
      <c r="AA1374" t="str">
        <f t="shared" si="255"/>
        <v>High</v>
      </c>
      <c r="AB1374" t="str">
        <f t="shared" si="259"/>
        <v>Loss</v>
      </c>
      <c r="AC1374" s="3">
        <f t="shared" si="260"/>
        <v>-6.7367990215903048E-2</v>
      </c>
      <c r="AD1374" s="3">
        <f t="shared" si="261"/>
        <v>228.03444444444443</v>
      </c>
      <c r="AE1374" s="3">
        <f t="shared" si="262"/>
        <v>-15.362222222222222</v>
      </c>
      <c r="AF1374" t="str">
        <f t="shared" si="263"/>
        <v>Regular</v>
      </c>
    </row>
    <row r="1375" spans="1:32" x14ac:dyDescent="0.25">
      <c r="A1375" t="s">
        <v>1888</v>
      </c>
      <c r="B1375" s="1">
        <v>45596</v>
      </c>
      <c r="C1375" s="1">
        <v>45598</v>
      </c>
      <c r="D1375" s="4">
        <f t="shared" si="252"/>
        <v>2</v>
      </c>
      <c r="E1375" s="4" t="str">
        <f>TEXT(Table1[[#This Row],[Order_Date]],"dddd")</f>
        <v>Thursday</v>
      </c>
      <c r="F1375" s="4">
        <f t="shared" si="253"/>
        <v>10</v>
      </c>
      <c r="G1375" t="str">
        <f t="shared" si="256"/>
        <v>October</v>
      </c>
      <c r="H1375">
        <f t="shared" si="257"/>
        <v>2024</v>
      </c>
      <c r="I1375" t="str">
        <f t="shared" si="258"/>
        <v>2024-Q4</v>
      </c>
      <c r="J1375" t="s">
        <v>44</v>
      </c>
      <c r="K1375" t="s">
        <v>1889</v>
      </c>
      <c r="L1375" t="s">
        <v>1890</v>
      </c>
      <c r="M1375" t="s">
        <v>24</v>
      </c>
      <c r="N1375" t="s">
        <v>25</v>
      </c>
      <c r="O1375" t="s">
        <v>99</v>
      </c>
      <c r="P1375" t="s">
        <v>74</v>
      </c>
      <c r="Q1375" t="s">
        <v>28</v>
      </c>
      <c r="R1375" t="s">
        <v>1891</v>
      </c>
      <c r="S1375" t="s">
        <v>51</v>
      </c>
      <c r="T1375" t="s">
        <v>52</v>
      </c>
      <c r="U1375" t="s">
        <v>1892</v>
      </c>
      <c r="V1375" s="3">
        <v>3255.61</v>
      </c>
      <c r="W1375" s="4">
        <v>10</v>
      </c>
      <c r="X1375" s="2">
        <v>0.3</v>
      </c>
      <c r="Y1375" s="3">
        <v>-581.73</v>
      </c>
      <c r="Z1375" t="str">
        <f t="shared" si="254"/>
        <v>Normal</v>
      </c>
      <c r="AA1375" t="str">
        <f t="shared" si="255"/>
        <v>High</v>
      </c>
      <c r="AB1375" t="str">
        <f t="shared" si="259"/>
        <v>Loss</v>
      </c>
      <c r="AC1375" s="3">
        <f t="shared" si="260"/>
        <v>-0.17868540765017923</v>
      </c>
      <c r="AD1375" s="3">
        <f t="shared" si="261"/>
        <v>325.56100000000004</v>
      </c>
      <c r="AE1375" s="3">
        <f t="shared" si="262"/>
        <v>-58.173000000000002</v>
      </c>
      <c r="AF1375" t="str">
        <f t="shared" si="263"/>
        <v>Regular</v>
      </c>
    </row>
    <row r="1376" spans="1:32" x14ac:dyDescent="0.25">
      <c r="A1376" t="s">
        <v>6288</v>
      </c>
      <c r="B1376" s="1">
        <v>45597</v>
      </c>
      <c r="C1376" s="1">
        <v>45601</v>
      </c>
      <c r="D1376" s="4">
        <f t="shared" si="252"/>
        <v>4</v>
      </c>
      <c r="E1376" s="4" t="str">
        <f>TEXT(Table1[[#This Row],[Order_Date]],"dddd")</f>
        <v>Friday</v>
      </c>
      <c r="F1376" s="4">
        <f t="shared" si="253"/>
        <v>11</v>
      </c>
      <c r="G1376" t="str">
        <f t="shared" si="256"/>
        <v>November</v>
      </c>
      <c r="H1376">
        <f t="shared" si="257"/>
        <v>2024</v>
      </c>
      <c r="I1376" t="str">
        <f t="shared" si="258"/>
        <v>2024-Q4</v>
      </c>
      <c r="J1376" t="s">
        <v>104</v>
      </c>
      <c r="K1376" t="s">
        <v>6289</v>
      </c>
      <c r="L1376" t="s">
        <v>6290</v>
      </c>
      <c r="M1376" t="s">
        <v>47</v>
      </c>
      <c r="N1376" t="s">
        <v>25</v>
      </c>
      <c r="O1376" t="s">
        <v>113</v>
      </c>
      <c r="P1376" t="s">
        <v>113</v>
      </c>
      <c r="Q1376" t="s">
        <v>28</v>
      </c>
      <c r="R1376" t="s">
        <v>6291</v>
      </c>
      <c r="S1376" t="s">
        <v>30</v>
      </c>
      <c r="T1376" t="s">
        <v>31</v>
      </c>
      <c r="U1376" t="s">
        <v>4351</v>
      </c>
      <c r="V1376" s="3">
        <v>653.72</v>
      </c>
      <c r="W1376" s="4">
        <v>6</v>
      </c>
      <c r="X1376" s="2">
        <v>0</v>
      </c>
      <c r="Y1376" s="3">
        <v>-80.56</v>
      </c>
      <c r="Z1376" t="str">
        <f t="shared" si="254"/>
        <v>Normal</v>
      </c>
      <c r="AA1376" t="str">
        <f t="shared" si="255"/>
        <v>Low</v>
      </c>
      <c r="AB1376" t="str">
        <f t="shared" si="259"/>
        <v>Loss</v>
      </c>
      <c r="AC1376" s="3">
        <f t="shared" si="260"/>
        <v>-0.12323318852107935</v>
      </c>
      <c r="AD1376" s="3">
        <f t="shared" si="261"/>
        <v>108.95333333333333</v>
      </c>
      <c r="AE1376" s="3">
        <f t="shared" si="262"/>
        <v>-13.426666666666668</v>
      </c>
      <c r="AF1376" t="str">
        <f t="shared" si="263"/>
        <v>Regular</v>
      </c>
    </row>
    <row r="1377" spans="1:32" x14ac:dyDescent="0.25">
      <c r="A1377" t="s">
        <v>2676</v>
      </c>
      <c r="B1377" s="1">
        <v>45598</v>
      </c>
      <c r="C1377" s="1">
        <v>45603</v>
      </c>
      <c r="D1377" s="4">
        <f t="shared" si="252"/>
        <v>5</v>
      </c>
      <c r="E1377" s="4" t="str">
        <f>TEXT(Table1[[#This Row],[Order_Date]],"dddd")</f>
        <v>Saturday</v>
      </c>
      <c r="F1377" s="4">
        <f t="shared" si="253"/>
        <v>11</v>
      </c>
      <c r="G1377" t="str">
        <f t="shared" si="256"/>
        <v>November</v>
      </c>
      <c r="H1377">
        <f t="shared" si="257"/>
        <v>2024</v>
      </c>
      <c r="I1377" t="str">
        <f t="shared" si="258"/>
        <v>2024-Q4</v>
      </c>
      <c r="J1377" t="s">
        <v>55</v>
      </c>
      <c r="K1377" t="s">
        <v>2677</v>
      </c>
      <c r="L1377" t="s">
        <v>2678</v>
      </c>
      <c r="M1377" t="s">
        <v>24</v>
      </c>
      <c r="N1377" t="s">
        <v>25</v>
      </c>
      <c r="O1377" t="s">
        <v>156</v>
      </c>
      <c r="P1377" t="s">
        <v>143</v>
      </c>
      <c r="Q1377" t="s">
        <v>87</v>
      </c>
      <c r="R1377" t="s">
        <v>2679</v>
      </c>
      <c r="S1377" t="s">
        <v>59</v>
      </c>
      <c r="T1377" t="s">
        <v>60</v>
      </c>
      <c r="U1377" t="s">
        <v>2680</v>
      </c>
      <c r="V1377" s="3">
        <v>3218.08</v>
      </c>
      <c r="W1377" s="4">
        <v>4</v>
      </c>
      <c r="X1377" s="2">
        <v>0.3</v>
      </c>
      <c r="Y1377" s="3">
        <v>-575.4</v>
      </c>
      <c r="Z1377" t="str">
        <f t="shared" si="254"/>
        <v>Normal</v>
      </c>
      <c r="AA1377" t="str">
        <f t="shared" si="255"/>
        <v>High</v>
      </c>
      <c r="AB1377" t="str">
        <f t="shared" si="259"/>
        <v>Loss</v>
      </c>
      <c r="AC1377" s="3">
        <f t="shared" si="260"/>
        <v>-0.17880226719037437</v>
      </c>
      <c r="AD1377" s="3">
        <f t="shared" si="261"/>
        <v>804.52</v>
      </c>
      <c r="AE1377" s="3">
        <f t="shared" si="262"/>
        <v>-143.85</v>
      </c>
      <c r="AF1377" t="str">
        <f t="shared" si="263"/>
        <v>Regular</v>
      </c>
    </row>
    <row r="1378" spans="1:32" x14ac:dyDescent="0.25">
      <c r="A1378" t="s">
        <v>5726</v>
      </c>
      <c r="B1378" s="1">
        <v>45599</v>
      </c>
      <c r="C1378" s="1">
        <v>45607</v>
      </c>
      <c r="D1378" s="4">
        <f t="shared" si="252"/>
        <v>8</v>
      </c>
      <c r="E1378" s="4" t="str">
        <f>TEXT(Table1[[#This Row],[Order_Date]],"dddd")</f>
        <v>Sunday</v>
      </c>
      <c r="F1378" s="4">
        <f t="shared" si="253"/>
        <v>11</v>
      </c>
      <c r="G1378" t="str">
        <f t="shared" si="256"/>
        <v>November</v>
      </c>
      <c r="H1378">
        <f t="shared" si="257"/>
        <v>2024</v>
      </c>
      <c r="I1378" t="str">
        <f t="shared" si="258"/>
        <v>2024-Q4</v>
      </c>
      <c r="J1378" t="s">
        <v>21</v>
      </c>
      <c r="K1378" t="s">
        <v>5727</v>
      </c>
      <c r="L1378" t="s">
        <v>5728</v>
      </c>
      <c r="M1378" t="s">
        <v>47</v>
      </c>
      <c r="N1378" t="s">
        <v>25</v>
      </c>
      <c r="O1378" t="s">
        <v>255</v>
      </c>
      <c r="P1378" t="s">
        <v>143</v>
      </c>
      <c r="Q1378" t="s">
        <v>39</v>
      </c>
      <c r="R1378" t="s">
        <v>5729</v>
      </c>
      <c r="S1378" t="s">
        <v>30</v>
      </c>
      <c r="T1378" t="s">
        <v>31</v>
      </c>
      <c r="U1378" t="s">
        <v>5730</v>
      </c>
      <c r="V1378" s="3">
        <v>2846.72</v>
      </c>
      <c r="W1378" s="4">
        <v>7</v>
      </c>
      <c r="X1378" s="2">
        <v>0.1</v>
      </c>
      <c r="Y1378" s="3">
        <v>131.71773439999998</v>
      </c>
      <c r="Z1378" t="str">
        <f t="shared" si="254"/>
        <v>Normal</v>
      </c>
      <c r="AA1378" t="str">
        <f t="shared" si="255"/>
        <v>Medium</v>
      </c>
      <c r="AB1378" t="str">
        <f t="shared" si="259"/>
        <v>Low Profit</v>
      </c>
      <c r="AC1378" s="3">
        <f t="shared" si="260"/>
        <v>4.6269999999999999E-2</v>
      </c>
      <c r="AD1378" s="3">
        <f t="shared" si="261"/>
        <v>406.6742857142857</v>
      </c>
      <c r="AE1378" s="3">
        <f t="shared" si="262"/>
        <v>18.816819199999998</v>
      </c>
      <c r="AF1378" t="str">
        <f t="shared" si="263"/>
        <v>Regular</v>
      </c>
    </row>
    <row r="1379" spans="1:32" x14ac:dyDescent="0.25">
      <c r="A1379" t="s">
        <v>4819</v>
      </c>
      <c r="B1379" s="1">
        <v>45599</v>
      </c>
      <c r="C1379" s="1">
        <v>45602</v>
      </c>
      <c r="D1379" s="4">
        <f t="shared" si="252"/>
        <v>3</v>
      </c>
      <c r="E1379" s="4" t="str">
        <f>TEXT(Table1[[#This Row],[Order_Date]],"dddd")</f>
        <v>Sunday</v>
      </c>
      <c r="F1379" s="4">
        <f t="shared" si="253"/>
        <v>11</v>
      </c>
      <c r="G1379" t="str">
        <f t="shared" si="256"/>
        <v>November</v>
      </c>
      <c r="H1379">
        <f t="shared" si="257"/>
        <v>2024</v>
      </c>
      <c r="I1379" t="str">
        <f t="shared" si="258"/>
        <v>2024-Q4</v>
      </c>
      <c r="J1379" t="s">
        <v>104</v>
      </c>
      <c r="K1379" t="s">
        <v>4820</v>
      </c>
      <c r="L1379" t="s">
        <v>4821</v>
      </c>
      <c r="M1379" t="s">
        <v>24</v>
      </c>
      <c r="N1379" t="s">
        <v>25</v>
      </c>
      <c r="O1379" t="s">
        <v>73</v>
      </c>
      <c r="P1379" t="s">
        <v>74</v>
      </c>
      <c r="Q1379" t="s">
        <v>39</v>
      </c>
      <c r="R1379" t="s">
        <v>4822</v>
      </c>
      <c r="S1379" t="s">
        <v>30</v>
      </c>
      <c r="T1379" t="s">
        <v>68</v>
      </c>
      <c r="U1379" t="s">
        <v>4823</v>
      </c>
      <c r="V1379" s="3">
        <v>2881.92</v>
      </c>
      <c r="W1379" s="4">
        <v>6</v>
      </c>
      <c r="X1379" s="2">
        <v>0.3</v>
      </c>
      <c r="Y1379" s="3">
        <v>-135.53</v>
      </c>
      <c r="Z1379" t="str">
        <f t="shared" si="254"/>
        <v>Normal</v>
      </c>
      <c r="AA1379" t="str">
        <f t="shared" si="255"/>
        <v>High</v>
      </c>
      <c r="AB1379" t="str">
        <f t="shared" si="259"/>
        <v>Loss</v>
      </c>
      <c r="AC1379" s="3">
        <f t="shared" si="260"/>
        <v>-4.7027675993781923E-2</v>
      </c>
      <c r="AD1379" s="3">
        <f t="shared" si="261"/>
        <v>480.32</v>
      </c>
      <c r="AE1379" s="3">
        <f t="shared" si="262"/>
        <v>-22.588333333333335</v>
      </c>
      <c r="AF1379" t="str">
        <f t="shared" si="263"/>
        <v>Regular</v>
      </c>
    </row>
    <row r="1380" spans="1:32" x14ac:dyDescent="0.25">
      <c r="A1380" t="s">
        <v>6163</v>
      </c>
      <c r="B1380" s="1">
        <v>45599</v>
      </c>
      <c r="C1380" s="1">
        <v>45608</v>
      </c>
      <c r="D1380" s="4">
        <f t="shared" si="252"/>
        <v>9</v>
      </c>
      <c r="E1380" s="4" t="str">
        <f>TEXT(Table1[[#This Row],[Order_Date]],"dddd")</f>
        <v>Sunday</v>
      </c>
      <c r="F1380" s="4">
        <f t="shared" si="253"/>
        <v>11</v>
      </c>
      <c r="G1380" t="str">
        <f t="shared" si="256"/>
        <v>November</v>
      </c>
      <c r="H1380">
        <f t="shared" si="257"/>
        <v>2024</v>
      </c>
      <c r="I1380" t="str">
        <f t="shared" si="258"/>
        <v>2024-Q4</v>
      </c>
      <c r="J1380" t="s">
        <v>104</v>
      </c>
      <c r="K1380" t="s">
        <v>7402</v>
      </c>
      <c r="L1380" t="s">
        <v>5485</v>
      </c>
      <c r="M1380" t="s">
        <v>24</v>
      </c>
      <c r="N1380" t="s">
        <v>25</v>
      </c>
      <c r="O1380" t="s">
        <v>37</v>
      </c>
      <c r="P1380" t="s">
        <v>38</v>
      </c>
      <c r="Q1380" t="s">
        <v>66</v>
      </c>
      <c r="R1380" t="s">
        <v>6164</v>
      </c>
      <c r="S1380" t="s">
        <v>59</v>
      </c>
      <c r="T1380" t="s">
        <v>60</v>
      </c>
      <c r="U1380" t="s">
        <v>6165</v>
      </c>
      <c r="V1380" s="3">
        <v>1565.98</v>
      </c>
      <c r="W1380" s="4">
        <v>1</v>
      </c>
      <c r="X1380" s="2">
        <v>0.4</v>
      </c>
      <c r="Y1380" s="3">
        <v>-30.41</v>
      </c>
      <c r="Z1380" t="str">
        <f t="shared" si="254"/>
        <v>Normal</v>
      </c>
      <c r="AA1380" t="str">
        <f t="shared" si="255"/>
        <v>High</v>
      </c>
      <c r="AB1380" t="str">
        <f t="shared" si="259"/>
        <v>Loss</v>
      </c>
      <c r="AC1380" s="3">
        <f t="shared" si="260"/>
        <v>-1.94191496698553E-2</v>
      </c>
      <c r="AD1380" s="3">
        <f t="shared" si="261"/>
        <v>1565.98</v>
      </c>
      <c r="AE1380" s="3">
        <f t="shared" si="262"/>
        <v>-30.41</v>
      </c>
      <c r="AF1380" t="str">
        <f t="shared" si="263"/>
        <v>Regular</v>
      </c>
    </row>
    <row r="1381" spans="1:32" x14ac:dyDescent="0.25">
      <c r="A1381" t="s">
        <v>6649</v>
      </c>
      <c r="B1381" s="1">
        <v>45600</v>
      </c>
      <c r="C1381" s="1">
        <v>45603</v>
      </c>
      <c r="D1381" s="4">
        <f t="shared" si="252"/>
        <v>3</v>
      </c>
      <c r="E1381" s="4" t="str">
        <f>TEXT(Table1[[#This Row],[Order_Date]],"dddd")</f>
        <v>Monday</v>
      </c>
      <c r="F1381" s="4">
        <f t="shared" si="253"/>
        <v>11</v>
      </c>
      <c r="G1381" t="str">
        <f t="shared" si="256"/>
        <v>November</v>
      </c>
      <c r="H1381">
        <f t="shared" si="257"/>
        <v>2024</v>
      </c>
      <c r="I1381" t="str">
        <f t="shared" si="258"/>
        <v>2024-Q4</v>
      </c>
      <c r="J1381" t="s">
        <v>21</v>
      </c>
      <c r="K1381" t="s">
        <v>6650</v>
      </c>
      <c r="L1381" t="s">
        <v>6651</v>
      </c>
      <c r="M1381" t="s">
        <v>47</v>
      </c>
      <c r="N1381" t="s">
        <v>25</v>
      </c>
      <c r="O1381" t="s">
        <v>73</v>
      </c>
      <c r="P1381" t="s">
        <v>74</v>
      </c>
      <c r="Q1381" t="s">
        <v>87</v>
      </c>
      <c r="R1381" t="s">
        <v>6652</v>
      </c>
      <c r="S1381" t="s">
        <v>59</v>
      </c>
      <c r="T1381" t="s">
        <v>277</v>
      </c>
      <c r="U1381" t="s">
        <v>6653</v>
      </c>
      <c r="V1381" s="3">
        <v>4959.4799999999996</v>
      </c>
      <c r="W1381" s="4">
        <v>5</v>
      </c>
      <c r="X1381" s="2">
        <v>0.2</v>
      </c>
      <c r="Y1381" s="3">
        <v>680.86</v>
      </c>
      <c r="Z1381" t="str">
        <f t="shared" si="254"/>
        <v>Normal</v>
      </c>
      <c r="AA1381" t="str">
        <f t="shared" si="255"/>
        <v>High</v>
      </c>
      <c r="AB1381" t="str">
        <f t="shared" si="259"/>
        <v>High Profit</v>
      </c>
      <c r="AC1381" s="3">
        <f t="shared" si="260"/>
        <v>0.13728455402582529</v>
      </c>
      <c r="AD1381" s="3">
        <f t="shared" si="261"/>
        <v>991.89599999999996</v>
      </c>
      <c r="AE1381" s="3">
        <f t="shared" si="262"/>
        <v>136.172</v>
      </c>
      <c r="AF1381" t="str">
        <f t="shared" si="263"/>
        <v>Regular</v>
      </c>
    </row>
    <row r="1382" spans="1:32" x14ac:dyDescent="0.25">
      <c r="A1382" t="s">
        <v>2251</v>
      </c>
      <c r="B1382" s="1">
        <v>45601</v>
      </c>
      <c r="C1382" s="1">
        <v>45606</v>
      </c>
      <c r="D1382" s="4">
        <f t="shared" si="252"/>
        <v>5</v>
      </c>
      <c r="E1382" s="4" t="str">
        <f>TEXT(Table1[[#This Row],[Order_Date]],"dddd")</f>
        <v>Tuesday</v>
      </c>
      <c r="F1382" s="4">
        <f t="shared" si="253"/>
        <v>11</v>
      </c>
      <c r="G1382" t="str">
        <f t="shared" si="256"/>
        <v>November</v>
      </c>
      <c r="H1382">
        <f t="shared" si="257"/>
        <v>2024</v>
      </c>
      <c r="I1382" t="str">
        <f t="shared" si="258"/>
        <v>2024-Q4</v>
      </c>
      <c r="J1382" t="s">
        <v>104</v>
      </c>
      <c r="K1382" t="s">
        <v>2252</v>
      </c>
      <c r="L1382" t="s">
        <v>2253</v>
      </c>
      <c r="M1382" t="s">
        <v>24</v>
      </c>
      <c r="N1382" t="s">
        <v>25</v>
      </c>
      <c r="O1382" t="s">
        <v>511</v>
      </c>
      <c r="P1382" t="s">
        <v>120</v>
      </c>
      <c r="Q1382" t="s">
        <v>28</v>
      </c>
      <c r="R1382" t="s">
        <v>2254</v>
      </c>
      <c r="S1382" t="s">
        <v>59</v>
      </c>
      <c r="T1382" t="s">
        <v>303</v>
      </c>
      <c r="U1382" t="s">
        <v>2255</v>
      </c>
      <c r="V1382" s="3">
        <v>4977.72</v>
      </c>
      <c r="W1382" s="4">
        <v>7</v>
      </c>
      <c r="X1382" s="2">
        <v>0</v>
      </c>
      <c r="Y1382" s="3">
        <v>953.34</v>
      </c>
      <c r="Z1382" t="str">
        <f t="shared" si="254"/>
        <v>Normal</v>
      </c>
      <c r="AA1382" t="str">
        <f t="shared" si="255"/>
        <v>Low</v>
      </c>
      <c r="AB1382" t="str">
        <f t="shared" si="259"/>
        <v>High Profit</v>
      </c>
      <c r="AC1382" s="3">
        <f t="shared" si="260"/>
        <v>0.19152141944504714</v>
      </c>
      <c r="AD1382" s="3">
        <f t="shared" si="261"/>
        <v>711.10285714285715</v>
      </c>
      <c r="AE1382" s="3">
        <f t="shared" si="262"/>
        <v>136.19142857142859</v>
      </c>
      <c r="AF1382" t="str">
        <f t="shared" si="263"/>
        <v>Regular</v>
      </c>
    </row>
    <row r="1383" spans="1:32" x14ac:dyDescent="0.25">
      <c r="A1383" t="s">
        <v>5623</v>
      </c>
      <c r="B1383" s="1">
        <v>45601</v>
      </c>
      <c r="C1383" s="1">
        <v>45603</v>
      </c>
      <c r="D1383" s="4">
        <f t="shared" si="252"/>
        <v>2</v>
      </c>
      <c r="E1383" s="4" t="str">
        <f>TEXT(Table1[[#This Row],[Order_Date]],"dddd")</f>
        <v>Tuesday</v>
      </c>
      <c r="F1383" s="4">
        <f t="shared" si="253"/>
        <v>11</v>
      </c>
      <c r="G1383" t="str">
        <f t="shared" si="256"/>
        <v>November</v>
      </c>
      <c r="H1383">
        <f t="shared" si="257"/>
        <v>2024</v>
      </c>
      <c r="I1383" t="str">
        <f t="shared" si="258"/>
        <v>2024-Q4</v>
      </c>
      <c r="J1383" t="s">
        <v>104</v>
      </c>
      <c r="K1383" t="s">
        <v>5624</v>
      </c>
      <c r="L1383" t="s">
        <v>5625</v>
      </c>
      <c r="M1383" t="s">
        <v>36</v>
      </c>
      <c r="N1383" t="s">
        <v>25</v>
      </c>
      <c r="O1383" t="s">
        <v>201</v>
      </c>
      <c r="P1383" t="s">
        <v>113</v>
      </c>
      <c r="Q1383" t="s">
        <v>39</v>
      </c>
      <c r="R1383" t="s">
        <v>5626</v>
      </c>
      <c r="S1383" t="s">
        <v>30</v>
      </c>
      <c r="T1383" t="s">
        <v>82</v>
      </c>
      <c r="U1383" t="s">
        <v>5627</v>
      </c>
      <c r="V1383" s="3">
        <v>4901.88</v>
      </c>
      <c r="W1383" s="4">
        <v>4</v>
      </c>
      <c r="X1383" s="2">
        <v>0.4</v>
      </c>
      <c r="Y1383" s="3">
        <v>-186.94</v>
      </c>
      <c r="Z1383" t="str">
        <f t="shared" si="254"/>
        <v>Normal</v>
      </c>
      <c r="AA1383" t="str">
        <f t="shared" si="255"/>
        <v>High</v>
      </c>
      <c r="AB1383" t="str">
        <f t="shared" si="259"/>
        <v>Loss</v>
      </c>
      <c r="AC1383" s="3">
        <f t="shared" si="260"/>
        <v>-3.8136388487682277E-2</v>
      </c>
      <c r="AD1383" s="3">
        <f t="shared" si="261"/>
        <v>1225.47</v>
      </c>
      <c r="AE1383" s="3">
        <f t="shared" si="262"/>
        <v>-46.734999999999999</v>
      </c>
      <c r="AF1383" t="str">
        <f t="shared" si="263"/>
        <v>Regular</v>
      </c>
    </row>
    <row r="1384" spans="1:32" x14ac:dyDescent="0.25">
      <c r="A1384" t="s">
        <v>448</v>
      </c>
      <c r="B1384" s="1">
        <v>45601</v>
      </c>
      <c r="C1384" s="1">
        <v>45606</v>
      </c>
      <c r="D1384" s="4">
        <f t="shared" si="252"/>
        <v>5</v>
      </c>
      <c r="E1384" s="4" t="str">
        <f>TEXT(Table1[[#This Row],[Order_Date]],"dddd")</f>
        <v>Tuesday</v>
      </c>
      <c r="F1384" s="4">
        <f t="shared" si="253"/>
        <v>11</v>
      </c>
      <c r="G1384" t="str">
        <f t="shared" si="256"/>
        <v>November</v>
      </c>
      <c r="H1384">
        <f t="shared" si="257"/>
        <v>2024</v>
      </c>
      <c r="I1384" t="str">
        <f t="shared" si="258"/>
        <v>2024-Q4</v>
      </c>
      <c r="J1384" t="s">
        <v>55</v>
      </c>
      <c r="K1384" t="s">
        <v>449</v>
      </c>
      <c r="L1384" t="s">
        <v>450</v>
      </c>
      <c r="M1384" t="s">
        <v>36</v>
      </c>
      <c r="N1384" t="s">
        <v>25</v>
      </c>
      <c r="O1384" t="s">
        <v>451</v>
      </c>
      <c r="P1384" t="s">
        <v>38</v>
      </c>
      <c r="Q1384" t="s">
        <v>87</v>
      </c>
      <c r="R1384" t="s">
        <v>452</v>
      </c>
      <c r="S1384" t="s">
        <v>59</v>
      </c>
      <c r="T1384" t="s">
        <v>277</v>
      </c>
      <c r="U1384" t="s">
        <v>453</v>
      </c>
      <c r="V1384" s="3">
        <v>3896.9</v>
      </c>
      <c r="W1384" s="4">
        <v>2</v>
      </c>
      <c r="X1384" s="2">
        <v>0</v>
      </c>
      <c r="Y1384" s="3">
        <v>537.41</v>
      </c>
      <c r="Z1384" t="str">
        <f t="shared" si="254"/>
        <v>Normal</v>
      </c>
      <c r="AA1384" t="str">
        <f t="shared" si="255"/>
        <v>Low</v>
      </c>
      <c r="AB1384" t="str">
        <f t="shared" si="259"/>
        <v>High Profit</v>
      </c>
      <c r="AC1384" s="3">
        <f t="shared" si="260"/>
        <v>0.13790705432523287</v>
      </c>
      <c r="AD1384" s="3">
        <f t="shared" si="261"/>
        <v>1948.45</v>
      </c>
      <c r="AE1384" s="3">
        <f t="shared" si="262"/>
        <v>268.70499999999998</v>
      </c>
      <c r="AF1384" t="str">
        <f t="shared" si="263"/>
        <v>Regular</v>
      </c>
    </row>
    <row r="1385" spans="1:32" x14ac:dyDescent="0.25">
      <c r="A1385" t="s">
        <v>3620</v>
      </c>
      <c r="B1385" s="1">
        <v>45601</v>
      </c>
      <c r="C1385" s="1">
        <v>45611</v>
      </c>
      <c r="D1385" s="4">
        <f t="shared" si="252"/>
        <v>10</v>
      </c>
      <c r="E1385" s="4" t="str">
        <f>TEXT(Table1[[#This Row],[Order_Date]],"dddd")</f>
        <v>Tuesday</v>
      </c>
      <c r="F1385" s="4">
        <f t="shared" si="253"/>
        <v>11</v>
      </c>
      <c r="G1385" t="str">
        <f t="shared" si="256"/>
        <v>November</v>
      </c>
      <c r="H1385">
        <f t="shared" si="257"/>
        <v>2024</v>
      </c>
      <c r="I1385" t="str">
        <f t="shared" si="258"/>
        <v>2024-Q4</v>
      </c>
      <c r="J1385" t="s">
        <v>55</v>
      </c>
      <c r="K1385" t="s">
        <v>3621</v>
      </c>
      <c r="L1385" t="s">
        <v>3622</v>
      </c>
      <c r="M1385" t="s">
        <v>36</v>
      </c>
      <c r="N1385" t="s">
        <v>25</v>
      </c>
      <c r="O1385" t="s">
        <v>611</v>
      </c>
      <c r="P1385" t="s">
        <v>74</v>
      </c>
      <c r="Q1385" t="s">
        <v>39</v>
      </c>
      <c r="R1385" t="s">
        <v>3623</v>
      </c>
      <c r="S1385" t="s">
        <v>51</v>
      </c>
      <c r="T1385" t="s">
        <v>52</v>
      </c>
      <c r="U1385" t="s">
        <v>3624</v>
      </c>
      <c r="V1385" s="3">
        <v>4708.57</v>
      </c>
      <c r="W1385" s="4">
        <v>9</v>
      </c>
      <c r="X1385" s="2">
        <v>0.2</v>
      </c>
      <c r="Y1385" s="3">
        <v>-927.01</v>
      </c>
      <c r="Z1385" t="str">
        <f t="shared" si="254"/>
        <v>Outlier</v>
      </c>
      <c r="AA1385" t="str">
        <f t="shared" si="255"/>
        <v>High</v>
      </c>
      <c r="AB1385" t="str">
        <f t="shared" si="259"/>
        <v>Loss</v>
      </c>
      <c r="AC1385" s="3">
        <f t="shared" si="260"/>
        <v>-0.19687718351856298</v>
      </c>
      <c r="AD1385" s="3">
        <f t="shared" si="261"/>
        <v>523.17444444444436</v>
      </c>
      <c r="AE1385" s="3">
        <f t="shared" si="262"/>
        <v>-103.00111111111111</v>
      </c>
      <c r="AF1385" t="str">
        <f t="shared" si="263"/>
        <v>Regular</v>
      </c>
    </row>
    <row r="1386" spans="1:32" x14ac:dyDescent="0.25">
      <c r="A1386" t="s">
        <v>4012</v>
      </c>
      <c r="B1386" s="1">
        <v>45602</v>
      </c>
      <c r="C1386" s="1">
        <v>45603</v>
      </c>
      <c r="D1386" s="4">
        <f t="shared" si="252"/>
        <v>1</v>
      </c>
      <c r="E1386" s="4" t="str">
        <f>TEXT(Table1[[#This Row],[Order_Date]],"dddd")</f>
        <v>Wednesday</v>
      </c>
      <c r="F1386" s="4">
        <f t="shared" si="253"/>
        <v>11</v>
      </c>
      <c r="G1386" t="str">
        <f t="shared" si="256"/>
        <v>November</v>
      </c>
      <c r="H1386">
        <f t="shared" si="257"/>
        <v>2024</v>
      </c>
      <c r="I1386" t="str">
        <f t="shared" si="258"/>
        <v>2024-Q4</v>
      </c>
      <c r="J1386" t="s">
        <v>21</v>
      </c>
      <c r="K1386" t="s">
        <v>4013</v>
      </c>
      <c r="L1386" t="s">
        <v>4014</v>
      </c>
      <c r="M1386" t="s">
        <v>36</v>
      </c>
      <c r="N1386" t="s">
        <v>25</v>
      </c>
      <c r="O1386" t="s">
        <v>190</v>
      </c>
      <c r="P1386" t="s">
        <v>120</v>
      </c>
      <c r="Q1386" t="s">
        <v>28</v>
      </c>
      <c r="R1386" t="s">
        <v>4015</v>
      </c>
      <c r="S1386" t="s">
        <v>59</v>
      </c>
      <c r="T1386" t="s">
        <v>303</v>
      </c>
      <c r="U1386" t="s">
        <v>4016</v>
      </c>
      <c r="V1386" s="3">
        <v>2514.16</v>
      </c>
      <c r="W1386" s="4">
        <v>2</v>
      </c>
      <c r="X1386" s="2">
        <v>0.1</v>
      </c>
      <c r="Y1386" s="3">
        <v>33.96</v>
      </c>
      <c r="Z1386" t="str">
        <f t="shared" si="254"/>
        <v>Normal</v>
      </c>
      <c r="AA1386" t="str">
        <f t="shared" si="255"/>
        <v>Medium</v>
      </c>
      <c r="AB1386" t="str">
        <f t="shared" si="259"/>
        <v>Low Profit</v>
      </c>
      <c r="AC1386" s="3">
        <f t="shared" si="260"/>
        <v>1.3507493556496008E-2</v>
      </c>
      <c r="AD1386" s="3">
        <f t="shared" si="261"/>
        <v>1257.08</v>
      </c>
      <c r="AE1386" s="3">
        <f t="shared" si="262"/>
        <v>16.98</v>
      </c>
      <c r="AF1386" t="str">
        <f t="shared" si="263"/>
        <v>Regular</v>
      </c>
    </row>
    <row r="1387" spans="1:32" x14ac:dyDescent="0.25">
      <c r="A1387" t="s">
        <v>6688</v>
      </c>
      <c r="B1387" s="1">
        <v>45602</v>
      </c>
      <c r="C1387" s="1">
        <v>45605</v>
      </c>
      <c r="D1387" s="4">
        <f t="shared" si="252"/>
        <v>3</v>
      </c>
      <c r="E1387" s="4" t="str">
        <f>TEXT(Table1[[#This Row],[Order_Date]],"dddd")</f>
        <v>Wednesday</v>
      </c>
      <c r="F1387" s="4">
        <f t="shared" si="253"/>
        <v>11</v>
      </c>
      <c r="G1387" t="str">
        <f t="shared" si="256"/>
        <v>November</v>
      </c>
      <c r="H1387">
        <f t="shared" si="257"/>
        <v>2024</v>
      </c>
      <c r="I1387" t="str">
        <f t="shared" si="258"/>
        <v>2024-Q4</v>
      </c>
      <c r="J1387" t="s">
        <v>44</v>
      </c>
      <c r="K1387" t="s">
        <v>6689</v>
      </c>
      <c r="L1387" t="s">
        <v>6690</v>
      </c>
      <c r="M1387" t="s">
        <v>36</v>
      </c>
      <c r="N1387" t="s">
        <v>25</v>
      </c>
      <c r="O1387" t="s">
        <v>244</v>
      </c>
      <c r="P1387" t="s">
        <v>163</v>
      </c>
      <c r="Q1387" t="s">
        <v>66</v>
      </c>
      <c r="R1387" t="s">
        <v>6691</v>
      </c>
      <c r="S1387" t="s">
        <v>30</v>
      </c>
      <c r="T1387" t="s">
        <v>82</v>
      </c>
      <c r="U1387" t="s">
        <v>6692</v>
      </c>
      <c r="V1387" s="3">
        <v>2806.23</v>
      </c>
      <c r="W1387" s="4">
        <v>2</v>
      </c>
      <c r="X1387" s="2">
        <v>0.4</v>
      </c>
      <c r="Y1387" s="3">
        <v>652.88</v>
      </c>
      <c r="Z1387" t="str">
        <f t="shared" si="254"/>
        <v>Normal</v>
      </c>
      <c r="AA1387" t="str">
        <f t="shared" si="255"/>
        <v>High</v>
      </c>
      <c r="AB1387" t="str">
        <f t="shared" si="259"/>
        <v>High Profit</v>
      </c>
      <c r="AC1387" s="3">
        <f t="shared" si="260"/>
        <v>0.23265377392444667</v>
      </c>
      <c r="AD1387" s="3">
        <f t="shared" si="261"/>
        <v>1403.115</v>
      </c>
      <c r="AE1387" s="3">
        <f t="shared" si="262"/>
        <v>326.44</v>
      </c>
      <c r="AF1387" t="str">
        <f t="shared" si="263"/>
        <v>Regular</v>
      </c>
    </row>
    <row r="1388" spans="1:32" x14ac:dyDescent="0.25">
      <c r="A1388" t="s">
        <v>5082</v>
      </c>
      <c r="B1388" s="1">
        <v>45603</v>
      </c>
      <c r="C1388" s="1">
        <v>45604</v>
      </c>
      <c r="D1388" s="4">
        <f t="shared" si="252"/>
        <v>1</v>
      </c>
      <c r="E1388" s="4" t="str">
        <f>TEXT(Table1[[#This Row],[Order_Date]],"dddd")</f>
        <v>Thursday</v>
      </c>
      <c r="F1388" s="4">
        <f t="shared" si="253"/>
        <v>11</v>
      </c>
      <c r="G1388" t="str">
        <f t="shared" si="256"/>
        <v>November</v>
      </c>
      <c r="H1388">
        <f t="shared" si="257"/>
        <v>2024</v>
      </c>
      <c r="I1388" t="str">
        <f t="shared" si="258"/>
        <v>2024-Q4</v>
      </c>
      <c r="J1388" t="s">
        <v>55</v>
      </c>
      <c r="K1388" t="s">
        <v>7402</v>
      </c>
      <c r="L1388" t="s">
        <v>5083</v>
      </c>
      <c r="M1388" t="s">
        <v>24</v>
      </c>
      <c r="N1388" t="s">
        <v>25</v>
      </c>
      <c r="O1388" t="s">
        <v>119</v>
      </c>
      <c r="P1388" t="s">
        <v>120</v>
      </c>
      <c r="Q1388" t="s">
        <v>87</v>
      </c>
      <c r="R1388" t="s">
        <v>5084</v>
      </c>
      <c r="S1388" t="s">
        <v>59</v>
      </c>
      <c r="T1388" t="s">
        <v>277</v>
      </c>
      <c r="U1388" t="s">
        <v>2447</v>
      </c>
      <c r="V1388" s="3">
        <v>4981.83</v>
      </c>
      <c r="W1388" s="4">
        <v>5</v>
      </c>
      <c r="X1388" s="2">
        <v>0.3</v>
      </c>
      <c r="Y1388" s="3">
        <v>670.07</v>
      </c>
      <c r="Z1388" t="str">
        <f t="shared" si="254"/>
        <v>Normal</v>
      </c>
      <c r="AA1388" t="str">
        <f t="shared" si="255"/>
        <v>High</v>
      </c>
      <c r="AB1388" t="str">
        <f t="shared" si="259"/>
        <v>High Profit</v>
      </c>
      <c r="AC1388" s="3">
        <f t="shared" si="260"/>
        <v>0.13450278311383568</v>
      </c>
      <c r="AD1388" s="3">
        <f t="shared" si="261"/>
        <v>996.36599999999999</v>
      </c>
      <c r="AE1388" s="3">
        <f t="shared" si="262"/>
        <v>134.01400000000001</v>
      </c>
      <c r="AF1388" t="str">
        <f t="shared" si="263"/>
        <v>Regular</v>
      </c>
    </row>
    <row r="1389" spans="1:32" x14ac:dyDescent="0.25">
      <c r="A1389" t="s">
        <v>5168</v>
      </c>
      <c r="B1389" s="1">
        <v>45603</v>
      </c>
      <c r="C1389" s="1">
        <v>45610</v>
      </c>
      <c r="D1389" s="4">
        <f t="shared" si="252"/>
        <v>7</v>
      </c>
      <c r="E1389" s="4" t="str">
        <f>TEXT(Table1[[#This Row],[Order_Date]],"dddd")</f>
        <v>Thursday</v>
      </c>
      <c r="F1389" s="4">
        <f t="shared" si="253"/>
        <v>11</v>
      </c>
      <c r="G1389" t="str">
        <f t="shared" si="256"/>
        <v>November</v>
      </c>
      <c r="H1389">
        <f t="shared" si="257"/>
        <v>2024</v>
      </c>
      <c r="I1389" t="str">
        <f t="shared" si="258"/>
        <v>2024-Q4</v>
      </c>
      <c r="J1389" t="s">
        <v>21</v>
      </c>
      <c r="K1389" t="s">
        <v>5169</v>
      </c>
      <c r="L1389" t="s">
        <v>5170</v>
      </c>
      <c r="M1389" t="s">
        <v>47</v>
      </c>
      <c r="N1389" t="s">
        <v>25</v>
      </c>
      <c r="O1389" t="s">
        <v>113</v>
      </c>
      <c r="P1389" t="s">
        <v>113</v>
      </c>
      <c r="Q1389" t="s">
        <v>28</v>
      </c>
      <c r="R1389" t="s">
        <v>5171</v>
      </c>
      <c r="S1389" t="s">
        <v>51</v>
      </c>
      <c r="T1389" t="s">
        <v>108</v>
      </c>
      <c r="U1389" t="s">
        <v>5172</v>
      </c>
      <c r="V1389" s="3">
        <v>4526.8100000000004</v>
      </c>
      <c r="W1389" s="4">
        <v>6</v>
      </c>
      <c r="X1389" s="2">
        <v>0.1</v>
      </c>
      <c r="Y1389" s="3">
        <v>430.82</v>
      </c>
      <c r="Z1389" t="str">
        <f t="shared" si="254"/>
        <v>Normal</v>
      </c>
      <c r="AA1389" t="str">
        <f t="shared" si="255"/>
        <v>Medium</v>
      </c>
      <c r="AB1389" t="str">
        <f t="shared" si="259"/>
        <v>Low Profit</v>
      </c>
      <c r="AC1389" s="3">
        <f t="shared" si="260"/>
        <v>9.5170771470417345E-2</v>
      </c>
      <c r="AD1389" s="3">
        <f t="shared" si="261"/>
        <v>754.46833333333336</v>
      </c>
      <c r="AE1389" s="3">
        <f t="shared" si="262"/>
        <v>71.803333333333327</v>
      </c>
      <c r="AF1389" t="str">
        <f t="shared" si="263"/>
        <v>Regular</v>
      </c>
    </row>
    <row r="1390" spans="1:32" x14ac:dyDescent="0.25">
      <c r="A1390" t="s">
        <v>3573</v>
      </c>
      <c r="B1390" s="1">
        <v>45603</v>
      </c>
      <c r="C1390" s="1">
        <v>45606</v>
      </c>
      <c r="D1390" s="4">
        <f t="shared" si="252"/>
        <v>3</v>
      </c>
      <c r="E1390" s="4" t="str">
        <f>TEXT(Table1[[#This Row],[Order_Date]],"dddd")</f>
        <v>Thursday</v>
      </c>
      <c r="F1390" s="4">
        <f t="shared" si="253"/>
        <v>11</v>
      </c>
      <c r="G1390" t="str">
        <f t="shared" si="256"/>
        <v>November</v>
      </c>
      <c r="H1390">
        <f t="shared" si="257"/>
        <v>2024</v>
      </c>
      <c r="I1390" t="str">
        <f t="shared" si="258"/>
        <v>2024-Q4</v>
      </c>
      <c r="J1390" t="s">
        <v>21</v>
      </c>
      <c r="K1390" t="s">
        <v>3574</v>
      </c>
      <c r="L1390" t="s">
        <v>3575</v>
      </c>
      <c r="M1390" t="s">
        <v>47</v>
      </c>
      <c r="N1390" t="s">
        <v>25</v>
      </c>
      <c r="O1390" t="s">
        <v>227</v>
      </c>
      <c r="P1390" t="s">
        <v>49</v>
      </c>
      <c r="Q1390" t="s">
        <v>28</v>
      </c>
      <c r="R1390" t="s">
        <v>3576</v>
      </c>
      <c r="S1390" t="s">
        <v>51</v>
      </c>
      <c r="T1390" t="s">
        <v>52</v>
      </c>
      <c r="U1390" t="s">
        <v>3577</v>
      </c>
      <c r="V1390" s="3">
        <v>317.94</v>
      </c>
      <c r="W1390" s="4">
        <v>4</v>
      </c>
      <c r="X1390" s="2">
        <v>0.4</v>
      </c>
      <c r="Y1390" s="3">
        <v>-17.59</v>
      </c>
      <c r="Z1390" t="str">
        <f t="shared" si="254"/>
        <v>Normal</v>
      </c>
      <c r="AA1390" t="str">
        <f t="shared" si="255"/>
        <v>High</v>
      </c>
      <c r="AB1390" t="str">
        <f t="shared" si="259"/>
        <v>Loss</v>
      </c>
      <c r="AC1390" s="3">
        <f t="shared" si="260"/>
        <v>-5.5324904069950304E-2</v>
      </c>
      <c r="AD1390" s="3">
        <f t="shared" si="261"/>
        <v>79.484999999999999</v>
      </c>
      <c r="AE1390" s="3">
        <f t="shared" si="262"/>
        <v>-4.3975</v>
      </c>
      <c r="AF1390" t="str">
        <f t="shared" si="263"/>
        <v>Regular</v>
      </c>
    </row>
    <row r="1391" spans="1:32" x14ac:dyDescent="0.25">
      <c r="A1391" t="s">
        <v>4525</v>
      </c>
      <c r="B1391" s="1">
        <v>45604</v>
      </c>
      <c r="C1391" s="1">
        <v>45607</v>
      </c>
      <c r="D1391" s="4">
        <f t="shared" si="252"/>
        <v>3</v>
      </c>
      <c r="E1391" s="4" t="str">
        <f>TEXT(Table1[[#This Row],[Order_Date]],"dddd")</f>
        <v>Friday</v>
      </c>
      <c r="F1391" s="4">
        <f t="shared" si="253"/>
        <v>11</v>
      </c>
      <c r="G1391" t="str">
        <f t="shared" si="256"/>
        <v>November</v>
      </c>
      <c r="H1391">
        <f t="shared" si="257"/>
        <v>2024</v>
      </c>
      <c r="I1391" t="str">
        <f t="shared" si="258"/>
        <v>2024-Q4</v>
      </c>
      <c r="J1391" t="s">
        <v>21</v>
      </c>
      <c r="K1391" t="s">
        <v>4526</v>
      </c>
      <c r="L1391" t="s">
        <v>4527</v>
      </c>
      <c r="M1391" t="s">
        <v>24</v>
      </c>
      <c r="N1391" t="s">
        <v>25</v>
      </c>
      <c r="O1391" t="s">
        <v>179</v>
      </c>
      <c r="P1391" t="s">
        <v>27</v>
      </c>
      <c r="Q1391" t="s">
        <v>28</v>
      </c>
      <c r="R1391" t="s">
        <v>4528</v>
      </c>
      <c r="S1391" t="s">
        <v>30</v>
      </c>
      <c r="T1391" t="s">
        <v>31</v>
      </c>
      <c r="U1391" t="s">
        <v>4529</v>
      </c>
      <c r="V1391" s="3">
        <v>694.71</v>
      </c>
      <c r="W1391" s="4">
        <v>4</v>
      </c>
      <c r="X1391" s="2">
        <v>0</v>
      </c>
      <c r="Y1391" s="3">
        <v>-3.79</v>
      </c>
      <c r="Z1391" t="str">
        <f t="shared" si="254"/>
        <v>Normal</v>
      </c>
      <c r="AA1391" t="str">
        <f t="shared" si="255"/>
        <v>Low</v>
      </c>
      <c r="AB1391" t="str">
        <f t="shared" si="259"/>
        <v>Loss</v>
      </c>
      <c r="AC1391" s="3">
        <f t="shared" si="260"/>
        <v>-5.4555138115184752E-3</v>
      </c>
      <c r="AD1391" s="3">
        <f t="shared" si="261"/>
        <v>173.67750000000001</v>
      </c>
      <c r="AE1391" s="3">
        <f t="shared" si="262"/>
        <v>-0.94750000000000001</v>
      </c>
      <c r="AF1391" t="str">
        <f t="shared" si="263"/>
        <v>Regular</v>
      </c>
    </row>
    <row r="1392" spans="1:32" x14ac:dyDescent="0.25">
      <c r="A1392" t="s">
        <v>1996</v>
      </c>
      <c r="B1392" s="1">
        <v>45605</v>
      </c>
      <c r="C1392" s="1">
        <v>45609</v>
      </c>
      <c r="D1392" s="4">
        <f t="shared" si="252"/>
        <v>4</v>
      </c>
      <c r="E1392" s="4" t="str">
        <f>TEXT(Table1[[#This Row],[Order_Date]],"dddd")</f>
        <v>Saturday</v>
      </c>
      <c r="F1392" s="4">
        <f t="shared" si="253"/>
        <v>11</v>
      </c>
      <c r="G1392" t="str">
        <f t="shared" si="256"/>
        <v>November</v>
      </c>
      <c r="H1392">
        <f t="shared" si="257"/>
        <v>2024</v>
      </c>
      <c r="I1392" t="str">
        <f t="shared" si="258"/>
        <v>2024-Q4</v>
      </c>
      <c r="J1392" t="s">
        <v>55</v>
      </c>
      <c r="K1392" t="s">
        <v>1997</v>
      </c>
      <c r="L1392" t="s">
        <v>1998</v>
      </c>
      <c r="M1392" t="s">
        <v>24</v>
      </c>
      <c r="N1392" t="s">
        <v>25</v>
      </c>
      <c r="O1392" t="s">
        <v>179</v>
      </c>
      <c r="P1392" t="s">
        <v>27</v>
      </c>
      <c r="Q1392" t="s">
        <v>87</v>
      </c>
      <c r="R1392" t="s">
        <v>1999</v>
      </c>
      <c r="S1392" t="s">
        <v>59</v>
      </c>
      <c r="T1392" t="s">
        <v>101</v>
      </c>
      <c r="U1392" t="s">
        <v>2000</v>
      </c>
      <c r="V1392" s="3">
        <v>1308.79</v>
      </c>
      <c r="W1392" s="4">
        <v>5</v>
      </c>
      <c r="X1392" s="2">
        <v>0.2</v>
      </c>
      <c r="Y1392" s="3">
        <v>-56.38</v>
      </c>
      <c r="Z1392" t="str">
        <f t="shared" si="254"/>
        <v>Normal</v>
      </c>
      <c r="AA1392" t="str">
        <f t="shared" si="255"/>
        <v>High</v>
      </c>
      <c r="AB1392" t="str">
        <f t="shared" si="259"/>
        <v>Loss</v>
      </c>
      <c r="AC1392" s="3">
        <f t="shared" si="260"/>
        <v>-4.3077957502731537E-2</v>
      </c>
      <c r="AD1392" s="3">
        <f t="shared" si="261"/>
        <v>261.75799999999998</v>
      </c>
      <c r="AE1392" s="3">
        <f t="shared" si="262"/>
        <v>-11.276</v>
      </c>
      <c r="AF1392" t="str">
        <f t="shared" si="263"/>
        <v>Regular</v>
      </c>
    </row>
    <row r="1393" spans="1:32" x14ac:dyDescent="0.25">
      <c r="A1393" t="s">
        <v>6659</v>
      </c>
      <c r="B1393" s="1">
        <v>45605</v>
      </c>
      <c r="C1393" s="1">
        <v>45612</v>
      </c>
      <c r="D1393" s="4">
        <f t="shared" si="252"/>
        <v>7</v>
      </c>
      <c r="E1393" s="4" t="str">
        <f>TEXT(Table1[[#This Row],[Order_Date]],"dddd")</f>
        <v>Saturday</v>
      </c>
      <c r="F1393" s="4">
        <f t="shared" si="253"/>
        <v>11</v>
      </c>
      <c r="G1393" t="str">
        <f t="shared" si="256"/>
        <v>November</v>
      </c>
      <c r="H1393">
        <f t="shared" si="257"/>
        <v>2024</v>
      </c>
      <c r="I1393" t="str">
        <f t="shared" si="258"/>
        <v>2024-Q4</v>
      </c>
      <c r="J1393" t="s">
        <v>104</v>
      </c>
      <c r="K1393" t="s">
        <v>6660</v>
      </c>
      <c r="L1393" t="s">
        <v>6661</v>
      </c>
      <c r="M1393" t="s">
        <v>24</v>
      </c>
      <c r="N1393" t="s">
        <v>25</v>
      </c>
      <c r="O1393" t="s">
        <v>451</v>
      </c>
      <c r="P1393" t="s">
        <v>38</v>
      </c>
      <c r="Q1393" t="s">
        <v>28</v>
      </c>
      <c r="R1393" t="s">
        <v>6662</v>
      </c>
      <c r="S1393" t="s">
        <v>51</v>
      </c>
      <c r="T1393" t="s">
        <v>52</v>
      </c>
      <c r="U1393" t="s">
        <v>6663</v>
      </c>
      <c r="V1393" s="3">
        <v>576.37</v>
      </c>
      <c r="W1393" s="4">
        <v>4</v>
      </c>
      <c r="X1393" s="2">
        <v>0.3</v>
      </c>
      <c r="Y1393" s="3">
        <v>116.29</v>
      </c>
      <c r="Z1393" t="str">
        <f t="shared" si="254"/>
        <v>Normal</v>
      </c>
      <c r="AA1393" t="str">
        <f t="shared" si="255"/>
        <v>High</v>
      </c>
      <c r="AB1393" t="str">
        <f t="shared" si="259"/>
        <v>Low Profit</v>
      </c>
      <c r="AC1393" s="3">
        <f t="shared" si="260"/>
        <v>0.20176275656262471</v>
      </c>
      <c r="AD1393" s="3">
        <f t="shared" si="261"/>
        <v>144.0925</v>
      </c>
      <c r="AE1393" s="3">
        <f t="shared" si="262"/>
        <v>29.072500000000002</v>
      </c>
      <c r="AF1393" t="str">
        <f t="shared" si="263"/>
        <v>Regular</v>
      </c>
    </row>
    <row r="1394" spans="1:32" x14ac:dyDescent="0.25">
      <c r="A1394" t="s">
        <v>5367</v>
      </c>
      <c r="B1394" s="1">
        <v>45605</v>
      </c>
      <c r="C1394" s="1">
        <v>45615</v>
      </c>
      <c r="D1394" s="4">
        <f t="shared" si="252"/>
        <v>10</v>
      </c>
      <c r="E1394" s="4" t="str">
        <f>TEXT(Table1[[#This Row],[Order_Date]],"dddd")</f>
        <v>Saturday</v>
      </c>
      <c r="F1394" s="4">
        <f t="shared" si="253"/>
        <v>11</v>
      </c>
      <c r="G1394" t="str">
        <f t="shared" si="256"/>
        <v>November</v>
      </c>
      <c r="H1394">
        <f t="shared" si="257"/>
        <v>2024</v>
      </c>
      <c r="I1394" t="str">
        <f t="shared" si="258"/>
        <v>2024-Q4</v>
      </c>
      <c r="J1394" t="s">
        <v>104</v>
      </c>
      <c r="K1394" t="s">
        <v>5368</v>
      </c>
      <c r="L1394" t="s">
        <v>5369</v>
      </c>
      <c r="M1394" t="s">
        <v>36</v>
      </c>
      <c r="N1394" t="s">
        <v>25</v>
      </c>
      <c r="O1394" t="s">
        <v>162</v>
      </c>
      <c r="P1394" t="s">
        <v>163</v>
      </c>
      <c r="Q1394" t="s">
        <v>39</v>
      </c>
      <c r="R1394" t="s">
        <v>5370</v>
      </c>
      <c r="S1394" t="s">
        <v>51</v>
      </c>
      <c r="T1394" t="s">
        <v>108</v>
      </c>
      <c r="U1394" t="s">
        <v>5371</v>
      </c>
      <c r="V1394" s="3">
        <v>206.5</v>
      </c>
      <c r="W1394" s="4">
        <v>6</v>
      </c>
      <c r="X1394" s="2">
        <v>0</v>
      </c>
      <c r="Y1394" s="3">
        <v>-40.85</v>
      </c>
      <c r="Z1394" t="str">
        <f t="shared" si="254"/>
        <v>Normal</v>
      </c>
      <c r="AA1394" t="str">
        <f t="shared" si="255"/>
        <v>Low</v>
      </c>
      <c r="AB1394" t="str">
        <f t="shared" si="259"/>
        <v>Loss</v>
      </c>
      <c r="AC1394" s="3">
        <f t="shared" si="260"/>
        <v>-0.19782082324455205</v>
      </c>
      <c r="AD1394" s="3">
        <f t="shared" si="261"/>
        <v>34.416666666666664</v>
      </c>
      <c r="AE1394" s="3">
        <f t="shared" si="262"/>
        <v>-6.8083333333333336</v>
      </c>
      <c r="AF1394" t="str">
        <f t="shared" si="263"/>
        <v>Regular</v>
      </c>
    </row>
    <row r="1395" spans="1:32" x14ac:dyDescent="0.25">
      <c r="A1395" t="s">
        <v>2212</v>
      </c>
      <c r="B1395" s="1">
        <v>45605</v>
      </c>
      <c r="C1395" s="1">
        <v>45615</v>
      </c>
      <c r="D1395" s="4">
        <f t="shared" si="252"/>
        <v>10</v>
      </c>
      <c r="E1395" s="4" t="str">
        <f>TEXT(Table1[[#This Row],[Order_Date]],"dddd")</f>
        <v>Saturday</v>
      </c>
      <c r="F1395" s="4">
        <f t="shared" si="253"/>
        <v>11</v>
      </c>
      <c r="G1395" t="str">
        <f t="shared" si="256"/>
        <v>November</v>
      </c>
      <c r="H1395">
        <f t="shared" si="257"/>
        <v>2024</v>
      </c>
      <c r="I1395" t="str">
        <f t="shared" si="258"/>
        <v>2024-Q4</v>
      </c>
      <c r="J1395" t="s">
        <v>21</v>
      </c>
      <c r="K1395" t="s">
        <v>2213</v>
      </c>
      <c r="L1395" t="s">
        <v>2214</v>
      </c>
      <c r="M1395" t="s">
        <v>24</v>
      </c>
      <c r="N1395" t="s">
        <v>25</v>
      </c>
      <c r="O1395" t="s">
        <v>382</v>
      </c>
      <c r="P1395" t="s">
        <v>38</v>
      </c>
      <c r="Q1395" t="s">
        <v>66</v>
      </c>
      <c r="R1395" t="s">
        <v>2215</v>
      </c>
      <c r="S1395" t="s">
        <v>59</v>
      </c>
      <c r="T1395" t="s">
        <v>101</v>
      </c>
      <c r="U1395" t="s">
        <v>2216</v>
      </c>
      <c r="V1395" s="3">
        <v>1877.44</v>
      </c>
      <c r="W1395" s="4">
        <v>8</v>
      </c>
      <c r="X1395" s="2">
        <v>0.1</v>
      </c>
      <c r="Y1395" s="3">
        <v>338.61</v>
      </c>
      <c r="Z1395" t="str">
        <f t="shared" si="254"/>
        <v>Normal</v>
      </c>
      <c r="AA1395" t="str">
        <f t="shared" si="255"/>
        <v>Medium</v>
      </c>
      <c r="AB1395" t="str">
        <f t="shared" si="259"/>
        <v>Low Profit</v>
      </c>
      <c r="AC1395" s="3">
        <f t="shared" si="260"/>
        <v>0.18035729504005454</v>
      </c>
      <c r="AD1395" s="3">
        <f t="shared" si="261"/>
        <v>234.68</v>
      </c>
      <c r="AE1395" s="3">
        <f t="shared" si="262"/>
        <v>42.326250000000002</v>
      </c>
      <c r="AF1395" t="str">
        <f t="shared" si="263"/>
        <v>Regular</v>
      </c>
    </row>
    <row r="1396" spans="1:32" x14ac:dyDescent="0.25">
      <c r="A1396" t="s">
        <v>6640</v>
      </c>
      <c r="B1396" s="1">
        <v>45606</v>
      </c>
      <c r="C1396" s="1">
        <v>45609</v>
      </c>
      <c r="D1396" s="4">
        <f t="shared" si="252"/>
        <v>3</v>
      </c>
      <c r="E1396" s="4" t="str">
        <f>TEXT(Table1[[#This Row],[Order_Date]],"dddd")</f>
        <v>Sunday</v>
      </c>
      <c r="F1396" s="4">
        <f t="shared" si="253"/>
        <v>11</v>
      </c>
      <c r="G1396" t="str">
        <f t="shared" si="256"/>
        <v>November</v>
      </c>
      <c r="H1396">
        <f t="shared" si="257"/>
        <v>2024</v>
      </c>
      <c r="I1396" t="str">
        <f t="shared" si="258"/>
        <v>2024-Q4</v>
      </c>
      <c r="J1396" t="s">
        <v>55</v>
      </c>
      <c r="K1396" t="s">
        <v>6641</v>
      </c>
      <c r="L1396" t="s">
        <v>6642</v>
      </c>
      <c r="M1396" t="s">
        <v>36</v>
      </c>
      <c r="N1396" t="s">
        <v>25</v>
      </c>
      <c r="O1396" t="s">
        <v>156</v>
      </c>
      <c r="P1396" t="s">
        <v>143</v>
      </c>
      <c r="Q1396" t="s">
        <v>39</v>
      </c>
      <c r="R1396" t="s">
        <v>6643</v>
      </c>
      <c r="S1396" t="s">
        <v>59</v>
      </c>
      <c r="T1396" t="s">
        <v>277</v>
      </c>
      <c r="U1396" t="s">
        <v>6114</v>
      </c>
      <c r="V1396" s="3">
        <v>3518.21</v>
      </c>
      <c r="W1396" s="4">
        <v>2</v>
      </c>
      <c r="X1396" s="2">
        <v>0</v>
      </c>
      <c r="Y1396" s="3">
        <v>24.75</v>
      </c>
      <c r="Z1396" t="str">
        <f t="shared" si="254"/>
        <v>Normal</v>
      </c>
      <c r="AA1396" t="str">
        <f t="shared" si="255"/>
        <v>Low</v>
      </c>
      <c r="AB1396" t="str">
        <f t="shared" si="259"/>
        <v>Low Profit</v>
      </c>
      <c r="AC1396" s="3">
        <f t="shared" si="260"/>
        <v>7.0348273695998815E-3</v>
      </c>
      <c r="AD1396" s="3">
        <f t="shared" si="261"/>
        <v>1759.105</v>
      </c>
      <c r="AE1396" s="3">
        <f t="shared" si="262"/>
        <v>12.375</v>
      </c>
      <c r="AF1396" t="str">
        <f t="shared" si="263"/>
        <v>Regular</v>
      </c>
    </row>
    <row r="1397" spans="1:32" x14ac:dyDescent="0.25">
      <c r="A1397" t="s">
        <v>4279</v>
      </c>
      <c r="B1397" s="1">
        <v>45606</v>
      </c>
      <c r="C1397" s="1">
        <v>45611</v>
      </c>
      <c r="D1397" s="4">
        <f t="shared" si="252"/>
        <v>5</v>
      </c>
      <c r="E1397" s="4" t="str">
        <f>TEXT(Table1[[#This Row],[Order_Date]],"dddd")</f>
        <v>Sunday</v>
      </c>
      <c r="F1397" s="4">
        <f t="shared" si="253"/>
        <v>11</v>
      </c>
      <c r="G1397" t="str">
        <f t="shared" si="256"/>
        <v>November</v>
      </c>
      <c r="H1397">
        <f t="shared" si="257"/>
        <v>2024</v>
      </c>
      <c r="I1397" t="str">
        <f t="shared" si="258"/>
        <v>2024-Q4</v>
      </c>
      <c r="J1397" t="s">
        <v>55</v>
      </c>
      <c r="K1397" t="s">
        <v>7402</v>
      </c>
      <c r="L1397" t="s">
        <v>4280</v>
      </c>
      <c r="M1397" t="s">
        <v>24</v>
      </c>
      <c r="N1397" t="s">
        <v>25</v>
      </c>
      <c r="O1397" t="s">
        <v>162</v>
      </c>
      <c r="P1397" t="s">
        <v>163</v>
      </c>
      <c r="Q1397" t="s">
        <v>39</v>
      </c>
      <c r="R1397" t="s">
        <v>4281</v>
      </c>
      <c r="S1397" t="s">
        <v>30</v>
      </c>
      <c r="T1397" t="s">
        <v>31</v>
      </c>
      <c r="U1397" t="s">
        <v>4282</v>
      </c>
      <c r="V1397" s="3">
        <v>807.25</v>
      </c>
      <c r="W1397" s="4">
        <v>4</v>
      </c>
      <c r="X1397" s="2">
        <v>0.2</v>
      </c>
      <c r="Y1397" s="3">
        <v>240.46</v>
      </c>
      <c r="Z1397" t="str">
        <f t="shared" si="254"/>
        <v>Normal</v>
      </c>
      <c r="AA1397" t="str">
        <f t="shared" si="255"/>
        <v>High</v>
      </c>
      <c r="AB1397" t="str">
        <f t="shared" si="259"/>
        <v>Low Profit</v>
      </c>
      <c r="AC1397" s="3">
        <f t="shared" si="260"/>
        <v>0.29787550325178075</v>
      </c>
      <c r="AD1397" s="3">
        <f t="shared" si="261"/>
        <v>201.8125</v>
      </c>
      <c r="AE1397" s="3">
        <f t="shared" si="262"/>
        <v>60.115000000000002</v>
      </c>
      <c r="AF1397" t="str">
        <f t="shared" si="263"/>
        <v>Regular</v>
      </c>
    </row>
    <row r="1398" spans="1:32" x14ac:dyDescent="0.25">
      <c r="A1398" t="s">
        <v>4520</v>
      </c>
      <c r="B1398" s="1">
        <v>45607</v>
      </c>
      <c r="C1398" s="1">
        <v>45609</v>
      </c>
      <c r="D1398" s="4">
        <f t="shared" si="252"/>
        <v>2</v>
      </c>
      <c r="E1398" s="4" t="str">
        <f>TEXT(Table1[[#This Row],[Order_Date]],"dddd")</f>
        <v>Monday</v>
      </c>
      <c r="F1398" s="4">
        <f t="shared" si="253"/>
        <v>11</v>
      </c>
      <c r="G1398" t="str">
        <f t="shared" si="256"/>
        <v>November</v>
      </c>
      <c r="H1398">
        <f t="shared" si="257"/>
        <v>2024</v>
      </c>
      <c r="I1398" t="str">
        <f t="shared" si="258"/>
        <v>2024-Q4</v>
      </c>
      <c r="J1398" t="s">
        <v>55</v>
      </c>
      <c r="K1398" t="s">
        <v>4521</v>
      </c>
      <c r="L1398" t="s">
        <v>4522</v>
      </c>
      <c r="M1398" t="s">
        <v>24</v>
      </c>
      <c r="N1398" t="s">
        <v>25</v>
      </c>
      <c r="O1398" t="s">
        <v>201</v>
      </c>
      <c r="P1398" t="s">
        <v>113</v>
      </c>
      <c r="Q1398" t="s">
        <v>66</v>
      </c>
      <c r="R1398" t="s">
        <v>4523</v>
      </c>
      <c r="S1398" t="s">
        <v>51</v>
      </c>
      <c r="T1398" t="s">
        <v>52</v>
      </c>
      <c r="U1398" t="s">
        <v>4524</v>
      </c>
      <c r="V1398" s="3">
        <v>2866.49</v>
      </c>
      <c r="W1398" s="4">
        <v>4</v>
      </c>
      <c r="X1398" s="2">
        <v>0.3</v>
      </c>
      <c r="Y1398" s="3">
        <v>-324.68</v>
      </c>
      <c r="Z1398" t="str">
        <f t="shared" si="254"/>
        <v>Normal</v>
      </c>
      <c r="AA1398" t="str">
        <f t="shared" si="255"/>
        <v>High</v>
      </c>
      <c r="AB1398" t="str">
        <f t="shared" si="259"/>
        <v>Loss</v>
      </c>
      <c r="AC1398" s="3">
        <f t="shared" si="260"/>
        <v>-0.11326744555187704</v>
      </c>
      <c r="AD1398" s="3">
        <f t="shared" si="261"/>
        <v>716.62249999999995</v>
      </c>
      <c r="AE1398" s="3">
        <f t="shared" si="262"/>
        <v>-81.17</v>
      </c>
      <c r="AF1398" t="str">
        <f t="shared" si="263"/>
        <v>Regular</v>
      </c>
    </row>
    <row r="1399" spans="1:32" x14ac:dyDescent="0.25">
      <c r="A1399" t="s">
        <v>2291</v>
      </c>
      <c r="B1399" s="1">
        <v>45607</v>
      </c>
      <c r="C1399" s="1">
        <v>45616</v>
      </c>
      <c r="D1399" s="4">
        <f t="shared" si="252"/>
        <v>9</v>
      </c>
      <c r="E1399" s="4" t="str">
        <f>TEXT(Table1[[#This Row],[Order_Date]],"dddd")</f>
        <v>Monday</v>
      </c>
      <c r="F1399" s="4">
        <f t="shared" si="253"/>
        <v>11</v>
      </c>
      <c r="G1399" t="str">
        <f t="shared" si="256"/>
        <v>November</v>
      </c>
      <c r="H1399">
        <f t="shared" si="257"/>
        <v>2024</v>
      </c>
      <c r="I1399" t="str">
        <f t="shared" si="258"/>
        <v>2024-Q4</v>
      </c>
      <c r="J1399" t="s">
        <v>104</v>
      </c>
      <c r="K1399" t="s">
        <v>2292</v>
      </c>
      <c r="L1399" t="s">
        <v>2293</v>
      </c>
      <c r="M1399" t="s">
        <v>36</v>
      </c>
      <c r="N1399" t="s">
        <v>25</v>
      </c>
      <c r="O1399" t="s">
        <v>142</v>
      </c>
      <c r="P1399" t="s">
        <v>143</v>
      </c>
      <c r="Q1399" t="s">
        <v>39</v>
      </c>
      <c r="R1399" t="s">
        <v>2294</v>
      </c>
      <c r="S1399" t="s">
        <v>51</v>
      </c>
      <c r="T1399" t="s">
        <v>151</v>
      </c>
      <c r="U1399" t="s">
        <v>2295</v>
      </c>
      <c r="V1399" s="3">
        <v>2716.42</v>
      </c>
      <c r="W1399" s="4">
        <v>4</v>
      </c>
      <c r="X1399" s="2">
        <v>0.4</v>
      </c>
      <c r="Y1399" s="3">
        <v>118.48</v>
      </c>
      <c r="Z1399" t="str">
        <f t="shared" si="254"/>
        <v>Normal</v>
      </c>
      <c r="AA1399" t="str">
        <f t="shared" si="255"/>
        <v>High</v>
      </c>
      <c r="AB1399" t="str">
        <f t="shared" si="259"/>
        <v>Low Profit</v>
      </c>
      <c r="AC1399" s="3">
        <f t="shared" si="260"/>
        <v>4.3616230185317441E-2</v>
      </c>
      <c r="AD1399" s="3">
        <f t="shared" si="261"/>
        <v>679.10500000000002</v>
      </c>
      <c r="AE1399" s="3">
        <f t="shared" si="262"/>
        <v>29.62</v>
      </c>
      <c r="AF1399" t="str">
        <f t="shared" si="263"/>
        <v>Regular</v>
      </c>
    </row>
    <row r="1400" spans="1:32" x14ac:dyDescent="0.25">
      <c r="A1400" t="s">
        <v>3048</v>
      </c>
      <c r="B1400" s="1">
        <v>45607</v>
      </c>
      <c r="C1400" s="1">
        <v>45614</v>
      </c>
      <c r="D1400" s="4">
        <f t="shared" si="252"/>
        <v>7</v>
      </c>
      <c r="E1400" s="4" t="str">
        <f>TEXT(Table1[[#This Row],[Order_Date]],"dddd")</f>
        <v>Monday</v>
      </c>
      <c r="F1400" s="4">
        <f t="shared" si="253"/>
        <v>11</v>
      </c>
      <c r="G1400" t="str">
        <f t="shared" si="256"/>
        <v>November</v>
      </c>
      <c r="H1400">
        <f t="shared" si="257"/>
        <v>2024</v>
      </c>
      <c r="I1400" t="str">
        <f t="shared" si="258"/>
        <v>2024-Q4</v>
      </c>
      <c r="J1400" t="s">
        <v>21</v>
      </c>
      <c r="K1400" t="s">
        <v>3049</v>
      </c>
      <c r="L1400" t="s">
        <v>3050</v>
      </c>
      <c r="M1400" t="s">
        <v>47</v>
      </c>
      <c r="N1400" t="s">
        <v>25</v>
      </c>
      <c r="O1400" t="s">
        <v>142</v>
      </c>
      <c r="P1400" t="s">
        <v>143</v>
      </c>
      <c r="Q1400" t="s">
        <v>87</v>
      </c>
      <c r="R1400" t="s">
        <v>3051</v>
      </c>
      <c r="S1400" t="s">
        <v>59</v>
      </c>
      <c r="T1400" t="s">
        <v>277</v>
      </c>
      <c r="U1400" t="s">
        <v>3052</v>
      </c>
      <c r="V1400" s="3">
        <v>3769.1</v>
      </c>
      <c r="W1400" s="4">
        <v>9</v>
      </c>
      <c r="X1400" s="2">
        <v>0.1</v>
      </c>
      <c r="Y1400" s="3">
        <v>-703.13</v>
      </c>
      <c r="Z1400" t="str">
        <f t="shared" si="254"/>
        <v>Normal</v>
      </c>
      <c r="AA1400" t="str">
        <f t="shared" si="255"/>
        <v>Medium</v>
      </c>
      <c r="AB1400" t="str">
        <f t="shared" si="259"/>
        <v>Loss</v>
      </c>
      <c r="AC1400" s="3">
        <f t="shared" si="260"/>
        <v>-0.18655116606086333</v>
      </c>
      <c r="AD1400" s="3">
        <f t="shared" si="261"/>
        <v>418.78888888888889</v>
      </c>
      <c r="AE1400" s="3">
        <f t="shared" si="262"/>
        <v>-78.12555555555555</v>
      </c>
      <c r="AF1400" t="str">
        <f t="shared" si="263"/>
        <v>Regular</v>
      </c>
    </row>
    <row r="1401" spans="1:32" x14ac:dyDescent="0.25">
      <c r="A1401" t="s">
        <v>2103</v>
      </c>
      <c r="B1401" s="1">
        <v>45607</v>
      </c>
      <c r="C1401" s="1">
        <v>45610</v>
      </c>
      <c r="D1401" s="4">
        <f t="shared" si="252"/>
        <v>3</v>
      </c>
      <c r="E1401" s="4" t="str">
        <f>TEXT(Table1[[#This Row],[Order_Date]],"dddd")</f>
        <v>Monday</v>
      </c>
      <c r="F1401" s="4">
        <f t="shared" si="253"/>
        <v>11</v>
      </c>
      <c r="G1401" t="str">
        <f t="shared" si="256"/>
        <v>November</v>
      </c>
      <c r="H1401">
        <f t="shared" si="257"/>
        <v>2024</v>
      </c>
      <c r="I1401" t="str">
        <f t="shared" si="258"/>
        <v>2024-Q4</v>
      </c>
      <c r="J1401" t="s">
        <v>21</v>
      </c>
      <c r="K1401" t="s">
        <v>2104</v>
      </c>
      <c r="L1401" t="s">
        <v>2105</v>
      </c>
      <c r="M1401" t="s">
        <v>47</v>
      </c>
      <c r="N1401" t="s">
        <v>25</v>
      </c>
      <c r="O1401" t="s">
        <v>113</v>
      </c>
      <c r="P1401" t="s">
        <v>113</v>
      </c>
      <c r="Q1401" t="s">
        <v>87</v>
      </c>
      <c r="R1401" t="s">
        <v>2106</v>
      </c>
      <c r="S1401" t="s">
        <v>59</v>
      </c>
      <c r="T1401" t="s">
        <v>60</v>
      </c>
      <c r="U1401" t="s">
        <v>2107</v>
      </c>
      <c r="V1401" s="3">
        <v>3986.45</v>
      </c>
      <c r="W1401" s="4">
        <v>10</v>
      </c>
      <c r="X1401" s="2">
        <v>0.3</v>
      </c>
      <c r="Y1401" s="3">
        <v>-139.21</v>
      </c>
      <c r="Z1401" t="str">
        <f t="shared" si="254"/>
        <v>Normal</v>
      </c>
      <c r="AA1401" t="str">
        <f t="shared" si="255"/>
        <v>High</v>
      </c>
      <c r="AB1401" t="str">
        <f t="shared" si="259"/>
        <v>Loss</v>
      </c>
      <c r="AC1401" s="3">
        <f t="shared" si="260"/>
        <v>-3.4920794190319709E-2</v>
      </c>
      <c r="AD1401" s="3">
        <f t="shared" si="261"/>
        <v>398.64499999999998</v>
      </c>
      <c r="AE1401" s="3">
        <f t="shared" si="262"/>
        <v>-13.921000000000001</v>
      </c>
      <c r="AF1401" t="str">
        <f t="shared" si="263"/>
        <v>Regular</v>
      </c>
    </row>
    <row r="1402" spans="1:32" x14ac:dyDescent="0.25">
      <c r="A1402" t="s">
        <v>6304</v>
      </c>
      <c r="B1402" s="1">
        <v>45607</v>
      </c>
      <c r="C1402" s="1">
        <v>45611</v>
      </c>
      <c r="D1402" s="4">
        <f t="shared" si="252"/>
        <v>4</v>
      </c>
      <c r="E1402" s="4" t="str">
        <f>TEXT(Table1[[#This Row],[Order_Date]],"dddd")</f>
        <v>Monday</v>
      </c>
      <c r="F1402" s="4">
        <f t="shared" si="253"/>
        <v>11</v>
      </c>
      <c r="G1402" t="str">
        <f t="shared" si="256"/>
        <v>November</v>
      </c>
      <c r="H1402">
        <f t="shared" si="257"/>
        <v>2024</v>
      </c>
      <c r="I1402" t="str">
        <f t="shared" si="258"/>
        <v>2024-Q4</v>
      </c>
      <c r="J1402" t="s">
        <v>21</v>
      </c>
      <c r="K1402" t="s">
        <v>6305</v>
      </c>
      <c r="L1402" t="s">
        <v>6306</v>
      </c>
      <c r="M1402" t="s">
        <v>24</v>
      </c>
      <c r="N1402" t="s">
        <v>25</v>
      </c>
      <c r="O1402" t="s">
        <v>149</v>
      </c>
      <c r="P1402" t="s">
        <v>113</v>
      </c>
      <c r="Q1402" t="s">
        <v>66</v>
      </c>
      <c r="R1402" t="s">
        <v>6307</v>
      </c>
      <c r="S1402" t="s">
        <v>30</v>
      </c>
      <c r="T1402" t="s">
        <v>68</v>
      </c>
      <c r="U1402" t="s">
        <v>6308</v>
      </c>
      <c r="V1402" s="3">
        <v>3306.69</v>
      </c>
      <c r="W1402" s="4">
        <v>9</v>
      </c>
      <c r="X1402" s="2">
        <v>0</v>
      </c>
      <c r="Y1402" s="3">
        <v>-125.03</v>
      </c>
      <c r="Z1402" t="str">
        <f t="shared" si="254"/>
        <v>Normal</v>
      </c>
      <c r="AA1402" t="str">
        <f t="shared" si="255"/>
        <v>Low</v>
      </c>
      <c r="AB1402" t="str">
        <f t="shared" si="259"/>
        <v>Loss</v>
      </c>
      <c r="AC1402" s="3">
        <f t="shared" si="260"/>
        <v>-3.7811225122403369E-2</v>
      </c>
      <c r="AD1402" s="3">
        <f t="shared" si="261"/>
        <v>367.41</v>
      </c>
      <c r="AE1402" s="3">
        <f t="shared" si="262"/>
        <v>-13.892222222222223</v>
      </c>
      <c r="AF1402" t="str">
        <f t="shared" si="263"/>
        <v>Regular</v>
      </c>
    </row>
    <row r="1403" spans="1:32" x14ac:dyDescent="0.25">
      <c r="A1403" t="s">
        <v>6591</v>
      </c>
      <c r="B1403" s="1">
        <v>45607</v>
      </c>
      <c r="C1403" s="1">
        <v>45616</v>
      </c>
      <c r="D1403" s="4">
        <f t="shared" si="252"/>
        <v>9</v>
      </c>
      <c r="E1403" s="4" t="str">
        <f>TEXT(Table1[[#This Row],[Order_Date]],"dddd")</f>
        <v>Monday</v>
      </c>
      <c r="F1403" s="4">
        <f t="shared" si="253"/>
        <v>11</v>
      </c>
      <c r="G1403" t="str">
        <f t="shared" si="256"/>
        <v>November</v>
      </c>
      <c r="H1403">
        <f t="shared" si="257"/>
        <v>2024</v>
      </c>
      <c r="I1403" t="str">
        <f t="shared" si="258"/>
        <v>2024-Q4</v>
      </c>
      <c r="J1403" t="s">
        <v>44</v>
      </c>
      <c r="K1403" t="s">
        <v>6592</v>
      </c>
      <c r="L1403" t="s">
        <v>6593</v>
      </c>
      <c r="M1403" t="s">
        <v>47</v>
      </c>
      <c r="N1403" t="s">
        <v>25</v>
      </c>
      <c r="O1403" t="s">
        <v>227</v>
      </c>
      <c r="P1403" t="s">
        <v>49</v>
      </c>
      <c r="Q1403" t="s">
        <v>28</v>
      </c>
      <c r="R1403" t="s">
        <v>6594</v>
      </c>
      <c r="S1403" t="s">
        <v>51</v>
      </c>
      <c r="T1403" t="s">
        <v>127</v>
      </c>
      <c r="U1403" t="s">
        <v>6595</v>
      </c>
      <c r="V1403" s="3">
        <v>949.4</v>
      </c>
      <c r="W1403" s="4">
        <v>10</v>
      </c>
      <c r="X1403" s="2">
        <v>0</v>
      </c>
      <c r="Y1403" s="3">
        <v>131.06</v>
      </c>
      <c r="Z1403" t="str">
        <f t="shared" si="254"/>
        <v>Normal</v>
      </c>
      <c r="AA1403" t="str">
        <f t="shared" si="255"/>
        <v>Low</v>
      </c>
      <c r="AB1403" t="str">
        <f t="shared" si="259"/>
        <v>Low Profit</v>
      </c>
      <c r="AC1403" s="3">
        <f t="shared" si="260"/>
        <v>0.13804508110385508</v>
      </c>
      <c r="AD1403" s="3">
        <f t="shared" si="261"/>
        <v>94.94</v>
      </c>
      <c r="AE1403" s="3">
        <f t="shared" si="262"/>
        <v>13.106</v>
      </c>
      <c r="AF1403" t="str">
        <f t="shared" si="263"/>
        <v>Regular</v>
      </c>
    </row>
    <row r="1404" spans="1:32" x14ac:dyDescent="0.25">
      <c r="A1404" t="s">
        <v>1252</v>
      </c>
      <c r="B1404" s="1">
        <v>45608</v>
      </c>
      <c r="C1404" s="1">
        <v>45609</v>
      </c>
      <c r="D1404" s="4">
        <f t="shared" si="252"/>
        <v>1</v>
      </c>
      <c r="E1404" s="4" t="str">
        <f>TEXT(Table1[[#This Row],[Order_Date]],"dddd")</f>
        <v>Tuesday</v>
      </c>
      <c r="F1404" s="4">
        <f t="shared" si="253"/>
        <v>11</v>
      </c>
      <c r="G1404" t="str">
        <f t="shared" si="256"/>
        <v>November</v>
      </c>
      <c r="H1404">
        <f t="shared" si="257"/>
        <v>2024</v>
      </c>
      <c r="I1404" t="str">
        <f t="shared" si="258"/>
        <v>2024-Q4</v>
      </c>
      <c r="J1404" t="s">
        <v>104</v>
      </c>
      <c r="K1404" t="s">
        <v>1253</v>
      </c>
      <c r="L1404" t="s">
        <v>1254</v>
      </c>
      <c r="M1404" t="s">
        <v>36</v>
      </c>
      <c r="N1404" t="s">
        <v>25</v>
      </c>
      <c r="O1404" t="s">
        <v>119</v>
      </c>
      <c r="P1404" t="s">
        <v>120</v>
      </c>
      <c r="Q1404" t="s">
        <v>39</v>
      </c>
      <c r="R1404" t="s">
        <v>1255</v>
      </c>
      <c r="S1404" t="s">
        <v>30</v>
      </c>
      <c r="T1404" t="s">
        <v>31</v>
      </c>
      <c r="U1404" t="s">
        <v>1256</v>
      </c>
      <c r="V1404" s="3">
        <v>4451.5200000000004</v>
      </c>
      <c r="W1404" s="4">
        <v>2</v>
      </c>
      <c r="X1404" s="2">
        <v>0.1</v>
      </c>
      <c r="Y1404" s="3">
        <v>-752.3</v>
      </c>
      <c r="Z1404" t="str">
        <f t="shared" si="254"/>
        <v>Normal</v>
      </c>
      <c r="AA1404" t="str">
        <f t="shared" si="255"/>
        <v>Medium</v>
      </c>
      <c r="AB1404" t="str">
        <f t="shared" si="259"/>
        <v>Loss</v>
      </c>
      <c r="AC1404" s="3">
        <f t="shared" si="260"/>
        <v>-0.16899845446049885</v>
      </c>
      <c r="AD1404" s="3">
        <f t="shared" si="261"/>
        <v>2225.7600000000002</v>
      </c>
      <c r="AE1404" s="3">
        <f t="shared" si="262"/>
        <v>-376.15</v>
      </c>
      <c r="AF1404" t="str">
        <f t="shared" si="263"/>
        <v>Regular</v>
      </c>
    </row>
    <row r="1405" spans="1:32" x14ac:dyDescent="0.25">
      <c r="A1405" t="s">
        <v>6635</v>
      </c>
      <c r="B1405" s="1">
        <v>45608</v>
      </c>
      <c r="C1405" s="1">
        <v>45618</v>
      </c>
      <c r="D1405" s="4">
        <f t="shared" si="252"/>
        <v>10</v>
      </c>
      <c r="E1405" s="4" t="str">
        <f>TEXT(Table1[[#This Row],[Order_Date]],"dddd")</f>
        <v>Tuesday</v>
      </c>
      <c r="F1405" s="4">
        <f t="shared" si="253"/>
        <v>11</v>
      </c>
      <c r="G1405" t="str">
        <f t="shared" si="256"/>
        <v>November</v>
      </c>
      <c r="H1405">
        <f t="shared" si="257"/>
        <v>2024</v>
      </c>
      <c r="I1405" t="str">
        <f t="shared" si="258"/>
        <v>2024-Q4</v>
      </c>
      <c r="J1405" t="s">
        <v>44</v>
      </c>
      <c r="K1405" t="s">
        <v>6636</v>
      </c>
      <c r="L1405" t="s">
        <v>6637</v>
      </c>
      <c r="M1405" t="s">
        <v>36</v>
      </c>
      <c r="N1405" t="s">
        <v>25</v>
      </c>
      <c r="O1405" t="s">
        <v>142</v>
      </c>
      <c r="P1405" t="s">
        <v>143</v>
      </c>
      <c r="Q1405" t="s">
        <v>28</v>
      </c>
      <c r="R1405" t="s">
        <v>6638</v>
      </c>
      <c r="S1405" t="s">
        <v>51</v>
      </c>
      <c r="T1405" t="s">
        <v>127</v>
      </c>
      <c r="U1405" t="s">
        <v>6639</v>
      </c>
      <c r="V1405" s="3">
        <v>4452.3999999999996</v>
      </c>
      <c r="W1405" s="4">
        <v>5</v>
      </c>
      <c r="X1405" s="2">
        <v>0.3</v>
      </c>
      <c r="Y1405" s="3">
        <v>179.85</v>
      </c>
      <c r="Z1405" t="str">
        <f t="shared" si="254"/>
        <v>Normal</v>
      </c>
      <c r="AA1405" t="str">
        <f t="shared" si="255"/>
        <v>High</v>
      </c>
      <c r="AB1405" t="str">
        <f t="shared" si="259"/>
        <v>Low Profit</v>
      </c>
      <c r="AC1405" s="3">
        <f t="shared" si="260"/>
        <v>4.0393944838738663E-2</v>
      </c>
      <c r="AD1405" s="3">
        <f t="shared" si="261"/>
        <v>890.4799999999999</v>
      </c>
      <c r="AE1405" s="3">
        <f t="shared" si="262"/>
        <v>35.97</v>
      </c>
      <c r="AF1405" t="str">
        <f t="shared" si="263"/>
        <v>Regular</v>
      </c>
    </row>
    <row r="1406" spans="1:32" x14ac:dyDescent="0.25">
      <c r="A1406" t="s">
        <v>4602</v>
      </c>
      <c r="B1406" s="1">
        <v>45608</v>
      </c>
      <c r="C1406" s="1">
        <v>45612</v>
      </c>
      <c r="D1406" s="4">
        <f t="shared" si="252"/>
        <v>4</v>
      </c>
      <c r="E1406" s="4" t="str">
        <f>TEXT(Table1[[#This Row],[Order_Date]],"dddd")</f>
        <v>Tuesday</v>
      </c>
      <c r="F1406" s="4">
        <f t="shared" si="253"/>
        <v>11</v>
      </c>
      <c r="G1406" t="str">
        <f t="shared" si="256"/>
        <v>November</v>
      </c>
      <c r="H1406">
        <f t="shared" si="257"/>
        <v>2024</v>
      </c>
      <c r="I1406" t="str">
        <f t="shared" si="258"/>
        <v>2024-Q4</v>
      </c>
      <c r="J1406" t="s">
        <v>104</v>
      </c>
      <c r="K1406" t="s">
        <v>4603</v>
      </c>
      <c r="L1406" t="s">
        <v>4604</v>
      </c>
      <c r="M1406" t="s">
        <v>24</v>
      </c>
      <c r="N1406" t="s">
        <v>25</v>
      </c>
      <c r="O1406" t="s">
        <v>80</v>
      </c>
      <c r="P1406" t="s">
        <v>49</v>
      </c>
      <c r="Q1406" t="s">
        <v>28</v>
      </c>
      <c r="R1406" t="s">
        <v>4605</v>
      </c>
      <c r="S1406" t="s">
        <v>30</v>
      </c>
      <c r="T1406" t="s">
        <v>31</v>
      </c>
      <c r="U1406" t="s">
        <v>4606</v>
      </c>
      <c r="V1406" s="3">
        <v>2016.53</v>
      </c>
      <c r="W1406" s="4">
        <v>9</v>
      </c>
      <c r="X1406" s="2">
        <v>0.1</v>
      </c>
      <c r="Y1406" s="3">
        <v>202.3</v>
      </c>
      <c r="Z1406" t="str">
        <f t="shared" si="254"/>
        <v>Normal</v>
      </c>
      <c r="AA1406" t="str">
        <f t="shared" si="255"/>
        <v>Medium</v>
      </c>
      <c r="AB1406" t="str">
        <f t="shared" si="259"/>
        <v>Low Profit</v>
      </c>
      <c r="AC1406" s="3">
        <f t="shared" si="260"/>
        <v>0.10032084818971204</v>
      </c>
      <c r="AD1406" s="3">
        <f t="shared" si="261"/>
        <v>224.05888888888887</v>
      </c>
      <c r="AE1406" s="3">
        <f t="shared" si="262"/>
        <v>22.477777777777778</v>
      </c>
      <c r="AF1406" t="str">
        <f t="shared" si="263"/>
        <v>Regular</v>
      </c>
    </row>
    <row r="1407" spans="1:32" x14ac:dyDescent="0.25">
      <c r="A1407" t="s">
        <v>5018</v>
      </c>
      <c r="B1407" s="1">
        <v>45609</v>
      </c>
      <c r="C1407" s="1">
        <v>45617</v>
      </c>
      <c r="D1407" s="4">
        <f t="shared" si="252"/>
        <v>8</v>
      </c>
      <c r="E1407" s="4" t="str">
        <f>TEXT(Table1[[#This Row],[Order_Date]],"dddd")</f>
        <v>Wednesday</v>
      </c>
      <c r="F1407" s="4">
        <f t="shared" si="253"/>
        <v>11</v>
      </c>
      <c r="G1407" t="str">
        <f t="shared" si="256"/>
        <v>November</v>
      </c>
      <c r="H1407">
        <f t="shared" si="257"/>
        <v>2024</v>
      </c>
      <c r="I1407" t="str">
        <f t="shared" si="258"/>
        <v>2024-Q4</v>
      </c>
      <c r="J1407" t="s">
        <v>55</v>
      </c>
      <c r="K1407" t="s">
        <v>5019</v>
      </c>
      <c r="L1407" t="s">
        <v>5020</v>
      </c>
      <c r="M1407" t="s">
        <v>47</v>
      </c>
      <c r="N1407" t="s">
        <v>25</v>
      </c>
      <c r="O1407" t="s">
        <v>451</v>
      </c>
      <c r="P1407" t="s">
        <v>38</v>
      </c>
      <c r="Q1407" t="s">
        <v>66</v>
      </c>
      <c r="R1407" t="s">
        <v>5021</v>
      </c>
      <c r="S1407" t="s">
        <v>30</v>
      </c>
      <c r="T1407" t="s">
        <v>82</v>
      </c>
      <c r="U1407" t="s">
        <v>5022</v>
      </c>
      <c r="V1407" s="3">
        <v>4175.8500000000004</v>
      </c>
      <c r="W1407" s="4">
        <v>2</v>
      </c>
      <c r="X1407" s="2">
        <v>0.2</v>
      </c>
      <c r="Y1407" s="3">
        <v>602.07000000000005</v>
      </c>
      <c r="Z1407" t="str">
        <f t="shared" si="254"/>
        <v>Normal</v>
      </c>
      <c r="AA1407" t="str">
        <f t="shared" si="255"/>
        <v>High</v>
      </c>
      <c r="AB1407" t="str">
        <f t="shared" si="259"/>
        <v>High Profit</v>
      </c>
      <c r="AC1407" s="3">
        <f t="shared" si="260"/>
        <v>0.14417902941916017</v>
      </c>
      <c r="AD1407" s="3">
        <f t="shared" si="261"/>
        <v>2087.9250000000002</v>
      </c>
      <c r="AE1407" s="3">
        <f t="shared" si="262"/>
        <v>301.03500000000003</v>
      </c>
      <c r="AF1407" t="str">
        <f t="shared" si="263"/>
        <v>Regular</v>
      </c>
    </row>
    <row r="1408" spans="1:32" x14ac:dyDescent="0.25">
      <c r="A1408" t="s">
        <v>3391</v>
      </c>
      <c r="B1408" s="1">
        <v>45611</v>
      </c>
      <c r="C1408" s="1">
        <v>45617</v>
      </c>
      <c r="D1408" s="4">
        <f t="shared" si="252"/>
        <v>6</v>
      </c>
      <c r="E1408" s="4" t="str">
        <f>TEXT(Table1[[#This Row],[Order_Date]],"dddd")</f>
        <v>Friday</v>
      </c>
      <c r="F1408" s="4">
        <f t="shared" si="253"/>
        <v>11</v>
      </c>
      <c r="G1408" t="str">
        <f t="shared" si="256"/>
        <v>November</v>
      </c>
      <c r="H1408">
        <f t="shared" si="257"/>
        <v>2024</v>
      </c>
      <c r="I1408" t="str">
        <f t="shared" si="258"/>
        <v>2024-Q4</v>
      </c>
      <c r="J1408" t="s">
        <v>21</v>
      </c>
      <c r="K1408" t="s">
        <v>3392</v>
      </c>
      <c r="L1408" t="s">
        <v>3393</v>
      </c>
      <c r="M1408" t="s">
        <v>24</v>
      </c>
      <c r="N1408" t="s">
        <v>25</v>
      </c>
      <c r="O1408" t="s">
        <v>611</v>
      </c>
      <c r="P1408" t="s">
        <v>74</v>
      </c>
      <c r="Q1408" t="s">
        <v>28</v>
      </c>
      <c r="R1408" t="s">
        <v>3394</v>
      </c>
      <c r="S1408" t="s">
        <v>59</v>
      </c>
      <c r="T1408" t="s">
        <v>277</v>
      </c>
      <c r="U1408" t="s">
        <v>3395</v>
      </c>
      <c r="V1408" s="3">
        <v>1432.37</v>
      </c>
      <c r="W1408" s="4">
        <v>3</v>
      </c>
      <c r="X1408" s="2">
        <v>0</v>
      </c>
      <c r="Y1408" s="3">
        <v>-106.51</v>
      </c>
      <c r="Z1408" t="str">
        <f t="shared" si="254"/>
        <v>Normal</v>
      </c>
      <c r="AA1408" t="str">
        <f t="shared" si="255"/>
        <v>Low</v>
      </c>
      <c r="AB1408" t="str">
        <f t="shared" si="259"/>
        <v>Loss</v>
      </c>
      <c r="AC1408" s="3">
        <f t="shared" si="260"/>
        <v>-7.4359278677995216E-2</v>
      </c>
      <c r="AD1408" s="3">
        <f t="shared" si="261"/>
        <v>477.45666666666665</v>
      </c>
      <c r="AE1408" s="3">
        <f t="shared" si="262"/>
        <v>-35.503333333333337</v>
      </c>
      <c r="AF1408" t="str">
        <f t="shared" si="263"/>
        <v>Regular</v>
      </c>
    </row>
    <row r="1409" spans="1:32" x14ac:dyDescent="0.25">
      <c r="A1409" t="s">
        <v>1181</v>
      </c>
      <c r="B1409" s="1">
        <v>45612</v>
      </c>
      <c r="C1409" s="1">
        <v>45618</v>
      </c>
      <c r="D1409" s="4">
        <f t="shared" si="252"/>
        <v>6</v>
      </c>
      <c r="E1409" s="4" t="str">
        <f>TEXT(Table1[[#This Row],[Order_Date]],"dddd")</f>
        <v>Saturday</v>
      </c>
      <c r="F1409" s="4">
        <f t="shared" si="253"/>
        <v>11</v>
      </c>
      <c r="G1409" t="str">
        <f t="shared" si="256"/>
        <v>November</v>
      </c>
      <c r="H1409">
        <f t="shared" si="257"/>
        <v>2024</v>
      </c>
      <c r="I1409" t="str">
        <f t="shared" si="258"/>
        <v>2024-Q4</v>
      </c>
      <c r="J1409" t="s">
        <v>21</v>
      </c>
      <c r="K1409" t="s">
        <v>1182</v>
      </c>
      <c r="L1409" t="s">
        <v>1183</v>
      </c>
      <c r="M1409" t="s">
        <v>24</v>
      </c>
      <c r="N1409" t="s">
        <v>25</v>
      </c>
      <c r="O1409" t="s">
        <v>119</v>
      </c>
      <c r="P1409" t="s">
        <v>120</v>
      </c>
      <c r="Q1409" t="s">
        <v>87</v>
      </c>
      <c r="R1409" t="s">
        <v>1184</v>
      </c>
      <c r="S1409" t="s">
        <v>51</v>
      </c>
      <c r="T1409" t="s">
        <v>52</v>
      </c>
      <c r="U1409" t="s">
        <v>1185</v>
      </c>
      <c r="V1409" s="3">
        <v>1854.23</v>
      </c>
      <c r="W1409" s="4">
        <v>5</v>
      </c>
      <c r="X1409" s="2">
        <v>0</v>
      </c>
      <c r="Y1409" s="3">
        <v>113.83</v>
      </c>
      <c r="Z1409" t="str">
        <f t="shared" si="254"/>
        <v>Normal</v>
      </c>
      <c r="AA1409" t="str">
        <f t="shared" si="255"/>
        <v>Low</v>
      </c>
      <c r="AB1409" t="str">
        <f t="shared" si="259"/>
        <v>Low Profit</v>
      </c>
      <c r="AC1409" s="3">
        <f t="shared" si="260"/>
        <v>6.1389363779034964E-2</v>
      </c>
      <c r="AD1409" s="3">
        <f t="shared" si="261"/>
        <v>370.846</v>
      </c>
      <c r="AE1409" s="3">
        <f t="shared" si="262"/>
        <v>22.765999999999998</v>
      </c>
      <c r="AF1409" t="str">
        <f t="shared" si="263"/>
        <v>Regular</v>
      </c>
    </row>
    <row r="1410" spans="1:32" x14ac:dyDescent="0.25">
      <c r="A1410" t="s">
        <v>1563</v>
      </c>
      <c r="B1410" s="1">
        <v>45614</v>
      </c>
      <c r="C1410" s="1">
        <v>45616</v>
      </c>
      <c r="D1410" s="4">
        <f t="shared" ref="D1410:D1473" si="264">C1410-B1410</f>
        <v>2</v>
      </c>
      <c r="E1410" s="4" t="str">
        <f>TEXT(Table1[[#This Row],[Order_Date]],"dddd")</f>
        <v>Monday</v>
      </c>
      <c r="F1410" s="4">
        <f t="shared" ref="F1410:F1473" si="265">MONTH(B1410)</f>
        <v>11</v>
      </c>
      <c r="G1410" t="str">
        <f t="shared" si="256"/>
        <v>November</v>
      </c>
      <c r="H1410">
        <f t="shared" si="257"/>
        <v>2024</v>
      </c>
      <c r="I1410" t="str">
        <f t="shared" si="258"/>
        <v>2024-Q4</v>
      </c>
      <c r="J1410" t="s">
        <v>55</v>
      </c>
      <c r="K1410" t="s">
        <v>1564</v>
      </c>
      <c r="L1410" t="s">
        <v>1565</v>
      </c>
      <c r="M1410" t="s">
        <v>47</v>
      </c>
      <c r="N1410" t="s">
        <v>25</v>
      </c>
      <c r="O1410" t="s">
        <v>73</v>
      </c>
      <c r="P1410" t="s">
        <v>74</v>
      </c>
      <c r="Q1410" t="s">
        <v>66</v>
      </c>
      <c r="R1410" t="s">
        <v>1566</v>
      </c>
      <c r="S1410" t="s">
        <v>30</v>
      </c>
      <c r="T1410" t="s">
        <v>31</v>
      </c>
      <c r="U1410" t="s">
        <v>1567</v>
      </c>
      <c r="V1410" s="3">
        <v>3508.71</v>
      </c>
      <c r="W1410" s="4">
        <v>9</v>
      </c>
      <c r="X1410" s="2">
        <v>0.4</v>
      </c>
      <c r="Y1410" s="3">
        <v>-383.87</v>
      </c>
      <c r="Z1410" t="str">
        <f t="shared" ref="Z1410:Z1473" si="266">IF(OR(Y1410&lt;-800.884,Y1410&gt;1030.126),"Outlier","Normal")</f>
        <v>Normal</v>
      </c>
      <c r="AA1410" t="str">
        <f t="shared" ref="AA1410:AA1473" si="267">IF(X1410&lt;10%,"Low",IF(X1410&lt;0.2,"Medium","High"))</f>
        <v>High</v>
      </c>
      <c r="AB1410" t="str">
        <f t="shared" si="259"/>
        <v>Loss</v>
      </c>
      <c r="AC1410" s="3">
        <f t="shared" si="260"/>
        <v>-0.10940488099614958</v>
      </c>
      <c r="AD1410" s="3">
        <f t="shared" si="261"/>
        <v>389.85666666666668</v>
      </c>
      <c r="AE1410" s="3">
        <f t="shared" si="262"/>
        <v>-42.652222222222221</v>
      </c>
      <c r="AF1410" t="str">
        <f t="shared" si="263"/>
        <v>Regular</v>
      </c>
    </row>
    <row r="1411" spans="1:32" x14ac:dyDescent="0.25">
      <c r="A1411" t="s">
        <v>4337</v>
      </c>
      <c r="B1411" s="1">
        <v>45615</v>
      </c>
      <c r="C1411" s="1">
        <v>45619</v>
      </c>
      <c r="D1411" s="4">
        <f t="shared" si="264"/>
        <v>4</v>
      </c>
      <c r="E1411" s="4" t="str">
        <f>TEXT(Table1[[#This Row],[Order_Date]],"dddd")</f>
        <v>Tuesday</v>
      </c>
      <c r="F1411" s="4">
        <f t="shared" si="265"/>
        <v>11</v>
      </c>
      <c r="G1411" t="str">
        <f t="shared" ref="G1411:G1474" si="268">TEXT(B1411,"mmmm")</f>
        <v>November</v>
      </c>
      <c r="H1411">
        <f t="shared" ref="H1411:H1474" si="269">YEAR(B1411)</f>
        <v>2024</v>
      </c>
      <c r="I1411" t="str">
        <f t="shared" ref="I1411:I1474" si="270">H1411 &amp; "-Q" &amp; INT((MONTH(B1411)+2)/3)</f>
        <v>2024-Q4</v>
      </c>
      <c r="J1411" t="s">
        <v>104</v>
      </c>
      <c r="K1411" t="s">
        <v>4338</v>
      </c>
      <c r="L1411" t="s">
        <v>4339</v>
      </c>
      <c r="M1411" t="s">
        <v>47</v>
      </c>
      <c r="N1411" t="s">
        <v>25</v>
      </c>
      <c r="O1411" t="s">
        <v>179</v>
      </c>
      <c r="P1411" t="s">
        <v>27</v>
      </c>
      <c r="Q1411" t="s">
        <v>66</v>
      </c>
      <c r="R1411" t="s">
        <v>4340</v>
      </c>
      <c r="S1411" t="s">
        <v>30</v>
      </c>
      <c r="T1411" t="s">
        <v>82</v>
      </c>
      <c r="U1411" t="s">
        <v>4341</v>
      </c>
      <c r="V1411" s="3">
        <v>2338.63</v>
      </c>
      <c r="W1411" s="4">
        <v>9</v>
      </c>
      <c r="X1411" s="2">
        <v>0.2</v>
      </c>
      <c r="Y1411" s="3">
        <v>546.46</v>
      </c>
      <c r="Z1411" t="str">
        <f t="shared" si="266"/>
        <v>Normal</v>
      </c>
      <c r="AA1411" t="str">
        <f t="shared" si="267"/>
        <v>High</v>
      </c>
      <c r="AB1411" t="str">
        <f t="shared" ref="AB1411:AB1474" si="271">IF(Y1411&lt;0, "Loss", IF(Y1411&lt;500,"Low Profit", "High Profit"))</f>
        <v>High Profit</v>
      </c>
      <c r="AC1411" s="3">
        <f t="shared" ref="AC1411:AC1474" si="272">Y1411/V1411</f>
        <v>0.23366671940409556</v>
      </c>
      <c r="AD1411" s="3">
        <f t="shared" ref="AD1411:AD1474" si="273">V1411/W1411</f>
        <v>259.84777777777776</v>
      </c>
      <c r="AE1411" s="3">
        <f t="shared" ref="AE1411:AE1474" si="274">Y1411/W1411</f>
        <v>60.717777777777783</v>
      </c>
      <c r="AF1411" t="str">
        <f t="shared" ref="AF1411:AF1474" si="275">IF(V1411&gt;5000,"High value", "Regular")</f>
        <v>Regular</v>
      </c>
    </row>
    <row r="1412" spans="1:32" x14ac:dyDescent="0.25">
      <c r="A1412" t="s">
        <v>1262</v>
      </c>
      <c r="B1412" s="1">
        <v>45616</v>
      </c>
      <c r="C1412" s="1">
        <v>45620</v>
      </c>
      <c r="D1412" s="4">
        <f t="shared" si="264"/>
        <v>4</v>
      </c>
      <c r="E1412" s="4" t="str">
        <f>TEXT(Table1[[#This Row],[Order_Date]],"dddd")</f>
        <v>Wednesday</v>
      </c>
      <c r="F1412" s="4">
        <f t="shared" si="265"/>
        <v>11</v>
      </c>
      <c r="G1412" t="str">
        <f t="shared" si="268"/>
        <v>November</v>
      </c>
      <c r="H1412">
        <f t="shared" si="269"/>
        <v>2024</v>
      </c>
      <c r="I1412" t="str">
        <f t="shared" si="270"/>
        <v>2024-Q4</v>
      </c>
      <c r="J1412" t="s">
        <v>55</v>
      </c>
      <c r="K1412" t="s">
        <v>1263</v>
      </c>
      <c r="L1412" t="s">
        <v>1264</v>
      </c>
      <c r="M1412" t="s">
        <v>24</v>
      </c>
      <c r="N1412" t="s">
        <v>25</v>
      </c>
      <c r="O1412" t="s">
        <v>255</v>
      </c>
      <c r="P1412" t="s">
        <v>143</v>
      </c>
      <c r="Q1412" t="s">
        <v>87</v>
      </c>
      <c r="R1412" t="s">
        <v>1265</v>
      </c>
      <c r="S1412" t="s">
        <v>51</v>
      </c>
      <c r="T1412" t="s">
        <v>127</v>
      </c>
      <c r="U1412" t="s">
        <v>1266</v>
      </c>
      <c r="V1412" s="3">
        <v>2412.1799999999998</v>
      </c>
      <c r="W1412" s="4">
        <v>10</v>
      </c>
      <c r="X1412" s="2">
        <v>0.3</v>
      </c>
      <c r="Y1412" s="3">
        <v>-258.2</v>
      </c>
      <c r="Z1412" t="str">
        <f t="shared" si="266"/>
        <v>Normal</v>
      </c>
      <c r="AA1412" t="str">
        <f t="shared" si="267"/>
        <v>High</v>
      </c>
      <c r="AB1412" t="str">
        <f t="shared" si="271"/>
        <v>Loss</v>
      </c>
      <c r="AC1412" s="3">
        <f t="shared" si="272"/>
        <v>-0.10704010480146589</v>
      </c>
      <c r="AD1412" s="3">
        <f t="shared" si="273"/>
        <v>241.21799999999999</v>
      </c>
      <c r="AE1412" s="3">
        <f t="shared" si="274"/>
        <v>-25.82</v>
      </c>
      <c r="AF1412" t="str">
        <f t="shared" si="275"/>
        <v>Regular</v>
      </c>
    </row>
    <row r="1413" spans="1:32" x14ac:dyDescent="0.25">
      <c r="A1413" t="s">
        <v>5302</v>
      </c>
      <c r="B1413" s="1">
        <v>45616</v>
      </c>
      <c r="C1413" s="1">
        <v>45620</v>
      </c>
      <c r="D1413" s="4">
        <f t="shared" si="264"/>
        <v>4</v>
      </c>
      <c r="E1413" s="4" t="str">
        <f>TEXT(Table1[[#This Row],[Order_Date]],"dddd")</f>
        <v>Wednesday</v>
      </c>
      <c r="F1413" s="4">
        <f t="shared" si="265"/>
        <v>11</v>
      </c>
      <c r="G1413" t="str">
        <f t="shared" si="268"/>
        <v>November</v>
      </c>
      <c r="H1413">
        <f t="shared" si="269"/>
        <v>2024</v>
      </c>
      <c r="I1413" t="str">
        <f t="shared" si="270"/>
        <v>2024-Q4</v>
      </c>
      <c r="J1413" t="s">
        <v>55</v>
      </c>
      <c r="K1413" t="s">
        <v>5303</v>
      </c>
      <c r="L1413" t="s">
        <v>5304</v>
      </c>
      <c r="M1413" t="s">
        <v>24</v>
      </c>
      <c r="N1413" t="s">
        <v>25</v>
      </c>
      <c r="O1413" t="s">
        <v>65</v>
      </c>
      <c r="P1413" t="s">
        <v>27</v>
      </c>
      <c r="Q1413" t="s">
        <v>66</v>
      </c>
      <c r="R1413" t="s">
        <v>5305</v>
      </c>
      <c r="S1413" t="s">
        <v>30</v>
      </c>
      <c r="T1413" t="s">
        <v>68</v>
      </c>
      <c r="U1413" t="s">
        <v>5306</v>
      </c>
      <c r="V1413" s="3">
        <v>4190.5600000000004</v>
      </c>
      <c r="W1413" s="4">
        <v>10</v>
      </c>
      <c r="X1413" s="2">
        <v>0</v>
      </c>
      <c r="Y1413" s="3">
        <v>754.8</v>
      </c>
      <c r="Z1413" t="str">
        <f t="shared" si="266"/>
        <v>Normal</v>
      </c>
      <c r="AA1413" t="str">
        <f t="shared" si="267"/>
        <v>Low</v>
      </c>
      <c r="AB1413" t="str">
        <f t="shared" si="271"/>
        <v>High Profit</v>
      </c>
      <c r="AC1413" s="3">
        <f t="shared" si="272"/>
        <v>0.18011912489022944</v>
      </c>
      <c r="AD1413" s="3">
        <f t="shared" si="273"/>
        <v>419.05600000000004</v>
      </c>
      <c r="AE1413" s="3">
        <f t="shared" si="274"/>
        <v>75.47999999999999</v>
      </c>
      <c r="AF1413" t="str">
        <f t="shared" si="275"/>
        <v>Regular</v>
      </c>
    </row>
    <row r="1414" spans="1:32" x14ac:dyDescent="0.25">
      <c r="A1414" t="s">
        <v>3180</v>
      </c>
      <c r="B1414" s="1">
        <v>45616</v>
      </c>
      <c r="C1414" s="1">
        <v>45625</v>
      </c>
      <c r="D1414" s="4">
        <f t="shared" si="264"/>
        <v>9</v>
      </c>
      <c r="E1414" s="4" t="str">
        <f>TEXT(Table1[[#This Row],[Order_Date]],"dddd")</f>
        <v>Wednesday</v>
      </c>
      <c r="F1414" s="4">
        <f t="shared" si="265"/>
        <v>11</v>
      </c>
      <c r="G1414" t="str">
        <f t="shared" si="268"/>
        <v>November</v>
      </c>
      <c r="H1414">
        <f t="shared" si="269"/>
        <v>2024</v>
      </c>
      <c r="I1414" t="str">
        <f t="shared" si="270"/>
        <v>2024-Q4</v>
      </c>
      <c r="J1414" t="s">
        <v>55</v>
      </c>
      <c r="K1414" t="s">
        <v>3181</v>
      </c>
      <c r="L1414" t="s">
        <v>3182</v>
      </c>
      <c r="M1414" t="s">
        <v>24</v>
      </c>
      <c r="N1414" t="s">
        <v>25</v>
      </c>
      <c r="O1414" t="s">
        <v>26</v>
      </c>
      <c r="P1414" t="s">
        <v>27</v>
      </c>
      <c r="Q1414" t="s">
        <v>28</v>
      </c>
      <c r="R1414" t="s">
        <v>3183</v>
      </c>
      <c r="S1414" t="s">
        <v>51</v>
      </c>
      <c r="T1414" t="s">
        <v>108</v>
      </c>
      <c r="U1414" t="s">
        <v>3184</v>
      </c>
      <c r="V1414" s="3">
        <v>741.6</v>
      </c>
      <c r="W1414" s="4">
        <v>5</v>
      </c>
      <c r="X1414" s="2">
        <v>0</v>
      </c>
      <c r="Y1414" s="3">
        <v>142.24</v>
      </c>
      <c r="Z1414" t="str">
        <f t="shared" si="266"/>
        <v>Normal</v>
      </c>
      <c r="AA1414" t="str">
        <f t="shared" si="267"/>
        <v>Low</v>
      </c>
      <c r="AB1414" t="str">
        <f t="shared" si="271"/>
        <v>Low Profit</v>
      </c>
      <c r="AC1414" s="3">
        <f t="shared" si="272"/>
        <v>0.19180151024811221</v>
      </c>
      <c r="AD1414" s="3">
        <f t="shared" si="273"/>
        <v>148.32</v>
      </c>
      <c r="AE1414" s="3">
        <f t="shared" si="274"/>
        <v>28.448</v>
      </c>
      <c r="AF1414" t="str">
        <f t="shared" si="275"/>
        <v>Regular</v>
      </c>
    </row>
    <row r="1415" spans="1:32" x14ac:dyDescent="0.25">
      <c r="A1415" t="s">
        <v>2830</v>
      </c>
      <c r="B1415" s="1">
        <v>45616</v>
      </c>
      <c r="C1415" s="1">
        <v>45624</v>
      </c>
      <c r="D1415" s="4">
        <f t="shared" si="264"/>
        <v>8</v>
      </c>
      <c r="E1415" s="4" t="str">
        <f>TEXT(Table1[[#This Row],[Order_Date]],"dddd")</f>
        <v>Wednesday</v>
      </c>
      <c r="F1415" s="4">
        <f t="shared" si="265"/>
        <v>11</v>
      </c>
      <c r="G1415" t="str">
        <f t="shared" si="268"/>
        <v>November</v>
      </c>
      <c r="H1415">
        <f t="shared" si="269"/>
        <v>2024</v>
      </c>
      <c r="I1415" t="str">
        <f t="shared" si="270"/>
        <v>2024-Q4</v>
      </c>
      <c r="J1415" t="s">
        <v>21</v>
      </c>
      <c r="K1415" t="s">
        <v>2831</v>
      </c>
      <c r="L1415" t="s">
        <v>2832</v>
      </c>
      <c r="M1415" t="s">
        <v>47</v>
      </c>
      <c r="N1415" t="s">
        <v>25</v>
      </c>
      <c r="O1415" t="s">
        <v>190</v>
      </c>
      <c r="P1415" t="s">
        <v>120</v>
      </c>
      <c r="Q1415" t="s">
        <v>66</v>
      </c>
      <c r="R1415" t="s">
        <v>2833</v>
      </c>
      <c r="S1415" t="s">
        <v>59</v>
      </c>
      <c r="T1415" t="s">
        <v>303</v>
      </c>
      <c r="U1415" t="s">
        <v>2834</v>
      </c>
      <c r="V1415" s="3">
        <v>3036.7</v>
      </c>
      <c r="W1415" s="4">
        <v>6</v>
      </c>
      <c r="X1415" s="2">
        <v>0.1</v>
      </c>
      <c r="Y1415" s="3">
        <v>460.75</v>
      </c>
      <c r="Z1415" t="str">
        <f t="shared" si="266"/>
        <v>Normal</v>
      </c>
      <c r="AA1415" t="str">
        <f t="shared" si="267"/>
        <v>Medium</v>
      </c>
      <c r="AB1415" t="str">
        <f t="shared" si="271"/>
        <v>Low Profit</v>
      </c>
      <c r="AC1415" s="3">
        <f t="shared" si="272"/>
        <v>0.15172720387262489</v>
      </c>
      <c r="AD1415" s="3">
        <f t="shared" si="273"/>
        <v>506.11666666666662</v>
      </c>
      <c r="AE1415" s="3">
        <f t="shared" si="274"/>
        <v>76.791666666666671</v>
      </c>
      <c r="AF1415" t="str">
        <f t="shared" si="275"/>
        <v>Regular</v>
      </c>
    </row>
    <row r="1416" spans="1:32" x14ac:dyDescent="0.25">
      <c r="A1416" t="s">
        <v>1216</v>
      </c>
      <c r="B1416" s="1">
        <v>45616</v>
      </c>
      <c r="C1416" s="1">
        <v>45620</v>
      </c>
      <c r="D1416" s="4">
        <f t="shared" si="264"/>
        <v>4</v>
      </c>
      <c r="E1416" s="4" t="str">
        <f>TEXT(Table1[[#This Row],[Order_Date]],"dddd")</f>
        <v>Wednesday</v>
      </c>
      <c r="F1416" s="4">
        <f t="shared" si="265"/>
        <v>11</v>
      </c>
      <c r="G1416" t="str">
        <f t="shared" si="268"/>
        <v>November</v>
      </c>
      <c r="H1416">
        <f t="shared" si="269"/>
        <v>2024</v>
      </c>
      <c r="I1416" t="str">
        <f t="shared" si="270"/>
        <v>2024-Q4</v>
      </c>
      <c r="J1416" t="s">
        <v>55</v>
      </c>
      <c r="K1416" t="s">
        <v>1217</v>
      </c>
      <c r="L1416" t="s">
        <v>1218</v>
      </c>
      <c r="M1416" t="s">
        <v>24</v>
      </c>
      <c r="N1416" t="s">
        <v>25</v>
      </c>
      <c r="O1416" t="s">
        <v>37</v>
      </c>
      <c r="P1416" t="s">
        <v>38</v>
      </c>
      <c r="Q1416" t="s">
        <v>66</v>
      </c>
      <c r="R1416" t="s">
        <v>7403</v>
      </c>
      <c r="S1416" t="s">
        <v>51</v>
      </c>
      <c r="T1416" t="s">
        <v>108</v>
      </c>
      <c r="U1416" t="s">
        <v>1219</v>
      </c>
      <c r="V1416" s="3">
        <v>218.54</v>
      </c>
      <c r="W1416" s="4">
        <v>8</v>
      </c>
      <c r="X1416" s="2">
        <v>0.4</v>
      </c>
      <c r="Y1416" s="3">
        <v>-12.1</v>
      </c>
      <c r="Z1416" t="str">
        <f t="shared" si="266"/>
        <v>Normal</v>
      </c>
      <c r="AA1416" t="str">
        <f t="shared" si="267"/>
        <v>High</v>
      </c>
      <c r="AB1416" t="str">
        <f t="shared" si="271"/>
        <v>Loss</v>
      </c>
      <c r="AC1416" s="3">
        <f t="shared" si="272"/>
        <v>-5.5367438455202707E-2</v>
      </c>
      <c r="AD1416" s="3">
        <f t="shared" si="273"/>
        <v>27.317499999999999</v>
      </c>
      <c r="AE1416" s="3">
        <f t="shared" si="274"/>
        <v>-1.5125</v>
      </c>
      <c r="AF1416" t="str">
        <f t="shared" si="275"/>
        <v>Regular</v>
      </c>
    </row>
    <row r="1417" spans="1:32" x14ac:dyDescent="0.25">
      <c r="A1417" t="s">
        <v>3791</v>
      </c>
      <c r="B1417" s="1">
        <v>45616</v>
      </c>
      <c r="C1417" s="1">
        <v>45623</v>
      </c>
      <c r="D1417" s="4">
        <f t="shared" si="264"/>
        <v>7</v>
      </c>
      <c r="E1417" s="4" t="str">
        <f>TEXT(Table1[[#This Row],[Order_Date]],"dddd")</f>
        <v>Wednesday</v>
      </c>
      <c r="F1417" s="4">
        <f t="shared" si="265"/>
        <v>11</v>
      </c>
      <c r="G1417" t="str">
        <f t="shared" si="268"/>
        <v>November</v>
      </c>
      <c r="H1417">
        <f t="shared" si="269"/>
        <v>2024</v>
      </c>
      <c r="I1417" t="str">
        <f t="shared" si="270"/>
        <v>2024-Q4</v>
      </c>
      <c r="J1417" t="s">
        <v>104</v>
      </c>
      <c r="K1417" t="s">
        <v>3792</v>
      </c>
      <c r="L1417" t="s">
        <v>3793</v>
      </c>
      <c r="M1417" t="s">
        <v>47</v>
      </c>
      <c r="N1417" t="s">
        <v>25</v>
      </c>
      <c r="O1417" t="s">
        <v>382</v>
      </c>
      <c r="P1417" t="s">
        <v>38</v>
      </c>
      <c r="Q1417" t="s">
        <v>87</v>
      </c>
      <c r="R1417" t="s">
        <v>3794</v>
      </c>
      <c r="S1417" t="s">
        <v>51</v>
      </c>
      <c r="T1417" t="s">
        <v>151</v>
      </c>
      <c r="U1417" t="s">
        <v>3795</v>
      </c>
      <c r="V1417" s="3">
        <v>4525.6400000000003</v>
      </c>
      <c r="W1417" s="4">
        <v>8</v>
      </c>
      <c r="X1417" s="2">
        <v>0</v>
      </c>
      <c r="Y1417" s="3">
        <v>-606.30999999999995</v>
      </c>
      <c r="Z1417" t="str">
        <f t="shared" si="266"/>
        <v>Normal</v>
      </c>
      <c r="AA1417" t="str">
        <f t="shared" si="267"/>
        <v>Low</v>
      </c>
      <c r="AB1417" t="str">
        <f t="shared" si="271"/>
        <v>Loss</v>
      </c>
      <c r="AC1417" s="3">
        <f t="shared" si="272"/>
        <v>-0.13397221166509043</v>
      </c>
      <c r="AD1417" s="3">
        <f t="shared" si="273"/>
        <v>565.70500000000004</v>
      </c>
      <c r="AE1417" s="3">
        <f t="shared" si="274"/>
        <v>-75.788749999999993</v>
      </c>
      <c r="AF1417" t="str">
        <f t="shared" si="275"/>
        <v>Regular</v>
      </c>
    </row>
    <row r="1418" spans="1:32" x14ac:dyDescent="0.25">
      <c r="A1418" t="s">
        <v>7285</v>
      </c>
      <c r="B1418" s="1">
        <v>45617</v>
      </c>
      <c r="C1418" s="1">
        <v>45626</v>
      </c>
      <c r="D1418" s="4">
        <f t="shared" si="264"/>
        <v>9</v>
      </c>
      <c r="E1418" s="4" t="str">
        <f>TEXT(Table1[[#This Row],[Order_Date]],"dddd")</f>
        <v>Thursday</v>
      </c>
      <c r="F1418" s="4">
        <f t="shared" si="265"/>
        <v>11</v>
      </c>
      <c r="G1418" t="str">
        <f t="shared" si="268"/>
        <v>November</v>
      </c>
      <c r="H1418">
        <f t="shared" si="269"/>
        <v>2024</v>
      </c>
      <c r="I1418" t="str">
        <f t="shared" si="270"/>
        <v>2024-Q4</v>
      </c>
      <c r="J1418" t="s">
        <v>44</v>
      </c>
      <c r="K1418" t="s">
        <v>7286</v>
      </c>
      <c r="L1418" t="s">
        <v>7287</v>
      </c>
      <c r="M1418" t="s">
        <v>36</v>
      </c>
      <c r="N1418" t="s">
        <v>25</v>
      </c>
      <c r="O1418" t="s">
        <v>244</v>
      </c>
      <c r="P1418" t="s">
        <v>163</v>
      </c>
      <c r="Q1418" t="s">
        <v>39</v>
      </c>
      <c r="R1418" t="s">
        <v>7288</v>
      </c>
      <c r="S1418" t="s">
        <v>51</v>
      </c>
      <c r="T1418" t="s">
        <v>127</v>
      </c>
      <c r="U1418" t="s">
        <v>7289</v>
      </c>
      <c r="V1418" s="3">
        <v>380.08</v>
      </c>
      <c r="W1418" s="4">
        <v>3</v>
      </c>
      <c r="X1418" s="2">
        <v>0.2</v>
      </c>
      <c r="Y1418" s="3">
        <v>-35.79</v>
      </c>
      <c r="Z1418" t="str">
        <f t="shared" si="266"/>
        <v>Normal</v>
      </c>
      <c r="AA1418" t="str">
        <f t="shared" si="267"/>
        <v>High</v>
      </c>
      <c r="AB1418" t="str">
        <f t="shared" si="271"/>
        <v>Loss</v>
      </c>
      <c r="AC1418" s="3">
        <f t="shared" si="272"/>
        <v>-9.4164386444958961E-2</v>
      </c>
      <c r="AD1418" s="3">
        <f t="shared" si="273"/>
        <v>126.69333333333333</v>
      </c>
      <c r="AE1418" s="3">
        <f t="shared" si="274"/>
        <v>-11.93</v>
      </c>
      <c r="AF1418" t="str">
        <f t="shared" si="275"/>
        <v>Regular</v>
      </c>
    </row>
    <row r="1419" spans="1:32" x14ac:dyDescent="0.25">
      <c r="A1419" t="s">
        <v>3548</v>
      </c>
      <c r="B1419" s="1">
        <v>45618</v>
      </c>
      <c r="C1419" s="1">
        <v>45624</v>
      </c>
      <c r="D1419" s="4">
        <f t="shared" si="264"/>
        <v>6</v>
      </c>
      <c r="E1419" s="4" t="str">
        <f>TEXT(Table1[[#This Row],[Order_Date]],"dddd")</f>
        <v>Friday</v>
      </c>
      <c r="F1419" s="4">
        <f t="shared" si="265"/>
        <v>11</v>
      </c>
      <c r="G1419" t="str">
        <f t="shared" si="268"/>
        <v>November</v>
      </c>
      <c r="H1419">
        <f t="shared" si="269"/>
        <v>2024</v>
      </c>
      <c r="I1419" t="str">
        <f t="shared" si="270"/>
        <v>2024-Q4</v>
      </c>
      <c r="J1419" t="s">
        <v>21</v>
      </c>
      <c r="K1419" t="s">
        <v>3549</v>
      </c>
      <c r="L1419" t="s">
        <v>3550</v>
      </c>
      <c r="M1419" t="s">
        <v>36</v>
      </c>
      <c r="N1419" t="s">
        <v>25</v>
      </c>
      <c r="O1419" t="s">
        <v>26</v>
      </c>
      <c r="P1419" t="s">
        <v>27</v>
      </c>
      <c r="Q1419" t="s">
        <v>39</v>
      </c>
      <c r="R1419" t="s">
        <v>3551</v>
      </c>
      <c r="S1419" t="s">
        <v>51</v>
      </c>
      <c r="T1419" t="s">
        <v>127</v>
      </c>
      <c r="U1419" t="s">
        <v>3552</v>
      </c>
      <c r="V1419" s="3">
        <v>1401.48</v>
      </c>
      <c r="W1419" s="4">
        <v>5</v>
      </c>
      <c r="X1419" s="2">
        <v>0.2</v>
      </c>
      <c r="Y1419" s="3">
        <v>-96.95</v>
      </c>
      <c r="Z1419" t="str">
        <f t="shared" si="266"/>
        <v>Normal</v>
      </c>
      <c r="AA1419" t="str">
        <f t="shared" si="267"/>
        <v>High</v>
      </c>
      <c r="AB1419" t="str">
        <f t="shared" si="271"/>
        <v>Loss</v>
      </c>
      <c r="AC1419" s="3">
        <f t="shared" si="272"/>
        <v>-6.9176870165824703E-2</v>
      </c>
      <c r="AD1419" s="3">
        <f t="shared" si="273"/>
        <v>280.29599999999999</v>
      </c>
      <c r="AE1419" s="3">
        <f t="shared" si="274"/>
        <v>-19.39</v>
      </c>
      <c r="AF1419" t="str">
        <f t="shared" si="275"/>
        <v>Regular</v>
      </c>
    </row>
    <row r="1420" spans="1:32" x14ac:dyDescent="0.25">
      <c r="A1420" t="s">
        <v>7352</v>
      </c>
      <c r="B1420" s="1">
        <v>45618</v>
      </c>
      <c r="C1420" s="1">
        <v>45628</v>
      </c>
      <c r="D1420" s="4">
        <f t="shared" si="264"/>
        <v>10</v>
      </c>
      <c r="E1420" s="4" t="str">
        <f>TEXT(Table1[[#This Row],[Order_Date]],"dddd")</f>
        <v>Friday</v>
      </c>
      <c r="F1420" s="4">
        <f t="shared" si="265"/>
        <v>11</v>
      </c>
      <c r="G1420" t="str">
        <f t="shared" si="268"/>
        <v>November</v>
      </c>
      <c r="H1420">
        <f t="shared" si="269"/>
        <v>2024</v>
      </c>
      <c r="I1420" t="str">
        <f t="shared" si="270"/>
        <v>2024-Q4</v>
      </c>
      <c r="J1420" t="s">
        <v>104</v>
      </c>
      <c r="K1420" t="s">
        <v>7353</v>
      </c>
      <c r="L1420" t="s">
        <v>7354</v>
      </c>
      <c r="M1420" t="s">
        <v>36</v>
      </c>
      <c r="N1420" t="s">
        <v>25</v>
      </c>
      <c r="O1420" t="s">
        <v>190</v>
      </c>
      <c r="P1420" t="s">
        <v>120</v>
      </c>
      <c r="Q1420" t="s">
        <v>39</v>
      </c>
      <c r="R1420" t="s">
        <v>7355</v>
      </c>
      <c r="S1420" t="s">
        <v>59</v>
      </c>
      <c r="T1420" t="s">
        <v>101</v>
      </c>
      <c r="U1420" t="s">
        <v>7356</v>
      </c>
      <c r="V1420" s="3">
        <v>4964.3500000000004</v>
      </c>
      <c r="W1420" s="4">
        <v>10</v>
      </c>
      <c r="X1420" s="2">
        <v>0.4</v>
      </c>
      <c r="Y1420" s="3">
        <v>232.07</v>
      </c>
      <c r="Z1420" t="str">
        <f t="shared" si="266"/>
        <v>Normal</v>
      </c>
      <c r="AA1420" t="str">
        <f t="shared" si="267"/>
        <v>High</v>
      </c>
      <c r="AB1420" t="str">
        <f t="shared" si="271"/>
        <v>Low Profit</v>
      </c>
      <c r="AC1420" s="3">
        <f t="shared" si="272"/>
        <v>4.6747308308237728E-2</v>
      </c>
      <c r="AD1420" s="3">
        <f t="shared" si="273"/>
        <v>496.43500000000006</v>
      </c>
      <c r="AE1420" s="3">
        <f t="shared" si="274"/>
        <v>23.207000000000001</v>
      </c>
      <c r="AF1420" t="str">
        <f t="shared" si="275"/>
        <v>Regular</v>
      </c>
    </row>
    <row r="1421" spans="1:32" x14ac:dyDescent="0.25">
      <c r="A1421" t="s">
        <v>2413</v>
      </c>
      <c r="B1421" s="1">
        <v>45618</v>
      </c>
      <c r="C1421" s="1">
        <v>45627</v>
      </c>
      <c r="D1421" s="4">
        <f t="shared" si="264"/>
        <v>9</v>
      </c>
      <c r="E1421" s="4" t="str">
        <f>TEXT(Table1[[#This Row],[Order_Date]],"dddd")</f>
        <v>Friday</v>
      </c>
      <c r="F1421" s="4">
        <f t="shared" si="265"/>
        <v>11</v>
      </c>
      <c r="G1421" t="str">
        <f t="shared" si="268"/>
        <v>November</v>
      </c>
      <c r="H1421">
        <f t="shared" si="269"/>
        <v>2024</v>
      </c>
      <c r="I1421" t="str">
        <f t="shared" si="270"/>
        <v>2024-Q4</v>
      </c>
      <c r="J1421" t="s">
        <v>44</v>
      </c>
      <c r="K1421" t="s">
        <v>2414</v>
      </c>
      <c r="L1421" t="s">
        <v>2415</v>
      </c>
      <c r="M1421" t="s">
        <v>36</v>
      </c>
      <c r="N1421" t="s">
        <v>25</v>
      </c>
      <c r="O1421" t="s">
        <v>149</v>
      </c>
      <c r="P1421" t="s">
        <v>113</v>
      </c>
      <c r="Q1421" t="s">
        <v>39</v>
      </c>
      <c r="R1421" t="s">
        <v>2416</v>
      </c>
      <c r="S1421" t="s">
        <v>30</v>
      </c>
      <c r="T1421" t="s">
        <v>82</v>
      </c>
      <c r="U1421" t="s">
        <v>2417</v>
      </c>
      <c r="V1421" s="3">
        <v>1139.26</v>
      </c>
      <c r="W1421" s="4">
        <v>5</v>
      </c>
      <c r="X1421" s="2">
        <v>0.1</v>
      </c>
      <c r="Y1421" s="3">
        <v>280.62</v>
      </c>
      <c r="Z1421" t="str">
        <f t="shared" si="266"/>
        <v>Normal</v>
      </c>
      <c r="AA1421" t="str">
        <f t="shared" si="267"/>
        <v>Medium</v>
      </c>
      <c r="AB1421" t="str">
        <f t="shared" si="271"/>
        <v>Low Profit</v>
      </c>
      <c r="AC1421" s="3">
        <f t="shared" si="272"/>
        <v>0.2463177852290083</v>
      </c>
      <c r="AD1421" s="3">
        <f t="shared" si="273"/>
        <v>227.852</v>
      </c>
      <c r="AE1421" s="3">
        <f t="shared" si="274"/>
        <v>56.124000000000002</v>
      </c>
      <c r="AF1421" t="str">
        <f t="shared" si="275"/>
        <v>Regular</v>
      </c>
    </row>
    <row r="1422" spans="1:32" x14ac:dyDescent="0.25">
      <c r="A1422" t="s">
        <v>4120</v>
      </c>
      <c r="B1422" s="1">
        <v>45618</v>
      </c>
      <c r="C1422" s="1">
        <v>45621</v>
      </c>
      <c r="D1422" s="4">
        <f t="shared" si="264"/>
        <v>3</v>
      </c>
      <c r="E1422" s="4" t="str">
        <f>TEXT(Table1[[#This Row],[Order_Date]],"dddd")</f>
        <v>Friday</v>
      </c>
      <c r="F1422" s="4">
        <f t="shared" si="265"/>
        <v>11</v>
      </c>
      <c r="G1422" t="str">
        <f t="shared" si="268"/>
        <v>November</v>
      </c>
      <c r="H1422">
        <f t="shared" si="269"/>
        <v>2024</v>
      </c>
      <c r="I1422" t="str">
        <f t="shared" si="270"/>
        <v>2024-Q4</v>
      </c>
      <c r="J1422" t="s">
        <v>44</v>
      </c>
      <c r="K1422" t="s">
        <v>4121</v>
      </c>
      <c r="L1422" t="s">
        <v>4122</v>
      </c>
      <c r="M1422" t="s">
        <v>24</v>
      </c>
      <c r="N1422" t="s">
        <v>25</v>
      </c>
      <c r="O1422" t="s">
        <v>149</v>
      </c>
      <c r="P1422" t="s">
        <v>113</v>
      </c>
      <c r="Q1422" t="s">
        <v>66</v>
      </c>
      <c r="R1422" t="s">
        <v>4123</v>
      </c>
      <c r="S1422" t="s">
        <v>59</v>
      </c>
      <c r="T1422" t="s">
        <v>277</v>
      </c>
      <c r="U1422" t="s">
        <v>4124</v>
      </c>
      <c r="V1422" s="3">
        <v>640.83000000000004</v>
      </c>
      <c r="W1422" s="4">
        <v>9</v>
      </c>
      <c r="X1422" s="2">
        <v>0</v>
      </c>
      <c r="Y1422" s="3">
        <v>141.81</v>
      </c>
      <c r="Z1422" t="str">
        <f t="shared" si="266"/>
        <v>Normal</v>
      </c>
      <c r="AA1422" t="str">
        <f t="shared" si="267"/>
        <v>Low</v>
      </c>
      <c r="AB1422" t="str">
        <f t="shared" si="271"/>
        <v>Low Profit</v>
      </c>
      <c r="AC1422" s="3">
        <f t="shared" si="272"/>
        <v>0.22129113805533449</v>
      </c>
      <c r="AD1422" s="3">
        <f t="shared" si="273"/>
        <v>71.203333333333333</v>
      </c>
      <c r="AE1422" s="3">
        <f t="shared" si="274"/>
        <v>15.756666666666668</v>
      </c>
      <c r="AF1422" t="str">
        <f t="shared" si="275"/>
        <v>Regular</v>
      </c>
    </row>
    <row r="1423" spans="1:32" x14ac:dyDescent="0.25">
      <c r="A1423" t="s">
        <v>5741</v>
      </c>
      <c r="B1423" s="1">
        <v>45619</v>
      </c>
      <c r="C1423" s="1">
        <v>45625</v>
      </c>
      <c r="D1423" s="4">
        <f t="shared" si="264"/>
        <v>6</v>
      </c>
      <c r="E1423" s="4" t="str">
        <f>TEXT(Table1[[#This Row],[Order_Date]],"dddd")</f>
        <v>Saturday</v>
      </c>
      <c r="F1423" s="4">
        <f t="shared" si="265"/>
        <v>11</v>
      </c>
      <c r="G1423" t="str">
        <f t="shared" si="268"/>
        <v>November</v>
      </c>
      <c r="H1423">
        <f t="shared" si="269"/>
        <v>2024</v>
      </c>
      <c r="I1423" t="str">
        <f t="shared" si="270"/>
        <v>2024-Q4</v>
      </c>
      <c r="J1423" t="s">
        <v>44</v>
      </c>
      <c r="K1423" t="s">
        <v>5742</v>
      </c>
      <c r="L1423" t="s">
        <v>5743</v>
      </c>
      <c r="M1423" t="s">
        <v>47</v>
      </c>
      <c r="N1423" t="s">
        <v>25</v>
      </c>
      <c r="O1423" t="s">
        <v>201</v>
      </c>
      <c r="P1423" t="s">
        <v>113</v>
      </c>
      <c r="Q1423" t="s">
        <v>28</v>
      </c>
      <c r="R1423" t="s">
        <v>5744</v>
      </c>
      <c r="S1423" t="s">
        <v>51</v>
      </c>
      <c r="T1423" t="s">
        <v>127</v>
      </c>
      <c r="U1423" t="s">
        <v>5745</v>
      </c>
      <c r="V1423" s="3">
        <v>4773.55</v>
      </c>
      <c r="W1423" s="4">
        <v>7</v>
      </c>
      <c r="X1423" s="2">
        <v>0.4</v>
      </c>
      <c r="Y1423" s="3">
        <v>1351.01</v>
      </c>
      <c r="Z1423" t="str">
        <f t="shared" si="266"/>
        <v>Outlier</v>
      </c>
      <c r="AA1423" t="str">
        <f t="shared" si="267"/>
        <v>High</v>
      </c>
      <c r="AB1423" t="str">
        <f t="shared" si="271"/>
        <v>High Profit</v>
      </c>
      <c r="AC1423" s="3">
        <f t="shared" si="272"/>
        <v>0.28301997465198853</v>
      </c>
      <c r="AD1423" s="3">
        <f t="shared" si="273"/>
        <v>681.93571428571431</v>
      </c>
      <c r="AE1423" s="3">
        <f t="shared" si="274"/>
        <v>193.00142857142856</v>
      </c>
      <c r="AF1423" t="str">
        <f t="shared" si="275"/>
        <v>Regular</v>
      </c>
    </row>
    <row r="1424" spans="1:32" x14ac:dyDescent="0.25">
      <c r="A1424" t="s">
        <v>2593</v>
      </c>
      <c r="B1424" s="1">
        <v>45619</v>
      </c>
      <c r="C1424" s="1">
        <v>45627</v>
      </c>
      <c r="D1424" s="4">
        <f t="shared" si="264"/>
        <v>8</v>
      </c>
      <c r="E1424" s="4" t="str">
        <f>TEXT(Table1[[#This Row],[Order_Date]],"dddd")</f>
        <v>Saturday</v>
      </c>
      <c r="F1424" s="4">
        <f t="shared" si="265"/>
        <v>11</v>
      </c>
      <c r="G1424" t="str">
        <f t="shared" si="268"/>
        <v>November</v>
      </c>
      <c r="H1424">
        <f t="shared" si="269"/>
        <v>2024</v>
      </c>
      <c r="I1424" t="str">
        <f t="shared" si="270"/>
        <v>2024-Q4</v>
      </c>
      <c r="J1424" t="s">
        <v>21</v>
      </c>
      <c r="K1424" t="s">
        <v>2594</v>
      </c>
      <c r="L1424" t="s">
        <v>2595</v>
      </c>
      <c r="M1424" t="s">
        <v>47</v>
      </c>
      <c r="N1424" t="s">
        <v>25</v>
      </c>
      <c r="O1424" t="s">
        <v>113</v>
      </c>
      <c r="P1424" t="s">
        <v>113</v>
      </c>
      <c r="Q1424" t="s">
        <v>87</v>
      </c>
      <c r="R1424" t="s">
        <v>2596</v>
      </c>
      <c r="S1424" t="s">
        <v>51</v>
      </c>
      <c r="T1424" t="s">
        <v>127</v>
      </c>
      <c r="U1424" t="s">
        <v>2597</v>
      </c>
      <c r="V1424" s="3">
        <v>1371.45</v>
      </c>
      <c r="W1424" s="4">
        <v>8</v>
      </c>
      <c r="X1424" s="2">
        <v>0</v>
      </c>
      <c r="Y1424" s="3">
        <v>-46</v>
      </c>
      <c r="Z1424" t="str">
        <f t="shared" si="266"/>
        <v>Normal</v>
      </c>
      <c r="AA1424" t="str">
        <f t="shared" si="267"/>
        <v>Low</v>
      </c>
      <c r="AB1424" t="str">
        <f t="shared" si="271"/>
        <v>Loss</v>
      </c>
      <c r="AC1424" s="3">
        <f t="shared" si="272"/>
        <v>-3.3541142586313757E-2</v>
      </c>
      <c r="AD1424" s="3">
        <f t="shared" si="273"/>
        <v>171.43125000000001</v>
      </c>
      <c r="AE1424" s="3">
        <f t="shared" si="274"/>
        <v>-5.75</v>
      </c>
      <c r="AF1424" t="str">
        <f t="shared" si="275"/>
        <v>Regular</v>
      </c>
    </row>
    <row r="1425" spans="1:32" x14ac:dyDescent="0.25">
      <c r="A1425" t="s">
        <v>2860</v>
      </c>
      <c r="B1425" s="1">
        <v>45619</v>
      </c>
      <c r="C1425" s="1">
        <v>45627</v>
      </c>
      <c r="D1425" s="4">
        <f t="shared" si="264"/>
        <v>8</v>
      </c>
      <c r="E1425" s="4" t="str">
        <f>TEXT(Table1[[#This Row],[Order_Date]],"dddd")</f>
        <v>Saturday</v>
      </c>
      <c r="F1425" s="4">
        <f t="shared" si="265"/>
        <v>11</v>
      </c>
      <c r="G1425" t="str">
        <f t="shared" si="268"/>
        <v>November</v>
      </c>
      <c r="H1425">
        <f t="shared" si="269"/>
        <v>2024</v>
      </c>
      <c r="I1425" t="str">
        <f t="shared" si="270"/>
        <v>2024-Q4</v>
      </c>
      <c r="J1425" t="s">
        <v>44</v>
      </c>
      <c r="K1425" t="s">
        <v>2861</v>
      </c>
      <c r="L1425" t="s">
        <v>2862</v>
      </c>
      <c r="M1425" t="s">
        <v>47</v>
      </c>
      <c r="N1425" t="s">
        <v>25</v>
      </c>
      <c r="O1425" t="s">
        <v>113</v>
      </c>
      <c r="P1425" t="s">
        <v>113</v>
      </c>
      <c r="Q1425" t="s">
        <v>66</v>
      </c>
      <c r="R1425" t="s">
        <v>2863</v>
      </c>
      <c r="S1425" t="s">
        <v>59</v>
      </c>
      <c r="T1425" t="s">
        <v>303</v>
      </c>
      <c r="U1425" t="s">
        <v>742</v>
      </c>
      <c r="V1425" s="3">
        <v>2711.93</v>
      </c>
      <c r="W1425" s="4">
        <v>7</v>
      </c>
      <c r="X1425" s="2">
        <v>0.4</v>
      </c>
      <c r="Y1425" s="3">
        <v>90.33</v>
      </c>
      <c r="Z1425" t="str">
        <f t="shared" si="266"/>
        <v>Normal</v>
      </c>
      <c r="AA1425" t="str">
        <f t="shared" si="267"/>
        <v>High</v>
      </c>
      <c r="AB1425" t="str">
        <f t="shared" si="271"/>
        <v>Low Profit</v>
      </c>
      <c r="AC1425" s="3">
        <f t="shared" si="272"/>
        <v>3.3308381853513917E-2</v>
      </c>
      <c r="AD1425" s="3">
        <f t="shared" si="273"/>
        <v>387.4185714285714</v>
      </c>
      <c r="AE1425" s="3">
        <f t="shared" si="274"/>
        <v>12.904285714285715</v>
      </c>
      <c r="AF1425" t="str">
        <f t="shared" si="275"/>
        <v>Regular</v>
      </c>
    </row>
    <row r="1426" spans="1:32" x14ac:dyDescent="0.25">
      <c r="A1426" t="s">
        <v>4169</v>
      </c>
      <c r="B1426" s="1">
        <v>45620</v>
      </c>
      <c r="C1426" s="1">
        <v>45628</v>
      </c>
      <c r="D1426" s="4">
        <f t="shared" si="264"/>
        <v>8</v>
      </c>
      <c r="E1426" s="4" t="str">
        <f>TEXT(Table1[[#This Row],[Order_Date]],"dddd")</f>
        <v>Sunday</v>
      </c>
      <c r="F1426" s="4">
        <f t="shared" si="265"/>
        <v>11</v>
      </c>
      <c r="G1426" t="str">
        <f t="shared" si="268"/>
        <v>November</v>
      </c>
      <c r="H1426">
        <f t="shared" si="269"/>
        <v>2024</v>
      </c>
      <c r="I1426" t="str">
        <f t="shared" si="270"/>
        <v>2024-Q4</v>
      </c>
      <c r="J1426" t="s">
        <v>55</v>
      </c>
      <c r="K1426" t="s">
        <v>4170</v>
      </c>
      <c r="L1426" t="s">
        <v>4171</v>
      </c>
      <c r="M1426" t="s">
        <v>36</v>
      </c>
      <c r="N1426" t="s">
        <v>25</v>
      </c>
      <c r="O1426" t="s">
        <v>201</v>
      </c>
      <c r="P1426" t="s">
        <v>113</v>
      </c>
      <c r="Q1426" t="s">
        <v>39</v>
      </c>
      <c r="R1426" t="s">
        <v>4172</v>
      </c>
      <c r="S1426" t="s">
        <v>59</v>
      </c>
      <c r="T1426" t="s">
        <v>60</v>
      </c>
      <c r="U1426" t="s">
        <v>4173</v>
      </c>
      <c r="V1426" s="3">
        <v>3172.46</v>
      </c>
      <c r="W1426" s="4">
        <v>5</v>
      </c>
      <c r="X1426" s="2">
        <v>0.3</v>
      </c>
      <c r="Y1426" s="3">
        <v>-450.4</v>
      </c>
      <c r="Z1426" t="str">
        <f t="shared" si="266"/>
        <v>Normal</v>
      </c>
      <c r="AA1426" t="str">
        <f t="shared" si="267"/>
        <v>High</v>
      </c>
      <c r="AB1426" t="str">
        <f t="shared" si="271"/>
        <v>Loss</v>
      </c>
      <c r="AC1426" s="3">
        <f t="shared" si="272"/>
        <v>-0.14197184519268957</v>
      </c>
      <c r="AD1426" s="3">
        <f t="shared" si="273"/>
        <v>634.49199999999996</v>
      </c>
      <c r="AE1426" s="3">
        <f t="shared" si="274"/>
        <v>-90.08</v>
      </c>
      <c r="AF1426" t="str">
        <f t="shared" si="275"/>
        <v>Regular</v>
      </c>
    </row>
    <row r="1427" spans="1:32" x14ac:dyDescent="0.25">
      <c r="A1427" t="s">
        <v>4352</v>
      </c>
      <c r="B1427" s="1">
        <v>45620</v>
      </c>
      <c r="C1427" s="1">
        <v>45629</v>
      </c>
      <c r="D1427" s="4">
        <f t="shared" si="264"/>
        <v>9</v>
      </c>
      <c r="E1427" s="4" t="str">
        <f>TEXT(Table1[[#This Row],[Order_Date]],"dddd")</f>
        <v>Sunday</v>
      </c>
      <c r="F1427" s="4">
        <f t="shared" si="265"/>
        <v>11</v>
      </c>
      <c r="G1427" t="str">
        <f t="shared" si="268"/>
        <v>November</v>
      </c>
      <c r="H1427">
        <f t="shared" si="269"/>
        <v>2024</v>
      </c>
      <c r="I1427" t="str">
        <f t="shared" si="270"/>
        <v>2024-Q4</v>
      </c>
      <c r="J1427" t="s">
        <v>21</v>
      </c>
      <c r="K1427" t="s">
        <v>4353</v>
      </c>
      <c r="L1427" t="s">
        <v>4354</v>
      </c>
      <c r="M1427" t="s">
        <v>47</v>
      </c>
      <c r="N1427" t="s">
        <v>25</v>
      </c>
      <c r="O1427" t="s">
        <v>80</v>
      </c>
      <c r="P1427" t="s">
        <v>49</v>
      </c>
      <c r="Q1427" t="s">
        <v>87</v>
      </c>
      <c r="R1427" t="s">
        <v>4355</v>
      </c>
      <c r="S1427" t="s">
        <v>30</v>
      </c>
      <c r="T1427" t="s">
        <v>68</v>
      </c>
      <c r="U1427" t="s">
        <v>4356</v>
      </c>
      <c r="V1427" s="3">
        <v>4382.93</v>
      </c>
      <c r="W1427" s="4">
        <v>3</v>
      </c>
      <c r="X1427" s="2">
        <v>0.1</v>
      </c>
      <c r="Y1427" s="3">
        <v>1249.74</v>
      </c>
      <c r="Z1427" t="str">
        <f t="shared" si="266"/>
        <v>Outlier</v>
      </c>
      <c r="AA1427" t="str">
        <f t="shared" si="267"/>
        <v>Medium</v>
      </c>
      <c r="AB1427" t="str">
        <f t="shared" si="271"/>
        <v>High Profit</v>
      </c>
      <c r="AC1427" s="3">
        <f t="shared" si="272"/>
        <v>0.28513802410716116</v>
      </c>
      <c r="AD1427" s="3">
        <f t="shared" si="273"/>
        <v>1460.9766666666667</v>
      </c>
      <c r="AE1427" s="3">
        <f t="shared" si="274"/>
        <v>416.58</v>
      </c>
      <c r="AF1427" t="str">
        <f t="shared" si="275"/>
        <v>Regular</v>
      </c>
    </row>
    <row r="1428" spans="1:32" x14ac:dyDescent="0.25">
      <c r="A1428" t="s">
        <v>5459</v>
      </c>
      <c r="B1428" s="1">
        <v>45620</v>
      </c>
      <c r="C1428" s="1">
        <v>45627</v>
      </c>
      <c r="D1428" s="4">
        <f t="shared" si="264"/>
        <v>7</v>
      </c>
      <c r="E1428" s="4" t="str">
        <f>TEXT(Table1[[#This Row],[Order_Date]],"dddd")</f>
        <v>Sunday</v>
      </c>
      <c r="F1428" s="4">
        <f t="shared" si="265"/>
        <v>11</v>
      </c>
      <c r="G1428" t="str">
        <f t="shared" si="268"/>
        <v>November</v>
      </c>
      <c r="H1428">
        <f t="shared" si="269"/>
        <v>2024</v>
      </c>
      <c r="I1428" t="str">
        <f t="shared" si="270"/>
        <v>2024-Q4</v>
      </c>
      <c r="J1428" t="s">
        <v>44</v>
      </c>
      <c r="K1428" t="s">
        <v>5460</v>
      </c>
      <c r="L1428" t="s">
        <v>5461</v>
      </c>
      <c r="M1428" t="s">
        <v>36</v>
      </c>
      <c r="N1428" t="s">
        <v>25</v>
      </c>
      <c r="O1428" t="s">
        <v>382</v>
      </c>
      <c r="P1428" t="s">
        <v>38</v>
      </c>
      <c r="Q1428" t="s">
        <v>39</v>
      </c>
      <c r="R1428" t="s">
        <v>5462</v>
      </c>
      <c r="S1428" t="s">
        <v>30</v>
      </c>
      <c r="T1428" t="s">
        <v>82</v>
      </c>
      <c r="U1428" t="s">
        <v>5463</v>
      </c>
      <c r="V1428" s="3">
        <v>2828.75</v>
      </c>
      <c r="W1428" s="4">
        <v>8</v>
      </c>
      <c r="X1428" s="2">
        <v>0.3</v>
      </c>
      <c r="Y1428" s="3">
        <v>-564.37</v>
      </c>
      <c r="Z1428" t="str">
        <f t="shared" si="266"/>
        <v>Normal</v>
      </c>
      <c r="AA1428" t="str">
        <f t="shared" si="267"/>
        <v>High</v>
      </c>
      <c r="AB1428" t="str">
        <f t="shared" si="271"/>
        <v>Loss</v>
      </c>
      <c r="AC1428" s="3">
        <f t="shared" si="272"/>
        <v>-0.1995121520106054</v>
      </c>
      <c r="AD1428" s="3">
        <f t="shared" si="273"/>
        <v>353.59375</v>
      </c>
      <c r="AE1428" s="3">
        <f t="shared" si="274"/>
        <v>-70.546250000000001</v>
      </c>
      <c r="AF1428" t="str">
        <f t="shared" si="275"/>
        <v>Regular</v>
      </c>
    </row>
    <row r="1429" spans="1:32" x14ac:dyDescent="0.25">
      <c r="A1429" t="s">
        <v>6462</v>
      </c>
      <c r="B1429" s="1">
        <v>45621</v>
      </c>
      <c r="C1429" s="1">
        <v>45624</v>
      </c>
      <c r="D1429" s="4">
        <f t="shared" si="264"/>
        <v>3</v>
      </c>
      <c r="E1429" s="4" t="str">
        <f>TEXT(Table1[[#This Row],[Order_Date]],"dddd")</f>
        <v>Monday</v>
      </c>
      <c r="F1429" s="4">
        <f t="shared" si="265"/>
        <v>11</v>
      </c>
      <c r="G1429" t="str">
        <f t="shared" si="268"/>
        <v>November</v>
      </c>
      <c r="H1429">
        <f t="shared" si="269"/>
        <v>2024</v>
      </c>
      <c r="I1429" t="str">
        <f t="shared" si="270"/>
        <v>2024-Q4</v>
      </c>
      <c r="J1429" t="s">
        <v>104</v>
      </c>
      <c r="K1429" t="s">
        <v>6463</v>
      </c>
      <c r="L1429" t="s">
        <v>6464</v>
      </c>
      <c r="M1429" t="s">
        <v>36</v>
      </c>
      <c r="N1429" t="s">
        <v>25</v>
      </c>
      <c r="O1429" t="s">
        <v>511</v>
      </c>
      <c r="P1429" t="s">
        <v>120</v>
      </c>
      <c r="Q1429" t="s">
        <v>28</v>
      </c>
      <c r="R1429" t="s">
        <v>6465</v>
      </c>
      <c r="S1429" t="s">
        <v>59</v>
      </c>
      <c r="T1429" t="s">
        <v>60</v>
      </c>
      <c r="U1429" t="s">
        <v>6466</v>
      </c>
      <c r="V1429" s="3">
        <v>1866</v>
      </c>
      <c r="W1429" s="4">
        <v>2</v>
      </c>
      <c r="X1429" s="2">
        <v>0.4</v>
      </c>
      <c r="Y1429" s="3">
        <v>-139.68</v>
      </c>
      <c r="Z1429" t="str">
        <f t="shared" si="266"/>
        <v>Normal</v>
      </c>
      <c r="AA1429" t="str">
        <f t="shared" si="267"/>
        <v>High</v>
      </c>
      <c r="AB1429" t="str">
        <f t="shared" si="271"/>
        <v>Loss</v>
      </c>
      <c r="AC1429" s="3">
        <f t="shared" si="272"/>
        <v>-7.4855305466237948E-2</v>
      </c>
      <c r="AD1429" s="3">
        <f t="shared" si="273"/>
        <v>933</v>
      </c>
      <c r="AE1429" s="3">
        <f t="shared" si="274"/>
        <v>-69.84</v>
      </c>
      <c r="AF1429" t="str">
        <f t="shared" si="275"/>
        <v>Regular</v>
      </c>
    </row>
    <row r="1430" spans="1:32" x14ac:dyDescent="0.25">
      <c r="A1430" t="s">
        <v>1613</v>
      </c>
      <c r="B1430" s="1">
        <v>45621</v>
      </c>
      <c r="C1430" s="1">
        <v>45627</v>
      </c>
      <c r="D1430" s="4">
        <f t="shared" si="264"/>
        <v>6</v>
      </c>
      <c r="E1430" s="4" t="str">
        <f>TEXT(Table1[[#This Row],[Order_Date]],"dddd")</f>
        <v>Monday</v>
      </c>
      <c r="F1430" s="4">
        <f t="shared" si="265"/>
        <v>11</v>
      </c>
      <c r="G1430" t="str">
        <f t="shared" si="268"/>
        <v>November</v>
      </c>
      <c r="H1430">
        <f t="shared" si="269"/>
        <v>2024</v>
      </c>
      <c r="I1430" t="str">
        <f t="shared" si="270"/>
        <v>2024-Q4</v>
      </c>
      <c r="J1430" t="s">
        <v>44</v>
      </c>
      <c r="K1430" t="s">
        <v>1614</v>
      </c>
      <c r="L1430" t="s">
        <v>1615</v>
      </c>
      <c r="M1430" t="s">
        <v>47</v>
      </c>
      <c r="N1430" t="s">
        <v>25</v>
      </c>
      <c r="O1430" t="s">
        <v>156</v>
      </c>
      <c r="P1430" t="s">
        <v>143</v>
      </c>
      <c r="Q1430" t="s">
        <v>87</v>
      </c>
      <c r="R1430" t="s">
        <v>1616</v>
      </c>
      <c r="S1430" t="s">
        <v>30</v>
      </c>
      <c r="T1430" t="s">
        <v>68</v>
      </c>
      <c r="U1430" t="s">
        <v>1617</v>
      </c>
      <c r="V1430" s="3">
        <v>3020.43</v>
      </c>
      <c r="W1430" s="4">
        <v>7</v>
      </c>
      <c r="X1430" s="2">
        <v>0.3</v>
      </c>
      <c r="Y1430" s="3">
        <v>-572.79999999999995</v>
      </c>
      <c r="Z1430" t="str">
        <f t="shared" si="266"/>
        <v>Normal</v>
      </c>
      <c r="AA1430" t="str">
        <f t="shared" si="267"/>
        <v>High</v>
      </c>
      <c r="AB1430" t="str">
        <f t="shared" si="271"/>
        <v>Loss</v>
      </c>
      <c r="AC1430" s="3">
        <f t="shared" si="272"/>
        <v>-0.18964187218376191</v>
      </c>
      <c r="AD1430" s="3">
        <f t="shared" si="273"/>
        <v>431.48999999999995</v>
      </c>
      <c r="AE1430" s="3">
        <f t="shared" si="274"/>
        <v>-81.828571428571422</v>
      </c>
      <c r="AF1430" t="str">
        <f t="shared" si="275"/>
        <v>Regular</v>
      </c>
    </row>
    <row r="1431" spans="1:32" x14ac:dyDescent="0.25">
      <c r="A1431" t="s">
        <v>3726</v>
      </c>
      <c r="B1431" s="1">
        <v>45621</v>
      </c>
      <c r="C1431" s="1">
        <v>45624</v>
      </c>
      <c r="D1431" s="4">
        <f t="shared" si="264"/>
        <v>3</v>
      </c>
      <c r="E1431" s="4" t="str">
        <f>TEXT(Table1[[#This Row],[Order_Date]],"dddd")</f>
        <v>Monday</v>
      </c>
      <c r="F1431" s="4">
        <f t="shared" si="265"/>
        <v>11</v>
      </c>
      <c r="G1431" t="str">
        <f t="shared" si="268"/>
        <v>November</v>
      </c>
      <c r="H1431">
        <f t="shared" si="269"/>
        <v>2024</v>
      </c>
      <c r="I1431" t="str">
        <f t="shared" si="270"/>
        <v>2024-Q4</v>
      </c>
      <c r="J1431" t="s">
        <v>55</v>
      </c>
      <c r="K1431" t="s">
        <v>3727</v>
      </c>
      <c r="L1431" t="s">
        <v>3728</v>
      </c>
      <c r="M1431" t="s">
        <v>47</v>
      </c>
      <c r="N1431" t="s">
        <v>25</v>
      </c>
      <c r="O1431" t="s">
        <v>113</v>
      </c>
      <c r="P1431" t="s">
        <v>113</v>
      </c>
      <c r="Q1431" t="s">
        <v>87</v>
      </c>
      <c r="R1431" t="s">
        <v>3729</v>
      </c>
      <c r="S1431" t="s">
        <v>51</v>
      </c>
      <c r="T1431" t="s">
        <v>151</v>
      </c>
      <c r="U1431" t="s">
        <v>3730</v>
      </c>
      <c r="V1431" s="3">
        <v>1226.06</v>
      </c>
      <c r="W1431" s="4">
        <v>4</v>
      </c>
      <c r="X1431" s="2">
        <v>0</v>
      </c>
      <c r="Y1431" s="3">
        <v>305.60000000000002</v>
      </c>
      <c r="Z1431" t="str">
        <f t="shared" si="266"/>
        <v>Normal</v>
      </c>
      <c r="AA1431" t="str">
        <f t="shared" si="267"/>
        <v>Low</v>
      </c>
      <c r="AB1431" t="str">
        <f t="shared" si="271"/>
        <v>Low Profit</v>
      </c>
      <c r="AC1431" s="3">
        <f t="shared" si="272"/>
        <v>0.24925370699639499</v>
      </c>
      <c r="AD1431" s="3">
        <f t="shared" si="273"/>
        <v>306.51499999999999</v>
      </c>
      <c r="AE1431" s="3">
        <f t="shared" si="274"/>
        <v>76.400000000000006</v>
      </c>
      <c r="AF1431" t="str">
        <f t="shared" si="275"/>
        <v>Regular</v>
      </c>
    </row>
    <row r="1432" spans="1:32" x14ac:dyDescent="0.25">
      <c r="A1432" t="s">
        <v>2904</v>
      </c>
      <c r="B1432" s="1">
        <v>45622</v>
      </c>
      <c r="C1432" s="1">
        <v>45625</v>
      </c>
      <c r="D1432" s="4">
        <f t="shared" si="264"/>
        <v>3</v>
      </c>
      <c r="E1432" s="4" t="str">
        <f>TEXT(Table1[[#This Row],[Order_Date]],"dddd")</f>
        <v>Tuesday</v>
      </c>
      <c r="F1432" s="4">
        <f t="shared" si="265"/>
        <v>11</v>
      </c>
      <c r="G1432" t="str">
        <f t="shared" si="268"/>
        <v>November</v>
      </c>
      <c r="H1432">
        <f t="shared" si="269"/>
        <v>2024</v>
      </c>
      <c r="I1432" t="str">
        <f t="shared" si="270"/>
        <v>2024-Q4</v>
      </c>
      <c r="J1432" t="s">
        <v>55</v>
      </c>
      <c r="K1432" t="s">
        <v>2905</v>
      </c>
      <c r="L1432" t="s">
        <v>2906</v>
      </c>
      <c r="M1432" t="s">
        <v>47</v>
      </c>
      <c r="N1432" t="s">
        <v>25</v>
      </c>
      <c r="O1432" t="s">
        <v>26</v>
      </c>
      <c r="P1432" t="s">
        <v>27</v>
      </c>
      <c r="Q1432" t="s">
        <v>39</v>
      </c>
      <c r="R1432" t="s">
        <v>2907</v>
      </c>
      <c r="S1432" t="s">
        <v>30</v>
      </c>
      <c r="T1432" t="s">
        <v>82</v>
      </c>
      <c r="U1432" t="s">
        <v>2908</v>
      </c>
      <c r="V1432" s="3">
        <v>599.95000000000005</v>
      </c>
      <c r="W1432" s="4">
        <v>4</v>
      </c>
      <c r="X1432" s="2">
        <v>0.3</v>
      </c>
      <c r="Y1432" s="3">
        <v>143.72</v>
      </c>
      <c r="Z1432" t="str">
        <f t="shared" si="266"/>
        <v>Normal</v>
      </c>
      <c r="AA1432" t="str">
        <f t="shared" si="267"/>
        <v>High</v>
      </c>
      <c r="AB1432" t="str">
        <f t="shared" si="271"/>
        <v>Low Profit</v>
      </c>
      <c r="AC1432" s="3">
        <f t="shared" si="272"/>
        <v>0.23955329610800899</v>
      </c>
      <c r="AD1432" s="3">
        <f t="shared" si="273"/>
        <v>149.98750000000001</v>
      </c>
      <c r="AE1432" s="3">
        <f t="shared" si="274"/>
        <v>35.93</v>
      </c>
      <c r="AF1432" t="str">
        <f t="shared" si="275"/>
        <v>Regular</v>
      </c>
    </row>
    <row r="1433" spans="1:32" x14ac:dyDescent="0.25">
      <c r="A1433" t="s">
        <v>7219</v>
      </c>
      <c r="B1433" s="1">
        <v>45622</v>
      </c>
      <c r="C1433" s="1">
        <v>45623</v>
      </c>
      <c r="D1433" s="4">
        <f t="shared" si="264"/>
        <v>1</v>
      </c>
      <c r="E1433" s="4" t="str">
        <f>TEXT(Table1[[#This Row],[Order_Date]],"dddd")</f>
        <v>Tuesday</v>
      </c>
      <c r="F1433" s="4">
        <f t="shared" si="265"/>
        <v>11</v>
      </c>
      <c r="G1433" t="str">
        <f t="shared" si="268"/>
        <v>November</v>
      </c>
      <c r="H1433">
        <f t="shared" si="269"/>
        <v>2024</v>
      </c>
      <c r="I1433" t="str">
        <f t="shared" si="270"/>
        <v>2024-Q4</v>
      </c>
      <c r="J1433" t="s">
        <v>104</v>
      </c>
      <c r="K1433" t="s">
        <v>7220</v>
      </c>
      <c r="L1433" t="s">
        <v>7221</v>
      </c>
      <c r="M1433" t="s">
        <v>47</v>
      </c>
      <c r="N1433" t="s">
        <v>25</v>
      </c>
      <c r="O1433" t="s">
        <v>179</v>
      </c>
      <c r="P1433" t="s">
        <v>27</v>
      </c>
      <c r="Q1433" t="s">
        <v>87</v>
      </c>
      <c r="R1433" t="s">
        <v>7222</v>
      </c>
      <c r="S1433" t="s">
        <v>59</v>
      </c>
      <c r="T1433" t="s">
        <v>277</v>
      </c>
      <c r="U1433" t="s">
        <v>2349</v>
      </c>
      <c r="V1433" s="3">
        <v>975.6</v>
      </c>
      <c r="W1433" s="4">
        <v>1</v>
      </c>
      <c r="X1433" s="2">
        <v>0</v>
      </c>
      <c r="Y1433" s="3">
        <v>86.65</v>
      </c>
      <c r="Z1433" t="str">
        <f t="shared" si="266"/>
        <v>Normal</v>
      </c>
      <c r="AA1433" t="str">
        <f t="shared" si="267"/>
        <v>Low</v>
      </c>
      <c r="AB1433" t="str">
        <f t="shared" si="271"/>
        <v>Low Profit</v>
      </c>
      <c r="AC1433" s="3">
        <f t="shared" si="272"/>
        <v>8.8817138171381718E-2</v>
      </c>
      <c r="AD1433" s="3">
        <f t="shared" si="273"/>
        <v>975.6</v>
      </c>
      <c r="AE1433" s="3">
        <f t="shared" si="274"/>
        <v>86.65</v>
      </c>
      <c r="AF1433" t="str">
        <f t="shared" si="275"/>
        <v>Regular</v>
      </c>
    </row>
    <row r="1434" spans="1:32" x14ac:dyDescent="0.25">
      <c r="A1434" t="s">
        <v>1347</v>
      </c>
      <c r="B1434" s="1">
        <v>45622</v>
      </c>
      <c r="C1434" s="1">
        <v>45628</v>
      </c>
      <c r="D1434" s="4">
        <f t="shared" si="264"/>
        <v>6</v>
      </c>
      <c r="E1434" s="4" t="str">
        <f>TEXT(Table1[[#This Row],[Order_Date]],"dddd")</f>
        <v>Tuesday</v>
      </c>
      <c r="F1434" s="4">
        <f t="shared" si="265"/>
        <v>11</v>
      </c>
      <c r="G1434" t="str">
        <f t="shared" si="268"/>
        <v>November</v>
      </c>
      <c r="H1434">
        <f t="shared" si="269"/>
        <v>2024</v>
      </c>
      <c r="I1434" t="str">
        <f t="shared" si="270"/>
        <v>2024-Q4</v>
      </c>
      <c r="J1434" t="s">
        <v>104</v>
      </c>
      <c r="K1434" t="s">
        <v>1348</v>
      </c>
      <c r="L1434" t="s">
        <v>1349</v>
      </c>
      <c r="M1434" t="s">
        <v>47</v>
      </c>
      <c r="N1434" t="s">
        <v>25</v>
      </c>
      <c r="O1434" t="s">
        <v>156</v>
      </c>
      <c r="P1434" t="s">
        <v>143</v>
      </c>
      <c r="Q1434" t="s">
        <v>28</v>
      </c>
      <c r="R1434" t="s">
        <v>1350</v>
      </c>
      <c r="S1434" t="s">
        <v>51</v>
      </c>
      <c r="T1434" t="s">
        <v>94</v>
      </c>
      <c r="U1434" t="s">
        <v>1351</v>
      </c>
      <c r="V1434" s="3">
        <v>1271.31</v>
      </c>
      <c r="W1434" s="4">
        <v>9</v>
      </c>
      <c r="X1434" s="2">
        <v>0</v>
      </c>
      <c r="Y1434" s="3">
        <v>39.520000000000003</v>
      </c>
      <c r="Z1434" t="str">
        <f t="shared" si="266"/>
        <v>Normal</v>
      </c>
      <c r="AA1434" t="str">
        <f t="shared" si="267"/>
        <v>Low</v>
      </c>
      <c r="AB1434" t="str">
        <f t="shared" si="271"/>
        <v>Low Profit</v>
      </c>
      <c r="AC1434" s="3">
        <f t="shared" si="272"/>
        <v>3.108604510308265E-2</v>
      </c>
      <c r="AD1434" s="3">
        <f t="shared" si="273"/>
        <v>141.25666666666666</v>
      </c>
      <c r="AE1434" s="3">
        <f t="shared" si="274"/>
        <v>4.3911111111111119</v>
      </c>
      <c r="AF1434" t="str">
        <f t="shared" si="275"/>
        <v>Regular</v>
      </c>
    </row>
    <row r="1435" spans="1:32" x14ac:dyDescent="0.25">
      <c r="A1435" t="s">
        <v>7387</v>
      </c>
      <c r="B1435" s="1">
        <v>45622</v>
      </c>
      <c r="C1435" s="1">
        <v>45627</v>
      </c>
      <c r="D1435" s="4">
        <f t="shared" si="264"/>
        <v>5</v>
      </c>
      <c r="E1435" s="4" t="str">
        <f>TEXT(Table1[[#This Row],[Order_Date]],"dddd")</f>
        <v>Tuesday</v>
      </c>
      <c r="F1435" s="4">
        <f t="shared" si="265"/>
        <v>11</v>
      </c>
      <c r="G1435" t="str">
        <f t="shared" si="268"/>
        <v>November</v>
      </c>
      <c r="H1435">
        <f t="shared" si="269"/>
        <v>2024</v>
      </c>
      <c r="I1435" t="str">
        <f t="shared" si="270"/>
        <v>2024-Q4</v>
      </c>
      <c r="J1435" t="s">
        <v>104</v>
      </c>
      <c r="K1435" t="s">
        <v>7388</v>
      </c>
      <c r="L1435" t="s">
        <v>7389</v>
      </c>
      <c r="M1435" t="s">
        <v>47</v>
      </c>
      <c r="N1435" t="s">
        <v>25</v>
      </c>
      <c r="O1435" t="s">
        <v>162</v>
      </c>
      <c r="P1435" t="s">
        <v>163</v>
      </c>
      <c r="Q1435" t="s">
        <v>28</v>
      </c>
      <c r="R1435" t="s">
        <v>7390</v>
      </c>
      <c r="S1435" t="s">
        <v>51</v>
      </c>
      <c r="T1435" t="s">
        <v>127</v>
      </c>
      <c r="U1435" t="s">
        <v>7391</v>
      </c>
      <c r="V1435" s="3">
        <v>2514.16</v>
      </c>
      <c r="W1435" s="4">
        <v>4</v>
      </c>
      <c r="X1435" s="2">
        <v>0.3</v>
      </c>
      <c r="Y1435" s="3">
        <v>-46.51</v>
      </c>
      <c r="Z1435" t="str">
        <f t="shared" si="266"/>
        <v>Normal</v>
      </c>
      <c r="AA1435" t="str">
        <f t="shared" si="267"/>
        <v>High</v>
      </c>
      <c r="AB1435" t="str">
        <f t="shared" si="271"/>
        <v>Loss</v>
      </c>
      <c r="AC1435" s="3">
        <f t="shared" si="272"/>
        <v>-1.8499220415566234E-2</v>
      </c>
      <c r="AD1435" s="3">
        <f t="shared" si="273"/>
        <v>628.54</v>
      </c>
      <c r="AE1435" s="3">
        <f t="shared" si="274"/>
        <v>-11.6275</v>
      </c>
      <c r="AF1435" t="str">
        <f t="shared" si="275"/>
        <v>Regular</v>
      </c>
    </row>
    <row r="1436" spans="1:32" x14ac:dyDescent="0.25">
      <c r="A1436" t="s">
        <v>2962</v>
      </c>
      <c r="B1436" s="1">
        <v>45624</v>
      </c>
      <c r="C1436" s="1">
        <v>45626</v>
      </c>
      <c r="D1436" s="4">
        <f t="shared" si="264"/>
        <v>2</v>
      </c>
      <c r="E1436" s="4" t="str">
        <f>TEXT(Table1[[#This Row],[Order_Date]],"dddd")</f>
        <v>Thursday</v>
      </c>
      <c r="F1436" s="4">
        <f t="shared" si="265"/>
        <v>11</v>
      </c>
      <c r="G1436" t="str">
        <f t="shared" si="268"/>
        <v>November</v>
      </c>
      <c r="H1436">
        <f t="shared" si="269"/>
        <v>2024</v>
      </c>
      <c r="I1436" t="str">
        <f t="shared" si="270"/>
        <v>2024-Q4</v>
      </c>
      <c r="J1436" t="s">
        <v>21</v>
      </c>
      <c r="K1436" t="s">
        <v>2963</v>
      </c>
      <c r="L1436" t="s">
        <v>2964</v>
      </c>
      <c r="M1436" t="s">
        <v>36</v>
      </c>
      <c r="N1436" t="s">
        <v>25</v>
      </c>
      <c r="O1436" t="s">
        <v>80</v>
      </c>
      <c r="P1436" t="s">
        <v>49</v>
      </c>
      <c r="Q1436" t="s">
        <v>28</v>
      </c>
      <c r="R1436" t="s">
        <v>2965</v>
      </c>
      <c r="S1436" t="s">
        <v>51</v>
      </c>
      <c r="T1436" t="s">
        <v>127</v>
      </c>
      <c r="U1436" t="s">
        <v>2966</v>
      </c>
      <c r="V1436" s="3">
        <v>2507.31</v>
      </c>
      <c r="W1436" s="4">
        <v>9</v>
      </c>
      <c r="X1436" s="2">
        <v>0.3</v>
      </c>
      <c r="Y1436" s="3">
        <v>138.88</v>
      </c>
      <c r="Z1436" t="str">
        <f t="shared" si="266"/>
        <v>Normal</v>
      </c>
      <c r="AA1436" t="str">
        <f t="shared" si="267"/>
        <v>High</v>
      </c>
      <c r="AB1436" t="str">
        <f t="shared" si="271"/>
        <v>Low Profit</v>
      </c>
      <c r="AC1436" s="3">
        <f t="shared" si="272"/>
        <v>5.5390039524430564E-2</v>
      </c>
      <c r="AD1436" s="3">
        <f t="shared" si="273"/>
        <v>278.58999999999997</v>
      </c>
      <c r="AE1436" s="3">
        <f t="shared" si="274"/>
        <v>15.431111111111111</v>
      </c>
      <c r="AF1436" t="str">
        <f t="shared" si="275"/>
        <v>Regular</v>
      </c>
    </row>
    <row r="1437" spans="1:32" x14ac:dyDescent="0.25">
      <c r="A1437" t="s">
        <v>2967</v>
      </c>
      <c r="B1437" s="1">
        <v>45624</v>
      </c>
      <c r="C1437" s="1">
        <v>45630</v>
      </c>
      <c r="D1437" s="4">
        <f t="shared" si="264"/>
        <v>6</v>
      </c>
      <c r="E1437" s="4" t="str">
        <f>TEXT(Table1[[#This Row],[Order_Date]],"dddd")</f>
        <v>Thursday</v>
      </c>
      <c r="F1437" s="4">
        <f t="shared" si="265"/>
        <v>11</v>
      </c>
      <c r="G1437" t="str">
        <f t="shared" si="268"/>
        <v>November</v>
      </c>
      <c r="H1437">
        <f t="shared" si="269"/>
        <v>2024</v>
      </c>
      <c r="I1437" t="str">
        <f t="shared" si="270"/>
        <v>2024-Q4</v>
      </c>
      <c r="J1437" t="s">
        <v>104</v>
      </c>
      <c r="K1437" t="s">
        <v>2968</v>
      </c>
      <c r="L1437" t="s">
        <v>2969</v>
      </c>
      <c r="M1437" t="s">
        <v>36</v>
      </c>
      <c r="N1437" t="s">
        <v>25</v>
      </c>
      <c r="O1437" t="s">
        <v>227</v>
      </c>
      <c r="P1437" t="s">
        <v>49</v>
      </c>
      <c r="Q1437" t="s">
        <v>28</v>
      </c>
      <c r="R1437" t="s">
        <v>2970</v>
      </c>
      <c r="S1437" t="s">
        <v>51</v>
      </c>
      <c r="T1437" t="s">
        <v>151</v>
      </c>
      <c r="U1437" t="s">
        <v>2971</v>
      </c>
      <c r="V1437" s="3">
        <v>4077.94</v>
      </c>
      <c r="W1437" s="4">
        <v>9</v>
      </c>
      <c r="X1437" s="2">
        <v>0.1</v>
      </c>
      <c r="Y1437" s="3">
        <v>160.44999999999999</v>
      </c>
      <c r="Z1437" t="str">
        <f t="shared" si="266"/>
        <v>Normal</v>
      </c>
      <c r="AA1437" t="str">
        <f t="shared" si="267"/>
        <v>Medium</v>
      </c>
      <c r="AB1437" t="str">
        <f t="shared" si="271"/>
        <v>Low Profit</v>
      </c>
      <c r="AC1437" s="3">
        <f t="shared" si="272"/>
        <v>3.9345846187045418E-2</v>
      </c>
      <c r="AD1437" s="3">
        <f t="shared" si="273"/>
        <v>453.10444444444443</v>
      </c>
      <c r="AE1437" s="3">
        <f t="shared" si="274"/>
        <v>17.827777777777776</v>
      </c>
      <c r="AF1437" t="str">
        <f t="shared" si="275"/>
        <v>Regular</v>
      </c>
    </row>
    <row r="1438" spans="1:32" x14ac:dyDescent="0.25">
      <c r="A1438" t="s">
        <v>7146</v>
      </c>
      <c r="B1438" s="1">
        <v>45626</v>
      </c>
      <c r="C1438" s="1">
        <v>45629</v>
      </c>
      <c r="D1438" s="4">
        <f t="shared" si="264"/>
        <v>3</v>
      </c>
      <c r="E1438" s="4" t="str">
        <f>TEXT(Table1[[#This Row],[Order_Date]],"dddd")</f>
        <v>Saturday</v>
      </c>
      <c r="F1438" s="4">
        <f t="shared" si="265"/>
        <v>11</v>
      </c>
      <c r="G1438" t="str">
        <f t="shared" si="268"/>
        <v>November</v>
      </c>
      <c r="H1438">
        <f t="shared" si="269"/>
        <v>2024</v>
      </c>
      <c r="I1438" t="str">
        <f t="shared" si="270"/>
        <v>2024-Q4</v>
      </c>
      <c r="J1438" t="s">
        <v>44</v>
      </c>
      <c r="K1438" t="s">
        <v>7147</v>
      </c>
      <c r="L1438" t="s">
        <v>7148</v>
      </c>
      <c r="M1438" t="s">
        <v>36</v>
      </c>
      <c r="N1438" t="s">
        <v>25</v>
      </c>
      <c r="O1438" t="s">
        <v>156</v>
      </c>
      <c r="P1438" t="s">
        <v>143</v>
      </c>
      <c r="Q1438" t="s">
        <v>66</v>
      </c>
      <c r="R1438" t="s">
        <v>7149</v>
      </c>
      <c r="S1438" t="s">
        <v>59</v>
      </c>
      <c r="T1438" t="s">
        <v>277</v>
      </c>
      <c r="U1438" t="s">
        <v>7150</v>
      </c>
      <c r="V1438" s="3">
        <v>468.34</v>
      </c>
      <c r="W1438" s="4">
        <v>6</v>
      </c>
      <c r="X1438" s="2">
        <v>0.2</v>
      </c>
      <c r="Y1438" s="3">
        <v>95.56</v>
      </c>
      <c r="Z1438" t="str">
        <f t="shared" si="266"/>
        <v>Normal</v>
      </c>
      <c r="AA1438" t="str">
        <f t="shared" si="267"/>
        <v>High</v>
      </c>
      <c r="AB1438" t="str">
        <f t="shared" si="271"/>
        <v>Low Profit</v>
      </c>
      <c r="AC1438" s="3">
        <f t="shared" si="272"/>
        <v>0.20403980014519368</v>
      </c>
      <c r="AD1438" s="3">
        <f t="shared" si="273"/>
        <v>78.056666666666658</v>
      </c>
      <c r="AE1438" s="3">
        <f t="shared" si="274"/>
        <v>15.926666666666668</v>
      </c>
      <c r="AF1438" t="str">
        <f t="shared" si="275"/>
        <v>Regular</v>
      </c>
    </row>
    <row r="1439" spans="1:32" x14ac:dyDescent="0.25">
      <c r="A1439" t="s">
        <v>3878</v>
      </c>
      <c r="B1439" s="1">
        <v>45626</v>
      </c>
      <c r="C1439" s="1">
        <v>45632</v>
      </c>
      <c r="D1439" s="4">
        <f t="shared" si="264"/>
        <v>6</v>
      </c>
      <c r="E1439" s="4" t="str">
        <f>TEXT(Table1[[#This Row],[Order_Date]],"dddd")</f>
        <v>Saturday</v>
      </c>
      <c r="F1439" s="4">
        <f t="shared" si="265"/>
        <v>11</v>
      </c>
      <c r="G1439" t="str">
        <f t="shared" si="268"/>
        <v>November</v>
      </c>
      <c r="H1439">
        <f t="shared" si="269"/>
        <v>2024</v>
      </c>
      <c r="I1439" t="str">
        <f t="shared" si="270"/>
        <v>2024-Q4</v>
      </c>
      <c r="J1439" t="s">
        <v>55</v>
      </c>
      <c r="K1439" t="s">
        <v>3879</v>
      </c>
      <c r="L1439" t="s">
        <v>3880</v>
      </c>
      <c r="M1439" t="s">
        <v>47</v>
      </c>
      <c r="N1439" t="s">
        <v>25</v>
      </c>
      <c r="O1439" t="s">
        <v>99</v>
      </c>
      <c r="P1439" t="s">
        <v>74</v>
      </c>
      <c r="Q1439" t="s">
        <v>39</v>
      </c>
      <c r="R1439" t="s">
        <v>3881</v>
      </c>
      <c r="S1439" t="s">
        <v>51</v>
      </c>
      <c r="T1439" t="s">
        <v>127</v>
      </c>
      <c r="U1439" t="s">
        <v>3882</v>
      </c>
      <c r="V1439" s="3">
        <v>1543.88</v>
      </c>
      <c r="W1439" s="4">
        <v>5</v>
      </c>
      <c r="X1439" s="2">
        <v>0</v>
      </c>
      <c r="Y1439" s="3">
        <v>302.37</v>
      </c>
      <c r="Z1439" t="str">
        <f t="shared" si="266"/>
        <v>Normal</v>
      </c>
      <c r="AA1439" t="str">
        <f t="shared" si="267"/>
        <v>Low</v>
      </c>
      <c r="AB1439" t="str">
        <f t="shared" si="271"/>
        <v>Low Profit</v>
      </c>
      <c r="AC1439" s="3">
        <f t="shared" si="272"/>
        <v>0.19585071378604554</v>
      </c>
      <c r="AD1439" s="3">
        <f t="shared" si="273"/>
        <v>308.77600000000001</v>
      </c>
      <c r="AE1439" s="3">
        <f t="shared" si="274"/>
        <v>60.474000000000004</v>
      </c>
      <c r="AF1439" t="str">
        <f t="shared" si="275"/>
        <v>Regular</v>
      </c>
    </row>
    <row r="1440" spans="1:32" x14ac:dyDescent="0.25">
      <c r="A1440" t="s">
        <v>4130</v>
      </c>
      <c r="B1440" s="1">
        <v>45626</v>
      </c>
      <c r="C1440" s="1">
        <v>45635</v>
      </c>
      <c r="D1440" s="4">
        <f t="shared" si="264"/>
        <v>9</v>
      </c>
      <c r="E1440" s="4" t="str">
        <f>TEXT(Table1[[#This Row],[Order_Date]],"dddd")</f>
        <v>Saturday</v>
      </c>
      <c r="F1440" s="4">
        <f t="shared" si="265"/>
        <v>11</v>
      </c>
      <c r="G1440" t="str">
        <f t="shared" si="268"/>
        <v>November</v>
      </c>
      <c r="H1440">
        <f t="shared" si="269"/>
        <v>2024</v>
      </c>
      <c r="I1440" t="str">
        <f t="shared" si="270"/>
        <v>2024-Q4</v>
      </c>
      <c r="J1440" t="s">
        <v>104</v>
      </c>
      <c r="K1440" t="s">
        <v>4131</v>
      </c>
      <c r="L1440" t="s">
        <v>4132</v>
      </c>
      <c r="M1440" t="s">
        <v>24</v>
      </c>
      <c r="N1440" t="s">
        <v>25</v>
      </c>
      <c r="O1440" t="s">
        <v>149</v>
      </c>
      <c r="P1440" t="s">
        <v>113</v>
      </c>
      <c r="Q1440" t="s">
        <v>87</v>
      </c>
      <c r="R1440" t="s">
        <v>4133</v>
      </c>
      <c r="S1440" t="s">
        <v>59</v>
      </c>
      <c r="T1440" t="s">
        <v>277</v>
      </c>
      <c r="U1440" t="s">
        <v>4134</v>
      </c>
      <c r="V1440" s="3">
        <v>4246.12</v>
      </c>
      <c r="W1440" s="4">
        <v>2</v>
      </c>
      <c r="X1440" s="2">
        <v>0</v>
      </c>
      <c r="Y1440" s="3">
        <v>378.16</v>
      </c>
      <c r="Z1440" t="str">
        <f t="shared" si="266"/>
        <v>Normal</v>
      </c>
      <c r="AA1440" t="str">
        <f t="shared" si="267"/>
        <v>Low</v>
      </c>
      <c r="AB1440" t="str">
        <f t="shared" si="271"/>
        <v>Low Profit</v>
      </c>
      <c r="AC1440" s="3">
        <f t="shared" si="272"/>
        <v>8.9060130189443545E-2</v>
      </c>
      <c r="AD1440" s="3">
        <f t="shared" si="273"/>
        <v>2123.06</v>
      </c>
      <c r="AE1440" s="3">
        <f t="shared" si="274"/>
        <v>189.08</v>
      </c>
      <c r="AF1440" t="str">
        <f t="shared" si="275"/>
        <v>Regular</v>
      </c>
    </row>
    <row r="1441" spans="1:32" x14ac:dyDescent="0.25">
      <c r="A1441" t="s">
        <v>4574</v>
      </c>
      <c r="B1441" s="1">
        <v>45626</v>
      </c>
      <c r="C1441" s="1">
        <v>45630</v>
      </c>
      <c r="D1441" s="4">
        <f t="shared" si="264"/>
        <v>4</v>
      </c>
      <c r="E1441" s="4" t="str">
        <f>TEXT(Table1[[#This Row],[Order_Date]],"dddd")</f>
        <v>Saturday</v>
      </c>
      <c r="F1441" s="4">
        <f t="shared" si="265"/>
        <v>11</v>
      </c>
      <c r="G1441" t="str">
        <f t="shared" si="268"/>
        <v>November</v>
      </c>
      <c r="H1441">
        <f t="shared" si="269"/>
        <v>2024</v>
      </c>
      <c r="I1441" t="str">
        <f t="shared" si="270"/>
        <v>2024-Q4</v>
      </c>
      <c r="J1441" t="s">
        <v>55</v>
      </c>
      <c r="K1441" t="s">
        <v>4575</v>
      </c>
      <c r="L1441" t="s">
        <v>4576</v>
      </c>
      <c r="M1441" t="s">
        <v>24</v>
      </c>
      <c r="N1441" t="s">
        <v>25</v>
      </c>
      <c r="O1441" t="s">
        <v>611</v>
      </c>
      <c r="P1441" t="s">
        <v>74</v>
      </c>
      <c r="Q1441" t="s">
        <v>87</v>
      </c>
      <c r="R1441" t="s">
        <v>4577</v>
      </c>
      <c r="S1441" t="s">
        <v>51</v>
      </c>
      <c r="T1441" t="s">
        <v>52</v>
      </c>
      <c r="U1441" t="s">
        <v>4578</v>
      </c>
      <c r="V1441" s="3">
        <v>3243.08</v>
      </c>
      <c r="W1441" s="4">
        <v>9</v>
      </c>
      <c r="X1441" s="2">
        <v>0.3</v>
      </c>
      <c r="Y1441" s="3">
        <v>591.85</v>
      </c>
      <c r="Z1441" t="str">
        <f t="shared" si="266"/>
        <v>Normal</v>
      </c>
      <c r="AA1441" t="str">
        <f t="shared" si="267"/>
        <v>High</v>
      </c>
      <c r="AB1441" t="str">
        <f t="shared" si="271"/>
        <v>High Profit</v>
      </c>
      <c r="AC1441" s="3">
        <f t="shared" si="272"/>
        <v>0.18249626897887194</v>
      </c>
      <c r="AD1441" s="3">
        <f t="shared" si="273"/>
        <v>360.34222222222223</v>
      </c>
      <c r="AE1441" s="3">
        <f t="shared" si="274"/>
        <v>65.76111111111112</v>
      </c>
      <c r="AF1441" t="str">
        <f t="shared" si="275"/>
        <v>Regular</v>
      </c>
    </row>
    <row r="1442" spans="1:32" x14ac:dyDescent="0.25">
      <c r="A1442" t="s">
        <v>2226</v>
      </c>
      <c r="B1442" s="1">
        <v>45627</v>
      </c>
      <c r="C1442" s="1">
        <v>45629</v>
      </c>
      <c r="D1442" s="4">
        <f t="shared" si="264"/>
        <v>2</v>
      </c>
      <c r="E1442" s="4" t="str">
        <f>TEXT(Table1[[#This Row],[Order_Date]],"dddd")</f>
        <v>Sunday</v>
      </c>
      <c r="F1442" s="4">
        <f t="shared" si="265"/>
        <v>12</v>
      </c>
      <c r="G1442" t="str">
        <f t="shared" si="268"/>
        <v>December</v>
      </c>
      <c r="H1442">
        <f t="shared" si="269"/>
        <v>2024</v>
      </c>
      <c r="I1442" t="str">
        <f t="shared" si="270"/>
        <v>2024-Q4</v>
      </c>
      <c r="J1442" t="s">
        <v>21</v>
      </c>
      <c r="K1442" t="s">
        <v>2227</v>
      </c>
      <c r="L1442" t="s">
        <v>2228</v>
      </c>
      <c r="M1442" t="s">
        <v>47</v>
      </c>
      <c r="N1442" t="s">
        <v>25</v>
      </c>
      <c r="O1442" t="s">
        <v>382</v>
      </c>
      <c r="P1442" t="s">
        <v>38</v>
      </c>
      <c r="Q1442" t="s">
        <v>66</v>
      </c>
      <c r="R1442" t="s">
        <v>2229</v>
      </c>
      <c r="S1442" t="s">
        <v>51</v>
      </c>
      <c r="T1442" t="s">
        <v>94</v>
      </c>
      <c r="U1442" t="s">
        <v>2230</v>
      </c>
      <c r="V1442" s="3">
        <v>787.94</v>
      </c>
      <c r="W1442" s="4">
        <v>10</v>
      </c>
      <c r="X1442" s="2">
        <v>0.1</v>
      </c>
      <c r="Y1442" s="3">
        <v>88.35</v>
      </c>
      <c r="Z1442" t="str">
        <f t="shared" si="266"/>
        <v>Normal</v>
      </c>
      <c r="AA1442" t="str">
        <f t="shared" si="267"/>
        <v>Medium</v>
      </c>
      <c r="AB1442" t="str">
        <f t="shared" si="271"/>
        <v>Low Profit</v>
      </c>
      <c r="AC1442" s="3">
        <f t="shared" si="272"/>
        <v>0.11212782699190292</v>
      </c>
      <c r="AD1442" s="3">
        <f t="shared" si="273"/>
        <v>78.794000000000011</v>
      </c>
      <c r="AE1442" s="3">
        <f t="shared" si="274"/>
        <v>8.8349999999999991</v>
      </c>
      <c r="AF1442" t="str">
        <f t="shared" si="275"/>
        <v>Regular</v>
      </c>
    </row>
    <row r="1443" spans="1:32" x14ac:dyDescent="0.25">
      <c r="A1443" t="s">
        <v>1849</v>
      </c>
      <c r="B1443" s="1">
        <v>45628</v>
      </c>
      <c r="C1443" s="1">
        <v>45631</v>
      </c>
      <c r="D1443" s="4">
        <f t="shared" si="264"/>
        <v>3</v>
      </c>
      <c r="E1443" s="4" t="str">
        <f>TEXT(Table1[[#This Row],[Order_Date]],"dddd")</f>
        <v>Monday</v>
      </c>
      <c r="F1443" s="4">
        <f t="shared" si="265"/>
        <v>12</v>
      </c>
      <c r="G1443" t="str">
        <f t="shared" si="268"/>
        <v>December</v>
      </c>
      <c r="H1443">
        <f t="shared" si="269"/>
        <v>2024</v>
      </c>
      <c r="I1443" t="str">
        <f t="shared" si="270"/>
        <v>2024-Q4</v>
      </c>
      <c r="J1443" t="s">
        <v>21</v>
      </c>
      <c r="K1443" t="s">
        <v>1850</v>
      </c>
      <c r="L1443" t="s">
        <v>1851</v>
      </c>
      <c r="M1443" t="s">
        <v>24</v>
      </c>
      <c r="N1443" t="s">
        <v>25</v>
      </c>
      <c r="O1443" t="s">
        <v>201</v>
      </c>
      <c r="P1443" t="s">
        <v>113</v>
      </c>
      <c r="Q1443" t="s">
        <v>87</v>
      </c>
      <c r="R1443" t="s">
        <v>1852</v>
      </c>
      <c r="S1443" t="s">
        <v>59</v>
      </c>
      <c r="T1443" t="s">
        <v>101</v>
      </c>
      <c r="U1443" t="s">
        <v>1853</v>
      </c>
      <c r="V1443" s="3">
        <v>2439.2600000000002</v>
      </c>
      <c r="W1443" s="4">
        <v>2</v>
      </c>
      <c r="X1443" s="2">
        <v>0.2</v>
      </c>
      <c r="Y1443" s="3">
        <v>-468.84</v>
      </c>
      <c r="Z1443" t="str">
        <f t="shared" si="266"/>
        <v>Normal</v>
      </c>
      <c r="AA1443" t="str">
        <f t="shared" si="267"/>
        <v>High</v>
      </c>
      <c r="AB1443" t="str">
        <f t="shared" si="271"/>
        <v>Loss</v>
      </c>
      <c r="AC1443" s="3">
        <f t="shared" si="272"/>
        <v>-0.19220583291654023</v>
      </c>
      <c r="AD1443" s="3">
        <f t="shared" si="273"/>
        <v>1219.6300000000001</v>
      </c>
      <c r="AE1443" s="3">
        <f t="shared" si="274"/>
        <v>-234.42</v>
      </c>
      <c r="AF1443" t="str">
        <f t="shared" si="275"/>
        <v>Regular</v>
      </c>
    </row>
    <row r="1444" spans="1:32" x14ac:dyDescent="0.25">
      <c r="A1444" t="s">
        <v>2153</v>
      </c>
      <c r="B1444" s="1">
        <v>45628</v>
      </c>
      <c r="C1444" s="1">
        <v>45630</v>
      </c>
      <c r="D1444" s="4">
        <f t="shared" si="264"/>
        <v>2</v>
      </c>
      <c r="E1444" s="4" t="str">
        <f>TEXT(Table1[[#This Row],[Order_Date]],"dddd")</f>
        <v>Monday</v>
      </c>
      <c r="F1444" s="4">
        <f t="shared" si="265"/>
        <v>12</v>
      </c>
      <c r="G1444" t="str">
        <f t="shared" si="268"/>
        <v>December</v>
      </c>
      <c r="H1444">
        <f t="shared" si="269"/>
        <v>2024</v>
      </c>
      <c r="I1444" t="str">
        <f t="shared" si="270"/>
        <v>2024-Q4</v>
      </c>
      <c r="J1444" t="s">
        <v>21</v>
      </c>
      <c r="K1444" t="s">
        <v>2154</v>
      </c>
      <c r="L1444" t="s">
        <v>2155</v>
      </c>
      <c r="M1444" t="s">
        <v>47</v>
      </c>
      <c r="N1444" t="s">
        <v>25</v>
      </c>
      <c r="O1444" t="s">
        <v>73</v>
      </c>
      <c r="P1444" t="s">
        <v>74</v>
      </c>
      <c r="Q1444" t="s">
        <v>87</v>
      </c>
      <c r="R1444" t="s">
        <v>2156</v>
      </c>
      <c r="S1444" t="s">
        <v>51</v>
      </c>
      <c r="T1444" t="s">
        <v>52</v>
      </c>
      <c r="U1444" t="s">
        <v>2157</v>
      </c>
      <c r="V1444" s="3">
        <v>2589.98</v>
      </c>
      <c r="W1444" s="4">
        <v>3</v>
      </c>
      <c r="X1444" s="2">
        <v>0.3</v>
      </c>
      <c r="Y1444" s="3">
        <v>-336.94</v>
      </c>
      <c r="Z1444" t="str">
        <f t="shared" si="266"/>
        <v>Normal</v>
      </c>
      <c r="AA1444" t="str">
        <f t="shared" si="267"/>
        <v>High</v>
      </c>
      <c r="AB1444" t="str">
        <f t="shared" si="271"/>
        <v>Loss</v>
      </c>
      <c r="AC1444" s="3">
        <f t="shared" si="272"/>
        <v>-0.13009366867697819</v>
      </c>
      <c r="AD1444" s="3">
        <f t="shared" si="273"/>
        <v>863.32666666666671</v>
      </c>
      <c r="AE1444" s="3">
        <f t="shared" si="274"/>
        <v>-112.31333333333333</v>
      </c>
      <c r="AF1444" t="str">
        <f t="shared" si="275"/>
        <v>Regular</v>
      </c>
    </row>
    <row r="1445" spans="1:32" x14ac:dyDescent="0.25">
      <c r="A1445" t="s">
        <v>2519</v>
      </c>
      <c r="B1445" s="1">
        <v>45628</v>
      </c>
      <c r="C1445" s="1">
        <v>45629</v>
      </c>
      <c r="D1445" s="4">
        <f t="shared" si="264"/>
        <v>1</v>
      </c>
      <c r="E1445" s="4" t="str">
        <f>TEXT(Table1[[#This Row],[Order_Date]],"dddd")</f>
        <v>Monday</v>
      </c>
      <c r="F1445" s="4">
        <f t="shared" si="265"/>
        <v>12</v>
      </c>
      <c r="G1445" t="str">
        <f t="shared" si="268"/>
        <v>December</v>
      </c>
      <c r="H1445">
        <f t="shared" si="269"/>
        <v>2024</v>
      </c>
      <c r="I1445" t="str">
        <f t="shared" si="270"/>
        <v>2024-Q4</v>
      </c>
      <c r="J1445" t="s">
        <v>104</v>
      </c>
      <c r="K1445" t="s">
        <v>2520</v>
      </c>
      <c r="L1445" t="s">
        <v>2521</v>
      </c>
      <c r="M1445" t="s">
        <v>36</v>
      </c>
      <c r="N1445" t="s">
        <v>25</v>
      </c>
      <c r="O1445" t="s">
        <v>451</v>
      </c>
      <c r="P1445" t="s">
        <v>38</v>
      </c>
      <c r="Q1445" t="s">
        <v>39</v>
      </c>
      <c r="R1445" t="s">
        <v>2522</v>
      </c>
      <c r="S1445" t="s">
        <v>59</v>
      </c>
      <c r="T1445" t="s">
        <v>101</v>
      </c>
      <c r="U1445" t="s">
        <v>2523</v>
      </c>
      <c r="V1445" s="3">
        <v>3345.98</v>
      </c>
      <c r="W1445" s="4">
        <v>7</v>
      </c>
      <c r="X1445" s="2">
        <v>0.4</v>
      </c>
      <c r="Y1445" s="3">
        <v>518.91999999999996</v>
      </c>
      <c r="Z1445" t="str">
        <f t="shared" si="266"/>
        <v>Normal</v>
      </c>
      <c r="AA1445" t="str">
        <f t="shared" si="267"/>
        <v>High</v>
      </c>
      <c r="AB1445" t="str">
        <f t="shared" si="271"/>
        <v>High Profit</v>
      </c>
      <c r="AC1445" s="3">
        <f t="shared" si="272"/>
        <v>0.15508759765449881</v>
      </c>
      <c r="AD1445" s="3">
        <f t="shared" si="273"/>
        <v>477.99714285714288</v>
      </c>
      <c r="AE1445" s="3">
        <f t="shared" si="274"/>
        <v>74.131428571428572</v>
      </c>
      <c r="AF1445" t="str">
        <f t="shared" si="275"/>
        <v>Regular</v>
      </c>
    </row>
    <row r="1446" spans="1:32" x14ac:dyDescent="0.25">
      <c r="A1446" t="s">
        <v>5143</v>
      </c>
      <c r="B1446" s="1">
        <v>45629</v>
      </c>
      <c r="C1446" s="1">
        <f>B1446+5</f>
        <v>45634</v>
      </c>
      <c r="D1446" s="4">
        <f t="shared" si="264"/>
        <v>5</v>
      </c>
      <c r="E1446" s="4" t="str">
        <f>TEXT(Table1[[#This Row],[Order_Date]],"dddd")</f>
        <v>Tuesday</v>
      </c>
      <c r="F1446" s="4">
        <f t="shared" si="265"/>
        <v>12</v>
      </c>
      <c r="G1446" t="str">
        <f t="shared" si="268"/>
        <v>December</v>
      </c>
      <c r="H1446">
        <f t="shared" si="269"/>
        <v>2024</v>
      </c>
      <c r="I1446" t="str">
        <f t="shared" si="270"/>
        <v>2024-Q4</v>
      </c>
      <c r="J1446" t="s">
        <v>104</v>
      </c>
      <c r="K1446" t="s">
        <v>5144</v>
      </c>
      <c r="L1446" t="s">
        <v>5145</v>
      </c>
      <c r="M1446" t="s">
        <v>47</v>
      </c>
      <c r="N1446" t="s">
        <v>25</v>
      </c>
      <c r="O1446" t="s">
        <v>179</v>
      </c>
      <c r="P1446" t="s">
        <v>27</v>
      </c>
      <c r="Q1446" t="s">
        <v>39</v>
      </c>
      <c r="R1446" t="s">
        <v>5146</v>
      </c>
      <c r="S1446" t="s">
        <v>51</v>
      </c>
      <c r="T1446" t="s">
        <v>94</v>
      </c>
      <c r="U1446" t="s">
        <v>5147</v>
      </c>
      <c r="V1446" s="3">
        <v>1210.56</v>
      </c>
      <c r="W1446" s="4">
        <v>8</v>
      </c>
      <c r="X1446" s="2">
        <v>0.2</v>
      </c>
      <c r="Y1446" s="3">
        <v>-17.399999999999999</v>
      </c>
      <c r="Z1446" t="str">
        <f t="shared" si="266"/>
        <v>Normal</v>
      </c>
      <c r="AA1446" t="str">
        <f t="shared" si="267"/>
        <v>High</v>
      </c>
      <c r="AB1446" t="str">
        <f t="shared" si="271"/>
        <v>Loss</v>
      </c>
      <c r="AC1446" s="3">
        <f t="shared" si="272"/>
        <v>-1.437351308485329E-2</v>
      </c>
      <c r="AD1446" s="3">
        <f t="shared" si="273"/>
        <v>151.32</v>
      </c>
      <c r="AE1446" s="3">
        <f t="shared" si="274"/>
        <v>-2.1749999999999998</v>
      </c>
      <c r="AF1446" t="str">
        <f t="shared" si="275"/>
        <v>Regular</v>
      </c>
    </row>
    <row r="1447" spans="1:32" x14ac:dyDescent="0.25">
      <c r="A1447" t="s">
        <v>5687</v>
      </c>
      <c r="B1447" s="1">
        <v>45630</v>
      </c>
      <c r="C1447" s="1">
        <v>45638</v>
      </c>
      <c r="D1447" s="4">
        <f t="shared" si="264"/>
        <v>8</v>
      </c>
      <c r="E1447" s="4" t="str">
        <f>TEXT(Table1[[#This Row],[Order_Date]],"dddd")</f>
        <v>Wednesday</v>
      </c>
      <c r="F1447" s="4">
        <f t="shared" si="265"/>
        <v>12</v>
      </c>
      <c r="G1447" t="str">
        <f t="shared" si="268"/>
        <v>December</v>
      </c>
      <c r="H1447">
        <f t="shared" si="269"/>
        <v>2024</v>
      </c>
      <c r="I1447" t="str">
        <f t="shared" si="270"/>
        <v>2024-Q4</v>
      </c>
      <c r="J1447" t="s">
        <v>21</v>
      </c>
      <c r="K1447" t="s">
        <v>5688</v>
      </c>
      <c r="L1447" t="s">
        <v>5689</v>
      </c>
      <c r="M1447" t="s">
        <v>36</v>
      </c>
      <c r="N1447" t="s">
        <v>25</v>
      </c>
      <c r="O1447" t="s">
        <v>451</v>
      </c>
      <c r="P1447" t="s">
        <v>38</v>
      </c>
      <c r="Q1447" t="s">
        <v>66</v>
      </c>
      <c r="R1447" t="s">
        <v>5690</v>
      </c>
      <c r="S1447" t="s">
        <v>59</v>
      </c>
      <c r="T1447" t="s">
        <v>101</v>
      </c>
      <c r="U1447" t="s">
        <v>5691</v>
      </c>
      <c r="V1447" s="3">
        <v>3917.62</v>
      </c>
      <c r="W1447" s="4">
        <v>8</v>
      </c>
      <c r="X1447" s="2">
        <v>0.1</v>
      </c>
      <c r="Y1447" s="3">
        <v>858.55</v>
      </c>
      <c r="Z1447" t="str">
        <f t="shared" si="266"/>
        <v>Normal</v>
      </c>
      <c r="AA1447" t="str">
        <f t="shared" si="267"/>
        <v>Medium</v>
      </c>
      <c r="AB1447" t="str">
        <f t="shared" si="271"/>
        <v>High Profit</v>
      </c>
      <c r="AC1447" s="3">
        <f t="shared" si="272"/>
        <v>0.21915091305435441</v>
      </c>
      <c r="AD1447" s="3">
        <f t="shared" si="273"/>
        <v>489.70249999999999</v>
      </c>
      <c r="AE1447" s="3">
        <f t="shared" si="274"/>
        <v>107.31874999999999</v>
      </c>
      <c r="AF1447" t="str">
        <f t="shared" si="275"/>
        <v>Regular</v>
      </c>
    </row>
    <row r="1448" spans="1:32" x14ac:dyDescent="0.25">
      <c r="A1448" t="s">
        <v>1386</v>
      </c>
      <c r="B1448" s="1">
        <v>45630</v>
      </c>
      <c r="C1448" s="1">
        <v>45640</v>
      </c>
      <c r="D1448" s="4">
        <f t="shared" si="264"/>
        <v>10</v>
      </c>
      <c r="E1448" s="4" t="str">
        <f>TEXT(Table1[[#This Row],[Order_Date]],"dddd")</f>
        <v>Wednesday</v>
      </c>
      <c r="F1448" s="4">
        <f t="shared" si="265"/>
        <v>12</v>
      </c>
      <c r="G1448" t="str">
        <f t="shared" si="268"/>
        <v>December</v>
      </c>
      <c r="H1448">
        <f t="shared" si="269"/>
        <v>2024</v>
      </c>
      <c r="I1448" t="str">
        <f t="shared" si="270"/>
        <v>2024-Q4</v>
      </c>
      <c r="J1448" t="s">
        <v>55</v>
      </c>
      <c r="K1448" t="s">
        <v>1387</v>
      </c>
      <c r="L1448" t="s">
        <v>1388</v>
      </c>
      <c r="M1448" t="s">
        <v>36</v>
      </c>
      <c r="N1448" t="s">
        <v>25</v>
      </c>
      <c r="O1448" t="s">
        <v>244</v>
      </c>
      <c r="P1448" t="s">
        <v>163</v>
      </c>
      <c r="Q1448" t="s">
        <v>87</v>
      </c>
      <c r="R1448" t="s">
        <v>7403</v>
      </c>
      <c r="S1448" t="s">
        <v>59</v>
      </c>
      <c r="T1448" t="s">
        <v>101</v>
      </c>
      <c r="U1448" t="s">
        <v>1389</v>
      </c>
      <c r="V1448" s="3">
        <v>3044.24</v>
      </c>
      <c r="W1448" s="4">
        <v>7</v>
      </c>
      <c r="X1448" s="2">
        <v>0.4</v>
      </c>
      <c r="Y1448" s="3">
        <v>-119.28</v>
      </c>
      <c r="Z1448" t="str">
        <f t="shared" si="266"/>
        <v>Normal</v>
      </c>
      <c r="AA1448" t="str">
        <f t="shared" si="267"/>
        <v>High</v>
      </c>
      <c r="AB1448" t="str">
        <f t="shared" si="271"/>
        <v>Loss</v>
      </c>
      <c r="AC1448" s="3">
        <f t="shared" si="272"/>
        <v>-3.9182193256773454E-2</v>
      </c>
      <c r="AD1448" s="3">
        <f t="shared" si="273"/>
        <v>434.89142857142855</v>
      </c>
      <c r="AE1448" s="3">
        <f t="shared" si="274"/>
        <v>-17.04</v>
      </c>
      <c r="AF1448" t="str">
        <f t="shared" si="275"/>
        <v>Regular</v>
      </c>
    </row>
    <row r="1449" spans="1:32" x14ac:dyDescent="0.25">
      <c r="A1449" t="s">
        <v>258</v>
      </c>
      <c r="B1449" s="1">
        <v>45631</v>
      </c>
      <c r="C1449" s="1">
        <v>45632</v>
      </c>
      <c r="D1449" s="4">
        <f t="shared" si="264"/>
        <v>1</v>
      </c>
      <c r="E1449" s="4" t="str">
        <f>TEXT(Table1[[#This Row],[Order_Date]],"dddd")</f>
        <v>Thursday</v>
      </c>
      <c r="F1449" s="4">
        <f t="shared" si="265"/>
        <v>12</v>
      </c>
      <c r="G1449" t="str">
        <f t="shared" si="268"/>
        <v>December</v>
      </c>
      <c r="H1449">
        <f t="shared" si="269"/>
        <v>2024</v>
      </c>
      <c r="I1449" t="str">
        <f t="shared" si="270"/>
        <v>2024-Q4</v>
      </c>
      <c r="J1449" t="s">
        <v>104</v>
      </c>
      <c r="K1449" t="s">
        <v>259</v>
      </c>
      <c r="L1449" t="s">
        <v>260</v>
      </c>
      <c r="M1449" t="s">
        <v>24</v>
      </c>
      <c r="N1449" t="s">
        <v>25</v>
      </c>
      <c r="O1449" t="s">
        <v>80</v>
      </c>
      <c r="P1449" t="s">
        <v>49</v>
      </c>
      <c r="Q1449" t="s">
        <v>28</v>
      </c>
      <c r="R1449" t="s">
        <v>261</v>
      </c>
      <c r="S1449" t="s">
        <v>51</v>
      </c>
      <c r="T1449" t="s">
        <v>151</v>
      </c>
      <c r="U1449" t="s">
        <v>262</v>
      </c>
      <c r="V1449" s="3">
        <v>3899.84</v>
      </c>
      <c r="W1449" s="4">
        <v>2</v>
      </c>
      <c r="X1449" s="2">
        <v>0</v>
      </c>
      <c r="Y1449" s="3">
        <v>984.28</v>
      </c>
      <c r="Z1449" t="str">
        <f t="shared" si="266"/>
        <v>Normal</v>
      </c>
      <c r="AA1449" t="str">
        <f t="shared" si="267"/>
        <v>Low</v>
      </c>
      <c r="AB1449" t="str">
        <f t="shared" si="271"/>
        <v>High Profit</v>
      </c>
      <c r="AC1449" s="3">
        <f t="shared" si="272"/>
        <v>0.2523898416345286</v>
      </c>
      <c r="AD1449" s="3">
        <f t="shared" si="273"/>
        <v>1949.92</v>
      </c>
      <c r="AE1449" s="3">
        <f t="shared" si="274"/>
        <v>492.14</v>
      </c>
      <c r="AF1449" t="str">
        <f t="shared" si="275"/>
        <v>Regular</v>
      </c>
    </row>
    <row r="1450" spans="1:32" x14ac:dyDescent="0.25">
      <c r="A1450" t="s">
        <v>4559</v>
      </c>
      <c r="B1450" s="1">
        <v>45631</v>
      </c>
      <c r="C1450" s="1">
        <v>45640</v>
      </c>
      <c r="D1450" s="4">
        <f t="shared" si="264"/>
        <v>9</v>
      </c>
      <c r="E1450" s="4" t="str">
        <f>TEXT(Table1[[#This Row],[Order_Date]],"dddd")</f>
        <v>Thursday</v>
      </c>
      <c r="F1450" s="4">
        <f t="shared" si="265"/>
        <v>12</v>
      </c>
      <c r="G1450" t="str">
        <f t="shared" si="268"/>
        <v>December</v>
      </c>
      <c r="H1450">
        <f t="shared" si="269"/>
        <v>2024</v>
      </c>
      <c r="I1450" t="str">
        <f t="shared" si="270"/>
        <v>2024-Q4</v>
      </c>
      <c r="J1450" t="s">
        <v>44</v>
      </c>
      <c r="K1450" t="s">
        <v>4560</v>
      </c>
      <c r="L1450" t="s">
        <v>4561</v>
      </c>
      <c r="M1450" t="s">
        <v>24</v>
      </c>
      <c r="N1450" t="s">
        <v>25</v>
      </c>
      <c r="O1450" t="s">
        <v>99</v>
      </c>
      <c r="P1450" t="s">
        <v>74</v>
      </c>
      <c r="Q1450" t="s">
        <v>28</v>
      </c>
      <c r="R1450" t="s">
        <v>4562</v>
      </c>
      <c r="S1450" t="s">
        <v>51</v>
      </c>
      <c r="T1450" t="s">
        <v>52</v>
      </c>
      <c r="U1450" t="s">
        <v>4563</v>
      </c>
      <c r="V1450" s="3">
        <v>4881.7</v>
      </c>
      <c r="W1450" s="4">
        <v>6</v>
      </c>
      <c r="X1450" s="2">
        <v>0.3</v>
      </c>
      <c r="Y1450" s="3">
        <v>861.37</v>
      </c>
      <c r="Z1450" t="str">
        <f t="shared" si="266"/>
        <v>Normal</v>
      </c>
      <c r="AA1450" t="str">
        <f t="shared" si="267"/>
        <v>High</v>
      </c>
      <c r="AB1450" t="str">
        <f t="shared" si="271"/>
        <v>High Profit</v>
      </c>
      <c r="AC1450" s="3">
        <f t="shared" si="272"/>
        <v>0.17644877808959994</v>
      </c>
      <c r="AD1450" s="3">
        <f t="shared" si="273"/>
        <v>813.61666666666667</v>
      </c>
      <c r="AE1450" s="3">
        <f t="shared" si="274"/>
        <v>143.56166666666667</v>
      </c>
      <c r="AF1450" t="str">
        <f t="shared" si="275"/>
        <v>Regular</v>
      </c>
    </row>
    <row r="1451" spans="1:32" x14ac:dyDescent="0.25">
      <c r="A1451" t="s">
        <v>5013</v>
      </c>
      <c r="B1451" s="1">
        <v>45631</v>
      </c>
      <c r="C1451" s="1">
        <v>45638</v>
      </c>
      <c r="D1451" s="4">
        <f t="shared" si="264"/>
        <v>7</v>
      </c>
      <c r="E1451" s="4" t="str">
        <f>TEXT(Table1[[#This Row],[Order_Date]],"dddd")</f>
        <v>Thursday</v>
      </c>
      <c r="F1451" s="4">
        <f t="shared" si="265"/>
        <v>12</v>
      </c>
      <c r="G1451" t="str">
        <f t="shared" si="268"/>
        <v>December</v>
      </c>
      <c r="H1451">
        <f t="shared" si="269"/>
        <v>2024</v>
      </c>
      <c r="I1451" t="str">
        <f t="shared" si="270"/>
        <v>2024-Q4</v>
      </c>
      <c r="J1451" t="s">
        <v>21</v>
      </c>
      <c r="K1451" t="s">
        <v>5014</v>
      </c>
      <c r="L1451" t="s">
        <v>5015</v>
      </c>
      <c r="M1451" t="s">
        <v>24</v>
      </c>
      <c r="N1451" t="s">
        <v>25</v>
      </c>
      <c r="O1451" t="s">
        <v>149</v>
      </c>
      <c r="P1451" t="s">
        <v>113</v>
      </c>
      <c r="Q1451" t="s">
        <v>39</v>
      </c>
      <c r="R1451" t="s">
        <v>5016</v>
      </c>
      <c r="S1451" t="s">
        <v>51</v>
      </c>
      <c r="T1451" t="s">
        <v>94</v>
      </c>
      <c r="U1451" t="s">
        <v>5017</v>
      </c>
      <c r="V1451" s="3">
        <v>874.58</v>
      </c>
      <c r="W1451" s="4">
        <v>10</v>
      </c>
      <c r="X1451" s="2">
        <v>0.4</v>
      </c>
      <c r="Y1451" s="3">
        <v>13.14</v>
      </c>
      <c r="Z1451" t="str">
        <f t="shared" si="266"/>
        <v>Normal</v>
      </c>
      <c r="AA1451" t="str">
        <f t="shared" si="267"/>
        <v>High</v>
      </c>
      <c r="AB1451" t="str">
        <f t="shared" si="271"/>
        <v>Low Profit</v>
      </c>
      <c r="AC1451" s="3">
        <f t="shared" si="272"/>
        <v>1.5024354547325574E-2</v>
      </c>
      <c r="AD1451" s="3">
        <f t="shared" si="273"/>
        <v>87.457999999999998</v>
      </c>
      <c r="AE1451" s="3">
        <f t="shared" si="274"/>
        <v>1.3140000000000001</v>
      </c>
      <c r="AF1451" t="str">
        <f t="shared" si="275"/>
        <v>Regular</v>
      </c>
    </row>
    <row r="1452" spans="1:32" x14ac:dyDescent="0.25">
      <c r="A1452" t="s">
        <v>543</v>
      </c>
      <c r="B1452" s="1">
        <v>45632</v>
      </c>
      <c r="C1452" s="1">
        <v>45633</v>
      </c>
      <c r="D1452" s="4">
        <f t="shared" si="264"/>
        <v>1</v>
      </c>
      <c r="E1452" s="4" t="str">
        <f>TEXT(Table1[[#This Row],[Order_Date]],"dddd")</f>
        <v>Friday</v>
      </c>
      <c r="F1452" s="4">
        <f t="shared" si="265"/>
        <v>12</v>
      </c>
      <c r="G1452" t="str">
        <f t="shared" si="268"/>
        <v>December</v>
      </c>
      <c r="H1452">
        <f t="shared" si="269"/>
        <v>2024</v>
      </c>
      <c r="I1452" t="str">
        <f t="shared" si="270"/>
        <v>2024-Q4</v>
      </c>
      <c r="J1452" t="s">
        <v>55</v>
      </c>
      <c r="K1452" t="s">
        <v>544</v>
      </c>
      <c r="L1452" t="s">
        <v>545</v>
      </c>
      <c r="M1452" t="s">
        <v>24</v>
      </c>
      <c r="N1452" t="s">
        <v>25</v>
      </c>
      <c r="O1452" t="s">
        <v>73</v>
      </c>
      <c r="P1452" t="s">
        <v>74</v>
      </c>
      <c r="Q1452" t="s">
        <v>66</v>
      </c>
      <c r="R1452" t="s">
        <v>546</v>
      </c>
      <c r="S1452" t="s">
        <v>30</v>
      </c>
      <c r="T1452" t="s">
        <v>41</v>
      </c>
      <c r="U1452" t="s">
        <v>547</v>
      </c>
      <c r="V1452" s="3">
        <v>3282.19</v>
      </c>
      <c r="W1452" s="4">
        <v>2</v>
      </c>
      <c r="X1452" s="2">
        <v>0.3</v>
      </c>
      <c r="Y1452" s="3">
        <v>658.11</v>
      </c>
      <c r="Z1452" t="str">
        <f t="shared" si="266"/>
        <v>Normal</v>
      </c>
      <c r="AA1452" t="str">
        <f t="shared" si="267"/>
        <v>High</v>
      </c>
      <c r="AB1452" t="str">
        <f t="shared" si="271"/>
        <v>High Profit</v>
      </c>
      <c r="AC1452" s="3">
        <f t="shared" si="272"/>
        <v>0.20050941596921568</v>
      </c>
      <c r="AD1452" s="3">
        <f t="shared" si="273"/>
        <v>1641.095</v>
      </c>
      <c r="AE1452" s="3">
        <f t="shared" si="274"/>
        <v>329.05500000000001</v>
      </c>
      <c r="AF1452" t="str">
        <f t="shared" si="275"/>
        <v>Regular</v>
      </c>
    </row>
    <row r="1453" spans="1:32" x14ac:dyDescent="0.25">
      <c r="A1453" t="s">
        <v>438</v>
      </c>
      <c r="B1453" s="1">
        <v>45632</v>
      </c>
      <c r="C1453" s="1">
        <v>45633</v>
      </c>
      <c r="D1453" s="4">
        <f t="shared" si="264"/>
        <v>1</v>
      </c>
      <c r="E1453" s="4" t="str">
        <f>TEXT(Table1[[#This Row],[Order_Date]],"dddd")</f>
        <v>Friday</v>
      </c>
      <c r="F1453" s="4">
        <f t="shared" si="265"/>
        <v>12</v>
      </c>
      <c r="G1453" t="str">
        <f t="shared" si="268"/>
        <v>December</v>
      </c>
      <c r="H1453">
        <f t="shared" si="269"/>
        <v>2024</v>
      </c>
      <c r="I1453" t="str">
        <f t="shared" si="270"/>
        <v>2024-Q4</v>
      </c>
      <c r="J1453" t="s">
        <v>55</v>
      </c>
      <c r="K1453" t="s">
        <v>439</v>
      </c>
      <c r="L1453" t="s">
        <v>440</v>
      </c>
      <c r="M1453" t="s">
        <v>47</v>
      </c>
      <c r="N1453" t="s">
        <v>25</v>
      </c>
      <c r="O1453" t="s">
        <v>190</v>
      </c>
      <c r="P1453" t="s">
        <v>120</v>
      </c>
      <c r="Q1453" t="s">
        <v>39</v>
      </c>
      <c r="R1453" t="s">
        <v>441</v>
      </c>
      <c r="S1453" t="s">
        <v>59</v>
      </c>
      <c r="T1453" t="s">
        <v>303</v>
      </c>
      <c r="U1453" t="s">
        <v>442</v>
      </c>
      <c r="V1453" s="3">
        <v>4311.5</v>
      </c>
      <c r="W1453" s="4">
        <v>8</v>
      </c>
      <c r="X1453" s="2">
        <v>0</v>
      </c>
      <c r="Y1453" s="3">
        <v>-306.51</v>
      </c>
      <c r="Z1453" t="str">
        <f t="shared" si="266"/>
        <v>Normal</v>
      </c>
      <c r="AA1453" t="str">
        <f t="shared" si="267"/>
        <v>Low</v>
      </c>
      <c r="AB1453" t="str">
        <f t="shared" si="271"/>
        <v>Loss</v>
      </c>
      <c r="AC1453" s="3">
        <f t="shared" si="272"/>
        <v>-7.1091267540299194E-2</v>
      </c>
      <c r="AD1453" s="3">
        <f t="shared" si="273"/>
        <v>538.9375</v>
      </c>
      <c r="AE1453" s="3">
        <f t="shared" si="274"/>
        <v>-38.313749999999999</v>
      </c>
      <c r="AF1453" t="str">
        <f t="shared" si="275"/>
        <v>Regular</v>
      </c>
    </row>
    <row r="1454" spans="1:32" x14ac:dyDescent="0.25">
      <c r="A1454" t="s">
        <v>3317</v>
      </c>
      <c r="B1454" s="1">
        <v>45633</v>
      </c>
      <c r="C1454" s="1">
        <v>45638</v>
      </c>
      <c r="D1454" s="4">
        <f t="shared" si="264"/>
        <v>5</v>
      </c>
      <c r="E1454" s="4" t="str">
        <f>TEXT(Table1[[#This Row],[Order_Date]],"dddd")</f>
        <v>Saturday</v>
      </c>
      <c r="F1454" s="4">
        <f t="shared" si="265"/>
        <v>12</v>
      </c>
      <c r="G1454" t="str">
        <f t="shared" si="268"/>
        <v>December</v>
      </c>
      <c r="H1454">
        <f t="shared" si="269"/>
        <v>2024</v>
      </c>
      <c r="I1454" t="str">
        <f t="shared" si="270"/>
        <v>2024-Q4</v>
      </c>
      <c r="J1454" t="s">
        <v>44</v>
      </c>
      <c r="K1454" t="s">
        <v>3318</v>
      </c>
      <c r="L1454" t="s">
        <v>3319</v>
      </c>
      <c r="M1454" t="s">
        <v>24</v>
      </c>
      <c r="N1454" t="s">
        <v>25</v>
      </c>
      <c r="O1454" t="s">
        <v>227</v>
      </c>
      <c r="P1454" t="s">
        <v>49</v>
      </c>
      <c r="Q1454" t="s">
        <v>87</v>
      </c>
      <c r="R1454" t="s">
        <v>3320</v>
      </c>
      <c r="S1454" t="s">
        <v>59</v>
      </c>
      <c r="T1454" t="s">
        <v>60</v>
      </c>
      <c r="U1454" t="s">
        <v>3321</v>
      </c>
      <c r="V1454" s="3">
        <v>2285.58</v>
      </c>
      <c r="W1454" s="4">
        <v>3</v>
      </c>
      <c r="X1454" s="2">
        <v>0.2</v>
      </c>
      <c r="Y1454" s="3">
        <v>91.51</v>
      </c>
      <c r="Z1454" t="str">
        <f t="shared" si="266"/>
        <v>Normal</v>
      </c>
      <c r="AA1454" t="str">
        <f t="shared" si="267"/>
        <v>High</v>
      </c>
      <c r="AB1454" t="str">
        <f t="shared" si="271"/>
        <v>Low Profit</v>
      </c>
      <c r="AC1454" s="3">
        <f t="shared" si="272"/>
        <v>4.0037977231162335E-2</v>
      </c>
      <c r="AD1454" s="3">
        <f t="shared" si="273"/>
        <v>761.86</v>
      </c>
      <c r="AE1454" s="3">
        <f t="shared" si="274"/>
        <v>30.503333333333334</v>
      </c>
      <c r="AF1454" t="str">
        <f t="shared" si="275"/>
        <v>Regular</v>
      </c>
    </row>
    <row r="1455" spans="1:32" x14ac:dyDescent="0.25">
      <c r="A1455" t="s">
        <v>2070</v>
      </c>
      <c r="B1455" s="1">
        <v>45634</v>
      </c>
      <c r="C1455" s="1">
        <v>45644</v>
      </c>
      <c r="D1455" s="4">
        <f t="shared" si="264"/>
        <v>10</v>
      </c>
      <c r="E1455" s="4" t="str">
        <f>TEXT(Table1[[#This Row],[Order_Date]],"dddd")</f>
        <v>Sunday</v>
      </c>
      <c r="F1455" s="4">
        <f t="shared" si="265"/>
        <v>12</v>
      </c>
      <c r="G1455" t="str">
        <f t="shared" si="268"/>
        <v>December</v>
      </c>
      <c r="H1455">
        <f t="shared" si="269"/>
        <v>2024</v>
      </c>
      <c r="I1455" t="str">
        <f t="shared" si="270"/>
        <v>2024-Q4</v>
      </c>
      <c r="J1455" t="s">
        <v>104</v>
      </c>
      <c r="K1455" t="s">
        <v>2071</v>
      </c>
      <c r="L1455" t="s">
        <v>2072</v>
      </c>
      <c r="M1455" t="s">
        <v>24</v>
      </c>
      <c r="N1455" t="s">
        <v>25</v>
      </c>
      <c r="O1455" t="s">
        <v>99</v>
      </c>
      <c r="P1455" t="s">
        <v>74</v>
      </c>
      <c r="Q1455" t="s">
        <v>87</v>
      </c>
      <c r="R1455" t="s">
        <v>2073</v>
      </c>
      <c r="S1455" t="s">
        <v>59</v>
      </c>
      <c r="T1455" t="s">
        <v>303</v>
      </c>
      <c r="U1455" t="s">
        <v>2074</v>
      </c>
      <c r="V1455" s="3">
        <v>1463.28</v>
      </c>
      <c r="W1455" s="4">
        <v>2</v>
      </c>
      <c r="X1455" s="2">
        <v>0.1</v>
      </c>
      <c r="Y1455" s="3">
        <v>414.76</v>
      </c>
      <c r="Z1455" t="str">
        <f t="shared" si="266"/>
        <v>Normal</v>
      </c>
      <c r="AA1455" t="str">
        <f t="shared" si="267"/>
        <v>Medium</v>
      </c>
      <c r="AB1455" t="str">
        <f t="shared" si="271"/>
        <v>Low Profit</v>
      </c>
      <c r="AC1455" s="3">
        <f t="shared" si="272"/>
        <v>0.28344541031108195</v>
      </c>
      <c r="AD1455" s="3">
        <f t="shared" si="273"/>
        <v>731.64</v>
      </c>
      <c r="AE1455" s="3">
        <f t="shared" si="274"/>
        <v>207.38</v>
      </c>
      <c r="AF1455" t="str">
        <f t="shared" si="275"/>
        <v>Regular</v>
      </c>
    </row>
    <row r="1456" spans="1:32" x14ac:dyDescent="0.25">
      <c r="A1456" t="s">
        <v>4579</v>
      </c>
      <c r="B1456" s="1">
        <v>45635</v>
      </c>
      <c r="C1456" s="1">
        <v>45636</v>
      </c>
      <c r="D1456" s="4">
        <f t="shared" si="264"/>
        <v>1</v>
      </c>
      <c r="E1456" s="4" t="str">
        <f>TEXT(Table1[[#This Row],[Order_Date]],"dddd")</f>
        <v>Monday</v>
      </c>
      <c r="F1456" s="4">
        <f t="shared" si="265"/>
        <v>12</v>
      </c>
      <c r="G1456" t="str">
        <f t="shared" si="268"/>
        <v>December</v>
      </c>
      <c r="H1456">
        <f t="shared" si="269"/>
        <v>2024</v>
      </c>
      <c r="I1456" t="str">
        <f t="shared" si="270"/>
        <v>2024-Q4</v>
      </c>
      <c r="J1456" t="s">
        <v>104</v>
      </c>
      <c r="K1456" t="s">
        <v>4580</v>
      </c>
      <c r="L1456" t="s">
        <v>4581</v>
      </c>
      <c r="M1456" t="s">
        <v>36</v>
      </c>
      <c r="N1456" t="s">
        <v>25</v>
      </c>
      <c r="O1456" t="s">
        <v>156</v>
      </c>
      <c r="P1456" t="s">
        <v>143</v>
      </c>
      <c r="Q1456" t="s">
        <v>87</v>
      </c>
      <c r="R1456" t="s">
        <v>4582</v>
      </c>
      <c r="S1456" t="s">
        <v>59</v>
      </c>
      <c r="T1456" t="s">
        <v>101</v>
      </c>
      <c r="U1456" t="s">
        <v>4583</v>
      </c>
      <c r="V1456" s="3">
        <v>4198.13</v>
      </c>
      <c r="W1456" s="4">
        <v>2</v>
      </c>
      <c r="X1456" s="2">
        <v>0.4</v>
      </c>
      <c r="Y1456" s="3">
        <v>874.05</v>
      </c>
      <c r="Z1456" t="str">
        <f t="shared" si="266"/>
        <v>Normal</v>
      </c>
      <c r="AA1456" t="str">
        <f t="shared" si="267"/>
        <v>High</v>
      </c>
      <c r="AB1456" t="str">
        <f t="shared" si="271"/>
        <v>High Profit</v>
      </c>
      <c r="AC1456" s="3">
        <f t="shared" si="272"/>
        <v>0.20819984135793793</v>
      </c>
      <c r="AD1456" s="3">
        <f t="shared" si="273"/>
        <v>2099.0650000000001</v>
      </c>
      <c r="AE1456" s="3">
        <f t="shared" si="274"/>
        <v>437.02499999999998</v>
      </c>
      <c r="AF1456" t="str">
        <f t="shared" si="275"/>
        <v>Regular</v>
      </c>
    </row>
    <row r="1457" spans="1:32" x14ac:dyDescent="0.25">
      <c r="A1457" t="s">
        <v>5569</v>
      </c>
      <c r="B1457" s="1">
        <v>45635</v>
      </c>
      <c r="C1457" s="1">
        <v>45642</v>
      </c>
      <c r="D1457" s="4">
        <f t="shared" si="264"/>
        <v>7</v>
      </c>
      <c r="E1457" s="4" t="str">
        <f>TEXT(Table1[[#This Row],[Order_Date]],"dddd")</f>
        <v>Monday</v>
      </c>
      <c r="F1457" s="4">
        <f t="shared" si="265"/>
        <v>12</v>
      </c>
      <c r="G1457" t="str">
        <f t="shared" si="268"/>
        <v>December</v>
      </c>
      <c r="H1457">
        <f t="shared" si="269"/>
        <v>2024</v>
      </c>
      <c r="I1457" t="str">
        <f t="shared" si="270"/>
        <v>2024-Q4</v>
      </c>
      <c r="J1457" t="s">
        <v>55</v>
      </c>
      <c r="K1457" t="s">
        <v>5570</v>
      </c>
      <c r="L1457" t="s">
        <v>5571</v>
      </c>
      <c r="M1457" t="s">
        <v>24</v>
      </c>
      <c r="N1457" t="s">
        <v>25</v>
      </c>
      <c r="O1457" t="s">
        <v>611</v>
      </c>
      <c r="P1457" t="s">
        <v>74</v>
      </c>
      <c r="Q1457" t="s">
        <v>66</v>
      </c>
      <c r="R1457" t="s">
        <v>5572</v>
      </c>
      <c r="S1457" t="s">
        <v>30</v>
      </c>
      <c r="T1457" t="s">
        <v>68</v>
      </c>
      <c r="U1457" t="s">
        <v>5573</v>
      </c>
      <c r="V1457" s="3">
        <v>1230.81</v>
      </c>
      <c r="W1457" s="4">
        <v>6</v>
      </c>
      <c r="X1457" s="2">
        <v>0</v>
      </c>
      <c r="Y1457" s="3">
        <v>183.21</v>
      </c>
      <c r="Z1457" t="str">
        <f t="shared" si="266"/>
        <v>Normal</v>
      </c>
      <c r="AA1457" t="str">
        <f t="shared" si="267"/>
        <v>Low</v>
      </c>
      <c r="AB1457" t="str">
        <f t="shared" si="271"/>
        <v>Low Profit</v>
      </c>
      <c r="AC1457" s="3">
        <f t="shared" si="272"/>
        <v>0.14885319423794088</v>
      </c>
      <c r="AD1457" s="3">
        <f t="shared" si="273"/>
        <v>205.13499999999999</v>
      </c>
      <c r="AE1457" s="3">
        <f t="shared" si="274"/>
        <v>30.535</v>
      </c>
      <c r="AF1457" t="str">
        <f t="shared" si="275"/>
        <v>Regular</v>
      </c>
    </row>
    <row r="1458" spans="1:32" x14ac:dyDescent="0.25">
      <c r="A1458" t="s">
        <v>5870</v>
      </c>
      <c r="B1458" s="1">
        <v>45636</v>
      </c>
      <c r="C1458" s="1">
        <f>B1458+5</f>
        <v>45641</v>
      </c>
      <c r="D1458" s="4">
        <f t="shared" si="264"/>
        <v>5</v>
      </c>
      <c r="E1458" s="4" t="str">
        <f>TEXT(Table1[[#This Row],[Order_Date]],"dddd")</f>
        <v>Tuesday</v>
      </c>
      <c r="F1458" s="4">
        <f t="shared" si="265"/>
        <v>12</v>
      </c>
      <c r="G1458" t="str">
        <f t="shared" si="268"/>
        <v>December</v>
      </c>
      <c r="H1458">
        <f t="shared" si="269"/>
        <v>2024</v>
      </c>
      <c r="I1458" t="str">
        <f t="shared" si="270"/>
        <v>2024-Q4</v>
      </c>
      <c r="J1458" t="s">
        <v>21</v>
      </c>
      <c r="K1458" t="s">
        <v>5871</v>
      </c>
      <c r="L1458" t="s">
        <v>5872</v>
      </c>
      <c r="M1458" t="s">
        <v>36</v>
      </c>
      <c r="N1458" t="s">
        <v>25</v>
      </c>
      <c r="O1458" t="s">
        <v>179</v>
      </c>
      <c r="P1458" t="s">
        <v>27</v>
      </c>
      <c r="Q1458" t="s">
        <v>39</v>
      </c>
      <c r="R1458" t="s">
        <v>5873</v>
      </c>
      <c r="S1458" t="s">
        <v>59</v>
      </c>
      <c r="T1458" t="s">
        <v>303</v>
      </c>
      <c r="U1458" t="s">
        <v>2255</v>
      </c>
      <c r="V1458" s="3">
        <v>4695.4799999999996</v>
      </c>
      <c r="W1458" s="4">
        <v>2</v>
      </c>
      <c r="X1458" s="2">
        <v>0</v>
      </c>
      <c r="Y1458" s="3">
        <v>963.16</v>
      </c>
      <c r="Z1458" t="str">
        <f t="shared" si="266"/>
        <v>Normal</v>
      </c>
      <c r="AA1458" t="str">
        <f t="shared" si="267"/>
        <v>Low</v>
      </c>
      <c r="AB1458" t="str">
        <f t="shared" si="271"/>
        <v>High Profit</v>
      </c>
      <c r="AC1458" s="3">
        <f t="shared" si="272"/>
        <v>0.20512492865479143</v>
      </c>
      <c r="AD1458" s="3">
        <f t="shared" si="273"/>
        <v>2347.7399999999998</v>
      </c>
      <c r="AE1458" s="3">
        <f t="shared" si="274"/>
        <v>481.58</v>
      </c>
      <c r="AF1458" t="str">
        <f t="shared" si="275"/>
        <v>Regular</v>
      </c>
    </row>
    <row r="1459" spans="1:32" x14ac:dyDescent="0.25">
      <c r="A1459" t="s">
        <v>284</v>
      </c>
      <c r="B1459" s="1">
        <v>45637</v>
      </c>
      <c r="C1459" s="1">
        <v>45643</v>
      </c>
      <c r="D1459" s="4">
        <f t="shared" si="264"/>
        <v>6</v>
      </c>
      <c r="E1459" s="4" t="str">
        <f>TEXT(Table1[[#This Row],[Order_Date]],"dddd")</f>
        <v>Wednesday</v>
      </c>
      <c r="F1459" s="4">
        <f t="shared" si="265"/>
        <v>12</v>
      </c>
      <c r="G1459" t="str">
        <f t="shared" si="268"/>
        <v>December</v>
      </c>
      <c r="H1459">
        <f t="shared" si="269"/>
        <v>2024</v>
      </c>
      <c r="I1459" t="str">
        <f t="shared" si="270"/>
        <v>2024-Q4</v>
      </c>
      <c r="J1459" t="s">
        <v>44</v>
      </c>
      <c r="K1459" t="s">
        <v>285</v>
      </c>
      <c r="L1459" t="s">
        <v>286</v>
      </c>
      <c r="M1459" t="s">
        <v>47</v>
      </c>
      <c r="N1459" t="s">
        <v>25</v>
      </c>
      <c r="O1459" t="s">
        <v>37</v>
      </c>
      <c r="P1459" t="s">
        <v>38</v>
      </c>
      <c r="Q1459" t="s">
        <v>39</v>
      </c>
      <c r="R1459" t="s">
        <v>287</v>
      </c>
      <c r="S1459" t="s">
        <v>30</v>
      </c>
      <c r="T1459" t="s">
        <v>31</v>
      </c>
      <c r="U1459" t="s">
        <v>288</v>
      </c>
      <c r="V1459" s="3">
        <v>2514.16</v>
      </c>
      <c r="W1459" s="4">
        <v>8</v>
      </c>
      <c r="X1459" s="2">
        <v>0</v>
      </c>
      <c r="Y1459" s="3">
        <v>-235.97</v>
      </c>
      <c r="Z1459" t="str">
        <f t="shared" si="266"/>
        <v>Normal</v>
      </c>
      <c r="AA1459" t="str">
        <f t="shared" si="267"/>
        <v>Low</v>
      </c>
      <c r="AB1459" t="str">
        <f t="shared" si="271"/>
        <v>Loss</v>
      </c>
      <c r="AC1459" s="3">
        <f t="shared" si="272"/>
        <v>-9.3856397365322822E-2</v>
      </c>
      <c r="AD1459" s="3">
        <f t="shared" si="273"/>
        <v>314.27</v>
      </c>
      <c r="AE1459" s="3">
        <f t="shared" si="274"/>
        <v>-29.49625</v>
      </c>
      <c r="AF1459" t="str">
        <f t="shared" si="275"/>
        <v>Regular</v>
      </c>
    </row>
    <row r="1460" spans="1:32" x14ac:dyDescent="0.25">
      <c r="A1460" t="s">
        <v>6601</v>
      </c>
      <c r="B1460" s="1">
        <v>45637</v>
      </c>
      <c r="C1460" s="1">
        <v>45639</v>
      </c>
      <c r="D1460" s="4">
        <f t="shared" si="264"/>
        <v>2</v>
      </c>
      <c r="E1460" s="4" t="str">
        <f>TEXT(Table1[[#This Row],[Order_Date]],"dddd")</f>
        <v>Wednesday</v>
      </c>
      <c r="F1460" s="4">
        <f t="shared" si="265"/>
        <v>12</v>
      </c>
      <c r="G1460" t="str">
        <f t="shared" si="268"/>
        <v>December</v>
      </c>
      <c r="H1460">
        <f t="shared" si="269"/>
        <v>2024</v>
      </c>
      <c r="I1460" t="str">
        <f t="shared" si="270"/>
        <v>2024-Q4</v>
      </c>
      <c r="J1460" t="s">
        <v>55</v>
      </c>
      <c r="K1460" t="s">
        <v>6602</v>
      </c>
      <c r="L1460" t="s">
        <v>6603</v>
      </c>
      <c r="M1460" t="s">
        <v>47</v>
      </c>
      <c r="N1460" t="s">
        <v>25</v>
      </c>
      <c r="O1460" t="s">
        <v>37</v>
      </c>
      <c r="P1460" t="s">
        <v>38</v>
      </c>
      <c r="Q1460" t="s">
        <v>28</v>
      </c>
      <c r="R1460" t="s">
        <v>6604</v>
      </c>
      <c r="S1460" t="s">
        <v>59</v>
      </c>
      <c r="T1460" t="s">
        <v>277</v>
      </c>
      <c r="U1460" t="s">
        <v>6605</v>
      </c>
      <c r="V1460" s="3">
        <v>148.80000000000001</v>
      </c>
      <c r="W1460" s="4">
        <v>8</v>
      </c>
      <c r="X1460" s="2">
        <v>0</v>
      </c>
      <c r="Y1460" s="3">
        <v>-10.71</v>
      </c>
      <c r="Z1460" t="str">
        <f t="shared" si="266"/>
        <v>Normal</v>
      </c>
      <c r="AA1460" t="str">
        <f t="shared" si="267"/>
        <v>Low</v>
      </c>
      <c r="AB1460" t="str">
        <f t="shared" si="271"/>
        <v>Loss</v>
      </c>
      <c r="AC1460" s="3">
        <f t="shared" si="272"/>
        <v>-7.1975806451612903E-2</v>
      </c>
      <c r="AD1460" s="3">
        <f t="shared" si="273"/>
        <v>18.600000000000001</v>
      </c>
      <c r="AE1460" s="3">
        <f t="shared" si="274"/>
        <v>-1.3387500000000001</v>
      </c>
      <c r="AF1460" t="str">
        <f t="shared" si="275"/>
        <v>Regular</v>
      </c>
    </row>
    <row r="1461" spans="1:32" x14ac:dyDescent="0.25">
      <c r="A1461" t="s">
        <v>5773</v>
      </c>
      <c r="B1461" s="1">
        <v>45637</v>
      </c>
      <c r="C1461" s="1">
        <v>45644</v>
      </c>
      <c r="D1461" s="4">
        <f t="shared" si="264"/>
        <v>7</v>
      </c>
      <c r="E1461" s="4" t="str">
        <f>TEXT(Table1[[#This Row],[Order_Date]],"dddd")</f>
        <v>Wednesday</v>
      </c>
      <c r="F1461" s="4">
        <f t="shared" si="265"/>
        <v>12</v>
      </c>
      <c r="G1461" t="str">
        <f t="shared" si="268"/>
        <v>December</v>
      </c>
      <c r="H1461">
        <f t="shared" si="269"/>
        <v>2024</v>
      </c>
      <c r="I1461" t="str">
        <f t="shared" si="270"/>
        <v>2024-Q4</v>
      </c>
      <c r="J1461" t="s">
        <v>104</v>
      </c>
      <c r="K1461" t="s">
        <v>5774</v>
      </c>
      <c r="L1461" t="s">
        <v>5775</v>
      </c>
      <c r="M1461" t="s">
        <v>47</v>
      </c>
      <c r="N1461" t="s">
        <v>25</v>
      </c>
      <c r="O1461" t="s">
        <v>451</v>
      </c>
      <c r="P1461" t="s">
        <v>38</v>
      </c>
      <c r="Q1461" t="s">
        <v>87</v>
      </c>
      <c r="R1461" t="s">
        <v>5776</v>
      </c>
      <c r="S1461" t="s">
        <v>51</v>
      </c>
      <c r="T1461" t="s">
        <v>127</v>
      </c>
      <c r="U1461" t="s">
        <v>5777</v>
      </c>
      <c r="V1461" s="3">
        <v>3146.26</v>
      </c>
      <c r="W1461" s="4">
        <v>9</v>
      </c>
      <c r="X1461" s="2">
        <v>0.4</v>
      </c>
      <c r="Y1461" s="3">
        <v>139.29</v>
      </c>
      <c r="Z1461" t="str">
        <f t="shared" si="266"/>
        <v>Normal</v>
      </c>
      <c r="AA1461" t="str">
        <f t="shared" si="267"/>
        <v>High</v>
      </c>
      <c r="AB1461" t="str">
        <f t="shared" si="271"/>
        <v>Low Profit</v>
      </c>
      <c r="AC1461" s="3">
        <f t="shared" si="272"/>
        <v>4.4271611373503772E-2</v>
      </c>
      <c r="AD1461" s="3">
        <f t="shared" si="273"/>
        <v>349.58444444444444</v>
      </c>
      <c r="AE1461" s="3">
        <f t="shared" si="274"/>
        <v>15.476666666666667</v>
      </c>
      <c r="AF1461" t="str">
        <f t="shared" si="275"/>
        <v>Regular</v>
      </c>
    </row>
    <row r="1462" spans="1:32" x14ac:dyDescent="0.25">
      <c r="A1462" t="s">
        <v>1643</v>
      </c>
      <c r="B1462" s="1">
        <v>45637</v>
      </c>
      <c r="C1462" s="1">
        <v>45646</v>
      </c>
      <c r="D1462" s="4">
        <f t="shared" si="264"/>
        <v>9</v>
      </c>
      <c r="E1462" s="4" t="str">
        <f>TEXT(Table1[[#This Row],[Order_Date]],"dddd")</f>
        <v>Wednesday</v>
      </c>
      <c r="F1462" s="4">
        <f t="shared" si="265"/>
        <v>12</v>
      </c>
      <c r="G1462" t="str">
        <f t="shared" si="268"/>
        <v>December</v>
      </c>
      <c r="H1462">
        <f t="shared" si="269"/>
        <v>2024</v>
      </c>
      <c r="I1462" t="str">
        <f t="shared" si="270"/>
        <v>2024-Q4</v>
      </c>
      <c r="J1462" t="s">
        <v>104</v>
      </c>
      <c r="K1462" t="s">
        <v>1644</v>
      </c>
      <c r="L1462" t="s">
        <v>1645</v>
      </c>
      <c r="M1462" t="s">
        <v>24</v>
      </c>
      <c r="N1462" t="s">
        <v>25</v>
      </c>
      <c r="O1462" t="s">
        <v>162</v>
      </c>
      <c r="P1462" t="s">
        <v>163</v>
      </c>
      <c r="Q1462" t="s">
        <v>87</v>
      </c>
      <c r="R1462" t="s">
        <v>1646</v>
      </c>
      <c r="S1462" t="s">
        <v>51</v>
      </c>
      <c r="T1462" t="s">
        <v>151</v>
      </c>
      <c r="U1462" t="s">
        <v>1647</v>
      </c>
      <c r="V1462" s="3">
        <v>307.29000000000002</v>
      </c>
      <c r="W1462" s="4">
        <v>6</v>
      </c>
      <c r="X1462" s="2">
        <v>0.2</v>
      </c>
      <c r="Y1462" s="3">
        <v>68.95</v>
      </c>
      <c r="Z1462" t="str">
        <f t="shared" si="266"/>
        <v>Normal</v>
      </c>
      <c r="AA1462" t="str">
        <f t="shared" si="267"/>
        <v>High</v>
      </c>
      <c r="AB1462" t="str">
        <f t="shared" si="271"/>
        <v>Low Profit</v>
      </c>
      <c r="AC1462" s="3">
        <f t="shared" si="272"/>
        <v>0.22438087799798237</v>
      </c>
      <c r="AD1462" s="3">
        <f t="shared" si="273"/>
        <v>51.215000000000003</v>
      </c>
      <c r="AE1462" s="3">
        <f t="shared" si="274"/>
        <v>11.491666666666667</v>
      </c>
      <c r="AF1462" t="str">
        <f t="shared" si="275"/>
        <v>Regular</v>
      </c>
    </row>
    <row r="1463" spans="1:32" x14ac:dyDescent="0.25">
      <c r="A1463" t="s">
        <v>4125</v>
      </c>
      <c r="B1463" s="1">
        <v>45637</v>
      </c>
      <c r="C1463" s="1">
        <v>45645</v>
      </c>
      <c r="D1463" s="4">
        <f t="shared" si="264"/>
        <v>8</v>
      </c>
      <c r="E1463" s="4" t="str">
        <f>TEXT(Table1[[#This Row],[Order_Date]],"dddd")</f>
        <v>Wednesday</v>
      </c>
      <c r="F1463" s="4">
        <f t="shared" si="265"/>
        <v>12</v>
      </c>
      <c r="G1463" t="str">
        <f t="shared" si="268"/>
        <v>December</v>
      </c>
      <c r="H1463">
        <f t="shared" si="269"/>
        <v>2024</v>
      </c>
      <c r="I1463" t="str">
        <f t="shared" si="270"/>
        <v>2024-Q4</v>
      </c>
      <c r="J1463" t="s">
        <v>104</v>
      </c>
      <c r="K1463" t="s">
        <v>4126</v>
      </c>
      <c r="L1463" t="s">
        <v>4127</v>
      </c>
      <c r="M1463" t="s">
        <v>36</v>
      </c>
      <c r="N1463" t="s">
        <v>25</v>
      </c>
      <c r="O1463" t="s">
        <v>382</v>
      </c>
      <c r="P1463" t="s">
        <v>38</v>
      </c>
      <c r="Q1463" t="s">
        <v>39</v>
      </c>
      <c r="R1463" t="s">
        <v>4128</v>
      </c>
      <c r="S1463" t="s">
        <v>51</v>
      </c>
      <c r="T1463" t="s">
        <v>108</v>
      </c>
      <c r="U1463" t="s">
        <v>4129</v>
      </c>
      <c r="V1463" s="3">
        <v>1503.25</v>
      </c>
      <c r="W1463" s="4">
        <v>5</v>
      </c>
      <c r="X1463" s="2">
        <v>0.2</v>
      </c>
      <c r="Y1463" s="3">
        <v>308.83</v>
      </c>
      <c r="Z1463" t="str">
        <f t="shared" si="266"/>
        <v>Normal</v>
      </c>
      <c r="AA1463" t="str">
        <f t="shared" si="267"/>
        <v>High</v>
      </c>
      <c r="AB1463" t="str">
        <f t="shared" si="271"/>
        <v>Low Profit</v>
      </c>
      <c r="AC1463" s="3">
        <f t="shared" si="272"/>
        <v>0.2054415433228006</v>
      </c>
      <c r="AD1463" s="3">
        <f t="shared" si="273"/>
        <v>300.64999999999998</v>
      </c>
      <c r="AE1463" s="3">
        <f t="shared" si="274"/>
        <v>61.765999999999998</v>
      </c>
      <c r="AF1463" t="str">
        <f t="shared" si="275"/>
        <v>Regular</v>
      </c>
    </row>
    <row r="1464" spans="1:32" x14ac:dyDescent="0.25">
      <c r="A1464" t="s">
        <v>3912</v>
      </c>
      <c r="B1464" s="1">
        <v>45638</v>
      </c>
      <c r="C1464" s="1">
        <v>45641</v>
      </c>
      <c r="D1464" s="4">
        <f t="shared" si="264"/>
        <v>3</v>
      </c>
      <c r="E1464" s="4" t="str">
        <f>TEXT(Table1[[#This Row],[Order_Date]],"dddd")</f>
        <v>Thursday</v>
      </c>
      <c r="F1464" s="4">
        <f t="shared" si="265"/>
        <v>12</v>
      </c>
      <c r="G1464" t="str">
        <f t="shared" si="268"/>
        <v>December</v>
      </c>
      <c r="H1464">
        <f t="shared" si="269"/>
        <v>2024</v>
      </c>
      <c r="I1464" t="str">
        <f t="shared" si="270"/>
        <v>2024-Q4</v>
      </c>
      <c r="J1464" t="s">
        <v>21</v>
      </c>
      <c r="K1464" t="s">
        <v>3913</v>
      </c>
      <c r="L1464" t="s">
        <v>3914</v>
      </c>
      <c r="M1464" t="s">
        <v>24</v>
      </c>
      <c r="N1464" t="s">
        <v>25</v>
      </c>
      <c r="O1464" t="s">
        <v>233</v>
      </c>
      <c r="P1464" t="s">
        <v>163</v>
      </c>
      <c r="Q1464" t="s">
        <v>87</v>
      </c>
      <c r="R1464" t="s">
        <v>3915</v>
      </c>
      <c r="S1464" t="s">
        <v>30</v>
      </c>
      <c r="T1464" t="s">
        <v>68</v>
      </c>
      <c r="U1464" t="s">
        <v>3916</v>
      </c>
      <c r="V1464" s="3">
        <v>457.46</v>
      </c>
      <c r="W1464" s="4">
        <v>8</v>
      </c>
      <c r="X1464" s="2">
        <v>0.3</v>
      </c>
      <c r="Y1464" s="3">
        <v>111.91</v>
      </c>
      <c r="Z1464" t="str">
        <f t="shared" si="266"/>
        <v>Normal</v>
      </c>
      <c r="AA1464" t="str">
        <f t="shared" si="267"/>
        <v>High</v>
      </c>
      <c r="AB1464" t="str">
        <f t="shared" si="271"/>
        <v>Low Profit</v>
      </c>
      <c r="AC1464" s="3">
        <f t="shared" si="272"/>
        <v>0.24463341057141608</v>
      </c>
      <c r="AD1464" s="3">
        <f t="shared" si="273"/>
        <v>57.182499999999997</v>
      </c>
      <c r="AE1464" s="3">
        <f t="shared" si="274"/>
        <v>13.98875</v>
      </c>
      <c r="AF1464" t="str">
        <f t="shared" si="275"/>
        <v>Regular</v>
      </c>
    </row>
    <row r="1465" spans="1:32" x14ac:dyDescent="0.25">
      <c r="A1465" t="s">
        <v>7228</v>
      </c>
      <c r="B1465" s="1">
        <v>45638</v>
      </c>
      <c r="C1465" s="1">
        <v>45640</v>
      </c>
      <c r="D1465" s="4">
        <f t="shared" si="264"/>
        <v>2</v>
      </c>
      <c r="E1465" s="4" t="str">
        <f>TEXT(Table1[[#This Row],[Order_Date]],"dddd")</f>
        <v>Thursday</v>
      </c>
      <c r="F1465" s="4">
        <f t="shared" si="265"/>
        <v>12</v>
      </c>
      <c r="G1465" t="str">
        <f t="shared" si="268"/>
        <v>December</v>
      </c>
      <c r="H1465">
        <f t="shared" si="269"/>
        <v>2024</v>
      </c>
      <c r="I1465" t="str">
        <f t="shared" si="270"/>
        <v>2024-Q4</v>
      </c>
      <c r="J1465" t="s">
        <v>21</v>
      </c>
      <c r="K1465" t="s">
        <v>7229</v>
      </c>
      <c r="L1465" t="s">
        <v>7230</v>
      </c>
      <c r="M1465" t="s">
        <v>47</v>
      </c>
      <c r="N1465" t="s">
        <v>25</v>
      </c>
      <c r="O1465" t="s">
        <v>65</v>
      </c>
      <c r="P1465" t="s">
        <v>27</v>
      </c>
      <c r="Q1465" t="s">
        <v>39</v>
      </c>
      <c r="R1465" t="s">
        <v>7231</v>
      </c>
      <c r="S1465" t="s">
        <v>59</v>
      </c>
      <c r="T1465" t="s">
        <v>60</v>
      </c>
      <c r="U1465" t="s">
        <v>5336</v>
      </c>
      <c r="V1465" s="3">
        <v>4759.68</v>
      </c>
      <c r="W1465" s="4">
        <v>4</v>
      </c>
      <c r="X1465" s="2">
        <v>0.4</v>
      </c>
      <c r="Y1465" s="3">
        <v>-383.2</v>
      </c>
      <c r="Z1465" t="str">
        <f t="shared" si="266"/>
        <v>Normal</v>
      </c>
      <c r="AA1465" t="str">
        <f t="shared" si="267"/>
        <v>High</v>
      </c>
      <c r="AB1465" t="str">
        <f t="shared" si="271"/>
        <v>Loss</v>
      </c>
      <c r="AC1465" s="3">
        <f t="shared" si="272"/>
        <v>-8.0509614091703638E-2</v>
      </c>
      <c r="AD1465" s="3">
        <f t="shared" si="273"/>
        <v>1189.92</v>
      </c>
      <c r="AE1465" s="3">
        <f t="shared" si="274"/>
        <v>-95.8</v>
      </c>
      <c r="AF1465" t="str">
        <f t="shared" si="275"/>
        <v>Regular</v>
      </c>
    </row>
    <row r="1466" spans="1:32" x14ac:dyDescent="0.25">
      <c r="A1466" t="s">
        <v>5058</v>
      </c>
      <c r="B1466" s="1">
        <v>45638</v>
      </c>
      <c r="C1466" s="1">
        <v>45640</v>
      </c>
      <c r="D1466" s="4">
        <f t="shared" si="264"/>
        <v>2</v>
      </c>
      <c r="E1466" s="4" t="str">
        <f>TEXT(Table1[[#This Row],[Order_Date]],"dddd")</f>
        <v>Thursday</v>
      </c>
      <c r="F1466" s="4">
        <f t="shared" si="265"/>
        <v>12</v>
      </c>
      <c r="G1466" t="str">
        <f t="shared" si="268"/>
        <v>December</v>
      </c>
      <c r="H1466">
        <f t="shared" si="269"/>
        <v>2024</v>
      </c>
      <c r="I1466" t="str">
        <f t="shared" si="270"/>
        <v>2024-Q4</v>
      </c>
      <c r="J1466" t="s">
        <v>44</v>
      </c>
      <c r="K1466" t="s">
        <v>5059</v>
      </c>
      <c r="L1466" t="s">
        <v>5060</v>
      </c>
      <c r="M1466" t="s">
        <v>24</v>
      </c>
      <c r="N1466" t="s">
        <v>25</v>
      </c>
      <c r="O1466" t="s">
        <v>26</v>
      </c>
      <c r="P1466" t="s">
        <v>27</v>
      </c>
      <c r="Q1466" t="s">
        <v>28</v>
      </c>
      <c r="R1466" t="s">
        <v>5061</v>
      </c>
      <c r="S1466" t="s">
        <v>30</v>
      </c>
      <c r="T1466" t="s">
        <v>68</v>
      </c>
      <c r="U1466" t="s">
        <v>5062</v>
      </c>
      <c r="V1466" s="3">
        <v>1111.1600000000001</v>
      </c>
      <c r="W1466" s="4">
        <v>2</v>
      </c>
      <c r="X1466" s="2">
        <v>0</v>
      </c>
      <c r="Y1466" s="3">
        <v>-163.96</v>
      </c>
      <c r="Z1466" t="str">
        <f t="shared" si="266"/>
        <v>Normal</v>
      </c>
      <c r="AA1466" t="str">
        <f t="shared" si="267"/>
        <v>Low</v>
      </c>
      <c r="AB1466" t="str">
        <f t="shared" si="271"/>
        <v>Loss</v>
      </c>
      <c r="AC1466" s="3">
        <f t="shared" si="272"/>
        <v>-0.14755750746967133</v>
      </c>
      <c r="AD1466" s="3">
        <f t="shared" si="273"/>
        <v>555.58000000000004</v>
      </c>
      <c r="AE1466" s="3">
        <f t="shared" si="274"/>
        <v>-81.98</v>
      </c>
      <c r="AF1466" t="str">
        <f t="shared" si="275"/>
        <v>Regular</v>
      </c>
    </row>
    <row r="1467" spans="1:32" x14ac:dyDescent="0.25">
      <c r="A1467" t="s">
        <v>1484</v>
      </c>
      <c r="B1467" s="1">
        <v>45638</v>
      </c>
      <c r="C1467" s="1">
        <v>45645</v>
      </c>
      <c r="D1467" s="4">
        <f t="shared" si="264"/>
        <v>7</v>
      </c>
      <c r="E1467" s="4" t="str">
        <f>TEXT(Table1[[#This Row],[Order_Date]],"dddd")</f>
        <v>Thursday</v>
      </c>
      <c r="F1467" s="4">
        <f t="shared" si="265"/>
        <v>12</v>
      </c>
      <c r="G1467" t="str">
        <f t="shared" si="268"/>
        <v>December</v>
      </c>
      <c r="H1467">
        <f t="shared" si="269"/>
        <v>2024</v>
      </c>
      <c r="I1467" t="str">
        <f t="shared" si="270"/>
        <v>2024-Q4</v>
      </c>
      <c r="J1467" t="s">
        <v>21</v>
      </c>
      <c r="K1467" t="s">
        <v>1485</v>
      </c>
      <c r="L1467" t="s">
        <v>1486</v>
      </c>
      <c r="M1467" t="s">
        <v>24</v>
      </c>
      <c r="N1467" t="s">
        <v>25</v>
      </c>
      <c r="O1467" t="s">
        <v>156</v>
      </c>
      <c r="P1467" t="s">
        <v>143</v>
      </c>
      <c r="Q1467" t="s">
        <v>39</v>
      </c>
      <c r="R1467" t="s">
        <v>1487</v>
      </c>
      <c r="S1467" t="s">
        <v>51</v>
      </c>
      <c r="T1467" t="s">
        <v>127</v>
      </c>
      <c r="U1467" t="s">
        <v>1488</v>
      </c>
      <c r="V1467" s="3">
        <v>608.79999999999995</v>
      </c>
      <c r="W1467" s="4">
        <v>2</v>
      </c>
      <c r="X1467" s="2">
        <v>0</v>
      </c>
      <c r="Y1467" s="3">
        <v>27.16</v>
      </c>
      <c r="Z1467" t="str">
        <f t="shared" si="266"/>
        <v>Normal</v>
      </c>
      <c r="AA1467" t="str">
        <f t="shared" si="267"/>
        <v>Low</v>
      </c>
      <c r="AB1467" t="str">
        <f t="shared" si="271"/>
        <v>Low Profit</v>
      </c>
      <c r="AC1467" s="3">
        <f t="shared" si="272"/>
        <v>4.461235216819974E-2</v>
      </c>
      <c r="AD1467" s="3">
        <f t="shared" si="273"/>
        <v>304.39999999999998</v>
      </c>
      <c r="AE1467" s="3">
        <f t="shared" si="274"/>
        <v>13.58</v>
      </c>
      <c r="AF1467" t="str">
        <f t="shared" si="275"/>
        <v>Regular</v>
      </c>
    </row>
    <row r="1468" spans="1:32" x14ac:dyDescent="0.25">
      <c r="A1468" t="s">
        <v>803</v>
      </c>
      <c r="B1468" s="1">
        <v>45639</v>
      </c>
      <c r="C1468" s="1">
        <v>45641</v>
      </c>
      <c r="D1468" s="4">
        <f t="shared" si="264"/>
        <v>2</v>
      </c>
      <c r="E1468" s="4" t="str">
        <f>TEXT(Table1[[#This Row],[Order_Date]],"dddd")</f>
        <v>Friday</v>
      </c>
      <c r="F1468" s="4">
        <f t="shared" si="265"/>
        <v>12</v>
      </c>
      <c r="G1468" t="str">
        <f t="shared" si="268"/>
        <v>December</v>
      </c>
      <c r="H1468">
        <f t="shared" si="269"/>
        <v>2024</v>
      </c>
      <c r="I1468" t="str">
        <f t="shared" si="270"/>
        <v>2024-Q4</v>
      </c>
      <c r="J1468" t="s">
        <v>104</v>
      </c>
      <c r="K1468" t="s">
        <v>804</v>
      </c>
      <c r="L1468" t="s">
        <v>805</v>
      </c>
      <c r="M1468" t="s">
        <v>24</v>
      </c>
      <c r="N1468" t="s">
        <v>25</v>
      </c>
      <c r="O1468" t="s">
        <v>80</v>
      </c>
      <c r="P1468" t="s">
        <v>49</v>
      </c>
      <c r="Q1468" t="s">
        <v>87</v>
      </c>
      <c r="R1468" t="s">
        <v>806</v>
      </c>
      <c r="S1468" t="s">
        <v>30</v>
      </c>
      <c r="T1468" t="s">
        <v>82</v>
      </c>
      <c r="U1468" t="s">
        <v>807</v>
      </c>
      <c r="V1468" s="3">
        <v>2286.36</v>
      </c>
      <c r="W1468" s="4">
        <v>3</v>
      </c>
      <c r="X1468" s="2">
        <v>0.4</v>
      </c>
      <c r="Y1468" s="3">
        <v>-384.16</v>
      </c>
      <c r="Z1468" t="str">
        <f t="shared" si="266"/>
        <v>Normal</v>
      </c>
      <c r="AA1468" t="str">
        <f t="shared" si="267"/>
        <v>High</v>
      </c>
      <c r="AB1468" t="str">
        <f t="shared" si="271"/>
        <v>Loss</v>
      </c>
      <c r="AC1468" s="3">
        <f t="shared" si="272"/>
        <v>-0.16802253363424832</v>
      </c>
      <c r="AD1468" s="3">
        <f t="shared" si="273"/>
        <v>762.12</v>
      </c>
      <c r="AE1468" s="3">
        <f t="shared" si="274"/>
        <v>-128.05333333333334</v>
      </c>
      <c r="AF1468" t="str">
        <f t="shared" si="275"/>
        <v>Regular</v>
      </c>
    </row>
    <row r="1469" spans="1:32" x14ac:dyDescent="0.25">
      <c r="A1469" t="s">
        <v>3653</v>
      </c>
      <c r="B1469" s="1">
        <v>45639</v>
      </c>
      <c r="C1469" s="1">
        <v>45645</v>
      </c>
      <c r="D1469" s="4">
        <f t="shared" si="264"/>
        <v>6</v>
      </c>
      <c r="E1469" s="4" t="str">
        <f>TEXT(Table1[[#This Row],[Order_Date]],"dddd")</f>
        <v>Friday</v>
      </c>
      <c r="F1469" s="4">
        <f t="shared" si="265"/>
        <v>12</v>
      </c>
      <c r="G1469" t="str">
        <f t="shared" si="268"/>
        <v>December</v>
      </c>
      <c r="H1469">
        <f t="shared" si="269"/>
        <v>2024</v>
      </c>
      <c r="I1469" t="str">
        <f t="shared" si="270"/>
        <v>2024-Q4</v>
      </c>
      <c r="J1469" t="s">
        <v>21</v>
      </c>
      <c r="K1469" t="s">
        <v>3654</v>
      </c>
      <c r="L1469" t="s">
        <v>3655</v>
      </c>
      <c r="M1469" t="s">
        <v>24</v>
      </c>
      <c r="N1469" t="s">
        <v>25</v>
      </c>
      <c r="O1469" t="s">
        <v>80</v>
      </c>
      <c r="P1469" t="s">
        <v>49</v>
      </c>
      <c r="Q1469" t="s">
        <v>66</v>
      </c>
      <c r="R1469" t="s">
        <v>3656</v>
      </c>
      <c r="S1469" t="s">
        <v>51</v>
      </c>
      <c r="T1469" t="s">
        <v>52</v>
      </c>
      <c r="U1469" t="s">
        <v>3657</v>
      </c>
      <c r="V1469" s="3">
        <v>849.27</v>
      </c>
      <c r="W1469" s="4">
        <v>1</v>
      </c>
      <c r="X1469" s="2">
        <v>0.3</v>
      </c>
      <c r="Y1469" s="3">
        <v>134.65</v>
      </c>
      <c r="Z1469" t="str">
        <f t="shared" si="266"/>
        <v>Normal</v>
      </c>
      <c r="AA1469" t="str">
        <f t="shared" si="267"/>
        <v>High</v>
      </c>
      <c r="AB1469" t="str">
        <f t="shared" si="271"/>
        <v>Low Profit</v>
      </c>
      <c r="AC1469" s="3">
        <f t="shared" si="272"/>
        <v>0.15854792939818904</v>
      </c>
      <c r="AD1469" s="3">
        <f t="shared" si="273"/>
        <v>849.27</v>
      </c>
      <c r="AE1469" s="3">
        <f t="shared" si="274"/>
        <v>134.65</v>
      </c>
      <c r="AF1469" t="str">
        <f t="shared" si="275"/>
        <v>Regular</v>
      </c>
    </row>
    <row r="1470" spans="1:32" x14ac:dyDescent="0.25">
      <c r="A1470" t="s">
        <v>6901</v>
      </c>
      <c r="B1470" s="1">
        <v>45639</v>
      </c>
      <c r="C1470" s="1">
        <v>45646</v>
      </c>
      <c r="D1470" s="4">
        <f t="shared" si="264"/>
        <v>7</v>
      </c>
      <c r="E1470" s="4" t="str">
        <f>TEXT(Table1[[#This Row],[Order_Date]],"dddd")</f>
        <v>Friday</v>
      </c>
      <c r="F1470" s="4">
        <f t="shared" si="265"/>
        <v>12</v>
      </c>
      <c r="G1470" t="str">
        <f t="shared" si="268"/>
        <v>December</v>
      </c>
      <c r="H1470">
        <f t="shared" si="269"/>
        <v>2024</v>
      </c>
      <c r="I1470" t="str">
        <f t="shared" si="270"/>
        <v>2024-Q4</v>
      </c>
      <c r="J1470" t="s">
        <v>104</v>
      </c>
      <c r="K1470" t="s">
        <v>6902</v>
      </c>
      <c r="L1470" t="s">
        <v>6903</v>
      </c>
      <c r="M1470" t="s">
        <v>36</v>
      </c>
      <c r="N1470" t="s">
        <v>25</v>
      </c>
      <c r="O1470" t="s">
        <v>149</v>
      </c>
      <c r="P1470" t="s">
        <v>113</v>
      </c>
      <c r="Q1470" t="s">
        <v>66</v>
      </c>
      <c r="R1470" t="s">
        <v>6904</v>
      </c>
      <c r="S1470" t="s">
        <v>30</v>
      </c>
      <c r="T1470" t="s">
        <v>31</v>
      </c>
      <c r="U1470" t="s">
        <v>6905</v>
      </c>
      <c r="V1470" s="3">
        <v>744.89</v>
      </c>
      <c r="W1470" s="4">
        <v>2</v>
      </c>
      <c r="X1470" s="2">
        <v>0.1</v>
      </c>
      <c r="Y1470" s="3">
        <v>34.299999999999997</v>
      </c>
      <c r="Z1470" t="str">
        <f t="shared" si="266"/>
        <v>Normal</v>
      </c>
      <c r="AA1470" t="str">
        <f t="shared" si="267"/>
        <v>Medium</v>
      </c>
      <c r="AB1470" t="str">
        <f t="shared" si="271"/>
        <v>Low Profit</v>
      </c>
      <c r="AC1470" s="3">
        <f t="shared" si="272"/>
        <v>4.6047067352226502E-2</v>
      </c>
      <c r="AD1470" s="3">
        <f t="shared" si="273"/>
        <v>372.44499999999999</v>
      </c>
      <c r="AE1470" s="3">
        <f t="shared" si="274"/>
        <v>17.149999999999999</v>
      </c>
      <c r="AF1470" t="str">
        <f t="shared" si="275"/>
        <v>Regular</v>
      </c>
    </row>
    <row r="1471" spans="1:32" x14ac:dyDescent="0.25">
      <c r="A1471" t="s">
        <v>5937</v>
      </c>
      <c r="B1471" s="1">
        <v>45639</v>
      </c>
      <c r="C1471" s="1">
        <v>45641</v>
      </c>
      <c r="D1471" s="4">
        <f t="shared" si="264"/>
        <v>2</v>
      </c>
      <c r="E1471" s="4" t="str">
        <f>TEXT(Table1[[#This Row],[Order_Date]],"dddd")</f>
        <v>Friday</v>
      </c>
      <c r="F1471" s="4">
        <f t="shared" si="265"/>
        <v>12</v>
      </c>
      <c r="G1471" t="str">
        <f t="shared" si="268"/>
        <v>December</v>
      </c>
      <c r="H1471">
        <f t="shared" si="269"/>
        <v>2024</v>
      </c>
      <c r="I1471" t="str">
        <f t="shared" si="270"/>
        <v>2024-Q4</v>
      </c>
      <c r="J1471" t="s">
        <v>104</v>
      </c>
      <c r="K1471" t="s">
        <v>5938</v>
      </c>
      <c r="L1471" t="s">
        <v>5939</v>
      </c>
      <c r="M1471" t="s">
        <v>47</v>
      </c>
      <c r="N1471" t="s">
        <v>25</v>
      </c>
      <c r="O1471" t="s">
        <v>48</v>
      </c>
      <c r="P1471" t="s">
        <v>49</v>
      </c>
      <c r="Q1471" t="s">
        <v>66</v>
      </c>
      <c r="R1471" t="s">
        <v>5940</v>
      </c>
      <c r="S1471" t="s">
        <v>59</v>
      </c>
      <c r="T1471" t="s">
        <v>303</v>
      </c>
      <c r="U1471" t="s">
        <v>5941</v>
      </c>
      <c r="V1471" s="3">
        <v>4220.05</v>
      </c>
      <c r="W1471" s="4">
        <v>9</v>
      </c>
      <c r="X1471" s="2">
        <v>0</v>
      </c>
      <c r="Y1471" s="3">
        <v>1246.6600000000001</v>
      </c>
      <c r="Z1471" t="str">
        <f t="shared" si="266"/>
        <v>Outlier</v>
      </c>
      <c r="AA1471" t="str">
        <f t="shared" si="267"/>
        <v>Low</v>
      </c>
      <c r="AB1471" t="str">
        <f t="shared" si="271"/>
        <v>High Profit</v>
      </c>
      <c r="AC1471" s="3">
        <f t="shared" si="272"/>
        <v>0.2954135614506937</v>
      </c>
      <c r="AD1471" s="3">
        <f t="shared" si="273"/>
        <v>468.89444444444445</v>
      </c>
      <c r="AE1471" s="3">
        <f t="shared" si="274"/>
        <v>138.51777777777778</v>
      </c>
      <c r="AF1471" t="str">
        <f t="shared" si="275"/>
        <v>Regular</v>
      </c>
    </row>
    <row r="1472" spans="1:32" x14ac:dyDescent="0.25">
      <c r="A1472" t="s">
        <v>7251</v>
      </c>
      <c r="B1472" s="1">
        <v>45639</v>
      </c>
      <c r="C1472" s="1">
        <v>45648</v>
      </c>
      <c r="D1472" s="4">
        <f t="shared" si="264"/>
        <v>9</v>
      </c>
      <c r="E1472" s="4" t="str">
        <f>TEXT(Table1[[#This Row],[Order_Date]],"dddd")</f>
        <v>Friday</v>
      </c>
      <c r="F1472" s="4">
        <f t="shared" si="265"/>
        <v>12</v>
      </c>
      <c r="G1472" t="str">
        <f t="shared" si="268"/>
        <v>December</v>
      </c>
      <c r="H1472">
        <f t="shared" si="269"/>
        <v>2024</v>
      </c>
      <c r="I1472" t="str">
        <f t="shared" si="270"/>
        <v>2024-Q4</v>
      </c>
      <c r="J1472" t="s">
        <v>55</v>
      </c>
      <c r="K1472" t="s">
        <v>7252</v>
      </c>
      <c r="L1472" t="s">
        <v>7253</v>
      </c>
      <c r="M1472" t="s">
        <v>24</v>
      </c>
      <c r="N1472" t="s">
        <v>25</v>
      </c>
      <c r="O1472" t="s">
        <v>611</v>
      </c>
      <c r="P1472" t="s">
        <v>74</v>
      </c>
      <c r="Q1472" t="s">
        <v>39</v>
      </c>
      <c r="R1472" t="s">
        <v>7254</v>
      </c>
      <c r="S1472" t="s">
        <v>30</v>
      </c>
      <c r="T1472" t="s">
        <v>41</v>
      </c>
      <c r="U1472" t="s">
        <v>7255</v>
      </c>
      <c r="V1472" s="3">
        <v>2820.21</v>
      </c>
      <c r="W1472" s="4">
        <v>7</v>
      </c>
      <c r="X1472" s="2">
        <v>0.4</v>
      </c>
      <c r="Y1472" s="3">
        <v>717.41</v>
      </c>
      <c r="Z1472" t="str">
        <f t="shared" si="266"/>
        <v>Normal</v>
      </c>
      <c r="AA1472" t="str">
        <f t="shared" si="267"/>
        <v>High</v>
      </c>
      <c r="AB1472" t="str">
        <f t="shared" si="271"/>
        <v>High Profit</v>
      </c>
      <c r="AC1472" s="3">
        <f t="shared" si="272"/>
        <v>0.25438176589686584</v>
      </c>
      <c r="AD1472" s="3">
        <f t="shared" si="273"/>
        <v>402.88714285714286</v>
      </c>
      <c r="AE1472" s="3">
        <f t="shared" si="274"/>
        <v>102.48714285714286</v>
      </c>
      <c r="AF1472" t="str">
        <f t="shared" si="275"/>
        <v>Regular</v>
      </c>
    </row>
    <row r="1473" spans="1:32" x14ac:dyDescent="0.25">
      <c r="A1473" t="s">
        <v>679</v>
      </c>
      <c r="B1473" s="1">
        <v>45640</v>
      </c>
      <c r="C1473" s="1">
        <v>45648</v>
      </c>
      <c r="D1473" s="4">
        <f t="shared" si="264"/>
        <v>8</v>
      </c>
      <c r="E1473" s="4" t="str">
        <f>TEXT(Table1[[#This Row],[Order_Date]],"dddd")</f>
        <v>Saturday</v>
      </c>
      <c r="F1473" s="4">
        <f t="shared" si="265"/>
        <v>12</v>
      </c>
      <c r="G1473" t="str">
        <f t="shared" si="268"/>
        <v>December</v>
      </c>
      <c r="H1473">
        <f t="shared" si="269"/>
        <v>2024</v>
      </c>
      <c r="I1473" t="str">
        <f t="shared" si="270"/>
        <v>2024-Q4</v>
      </c>
      <c r="J1473" t="s">
        <v>21</v>
      </c>
      <c r="K1473" t="s">
        <v>680</v>
      </c>
      <c r="L1473" t="s">
        <v>681</v>
      </c>
      <c r="M1473" t="s">
        <v>36</v>
      </c>
      <c r="N1473" t="s">
        <v>25</v>
      </c>
      <c r="O1473" t="s">
        <v>233</v>
      </c>
      <c r="P1473" t="s">
        <v>163</v>
      </c>
      <c r="Q1473" t="s">
        <v>28</v>
      </c>
      <c r="R1473" t="s">
        <v>682</v>
      </c>
      <c r="S1473" t="s">
        <v>51</v>
      </c>
      <c r="T1473" t="s">
        <v>151</v>
      </c>
      <c r="U1473" t="s">
        <v>683</v>
      </c>
      <c r="V1473" s="3">
        <v>2265.0100000000002</v>
      </c>
      <c r="W1473" s="4">
        <v>5</v>
      </c>
      <c r="X1473" s="2">
        <v>0.1</v>
      </c>
      <c r="Y1473" s="3">
        <v>141.68</v>
      </c>
      <c r="Z1473" t="str">
        <f t="shared" si="266"/>
        <v>Normal</v>
      </c>
      <c r="AA1473" t="str">
        <f t="shared" si="267"/>
        <v>Medium</v>
      </c>
      <c r="AB1473" t="str">
        <f t="shared" si="271"/>
        <v>Low Profit</v>
      </c>
      <c r="AC1473" s="3">
        <f t="shared" si="272"/>
        <v>6.2551600213685582E-2</v>
      </c>
      <c r="AD1473" s="3">
        <f t="shared" si="273"/>
        <v>453.00200000000007</v>
      </c>
      <c r="AE1473" s="3">
        <f t="shared" si="274"/>
        <v>28.336000000000002</v>
      </c>
      <c r="AF1473" t="str">
        <f t="shared" si="275"/>
        <v>Regular</v>
      </c>
    </row>
    <row r="1474" spans="1:32" x14ac:dyDescent="0.25">
      <c r="A1474" t="s">
        <v>6407</v>
      </c>
      <c r="B1474" s="1">
        <v>45640</v>
      </c>
      <c r="C1474" s="1">
        <v>45644</v>
      </c>
      <c r="D1474" s="4">
        <f t="shared" ref="D1474:D1501" si="276">C1474-B1474</f>
        <v>4</v>
      </c>
      <c r="E1474" s="4" t="str">
        <f>TEXT(Table1[[#This Row],[Order_Date]],"dddd")</f>
        <v>Saturday</v>
      </c>
      <c r="F1474" s="4">
        <f t="shared" ref="F1474:F1501" si="277">MONTH(B1474)</f>
        <v>12</v>
      </c>
      <c r="G1474" t="str">
        <f t="shared" si="268"/>
        <v>December</v>
      </c>
      <c r="H1474">
        <f t="shared" si="269"/>
        <v>2024</v>
      </c>
      <c r="I1474" t="str">
        <f t="shared" si="270"/>
        <v>2024-Q4</v>
      </c>
      <c r="J1474" t="s">
        <v>55</v>
      </c>
      <c r="K1474" t="s">
        <v>6408</v>
      </c>
      <c r="L1474" t="s">
        <v>6409</v>
      </c>
      <c r="M1474" t="s">
        <v>24</v>
      </c>
      <c r="N1474" t="s">
        <v>25</v>
      </c>
      <c r="O1474" t="s">
        <v>179</v>
      </c>
      <c r="P1474" t="s">
        <v>27</v>
      </c>
      <c r="Q1474" t="s">
        <v>87</v>
      </c>
      <c r="R1474" t="s">
        <v>6410</v>
      </c>
      <c r="S1474" t="s">
        <v>59</v>
      </c>
      <c r="T1474" t="s">
        <v>60</v>
      </c>
      <c r="U1474" t="s">
        <v>6411</v>
      </c>
      <c r="V1474" s="3">
        <v>4904.45</v>
      </c>
      <c r="W1474" s="4">
        <v>3</v>
      </c>
      <c r="X1474" s="2">
        <v>0.3</v>
      </c>
      <c r="Y1474" s="3">
        <v>1412.58</v>
      </c>
      <c r="Z1474" t="str">
        <f t="shared" ref="Z1474:Z1501" si="278">IF(OR(Y1474&lt;-800.884,Y1474&gt;1030.126),"Outlier","Normal")</f>
        <v>Outlier</v>
      </c>
      <c r="AA1474" t="str">
        <f t="shared" ref="AA1474:AA1501" si="279">IF(X1474&lt;10%,"Low",IF(X1474&lt;0.2,"Medium","High"))</f>
        <v>High</v>
      </c>
      <c r="AB1474" t="str">
        <f t="shared" si="271"/>
        <v>High Profit</v>
      </c>
      <c r="AC1474" s="3">
        <f t="shared" si="272"/>
        <v>0.28802006341179948</v>
      </c>
      <c r="AD1474" s="3">
        <f t="shared" si="273"/>
        <v>1634.8166666666666</v>
      </c>
      <c r="AE1474" s="3">
        <f t="shared" si="274"/>
        <v>470.85999999999996</v>
      </c>
      <c r="AF1474" t="str">
        <f t="shared" si="275"/>
        <v>Regular</v>
      </c>
    </row>
    <row r="1475" spans="1:32" x14ac:dyDescent="0.25">
      <c r="A1475" t="s">
        <v>4096</v>
      </c>
      <c r="B1475" s="1">
        <v>45640</v>
      </c>
      <c r="C1475" s="1">
        <v>45641</v>
      </c>
      <c r="D1475" s="4">
        <f t="shared" si="276"/>
        <v>1</v>
      </c>
      <c r="E1475" s="4" t="str">
        <f>TEXT(Table1[[#This Row],[Order_Date]],"dddd")</f>
        <v>Saturday</v>
      </c>
      <c r="F1475" s="4">
        <f t="shared" si="277"/>
        <v>12</v>
      </c>
      <c r="G1475" t="str">
        <f t="shared" ref="G1475:G1501" si="280">TEXT(B1475,"mmmm")</f>
        <v>December</v>
      </c>
      <c r="H1475">
        <f t="shared" ref="H1475:H1501" si="281">YEAR(B1475)</f>
        <v>2024</v>
      </c>
      <c r="I1475" t="str">
        <f t="shared" ref="I1475:I1501" si="282">H1475 &amp; "-Q" &amp; INT((MONTH(B1475)+2)/3)</f>
        <v>2024-Q4</v>
      </c>
      <c r="J1475" t="s">
        <v>55</v>
      </c>
      <c r="K1475" t="s">
        <v>4097</v>
      </c>
      <c r="L1475" t="s">
        <v>4098</v>
      </c>
      <c r="M1475" t="s">
        <v>47</v>
      </c>
      <c r="N1475" t="s">
        <v>25</v>
      </c>
      <c r="O1475" t="s">
        <v>611</v>
      </c>
      <c r="P1475" t="s">
        <v>74</v>
      </c>
      <c r="Q1475" t="s">
        <v>39</v>
      </c>
      <c r="R1475" t="s">
        <v>4099</v>
      </c>
      <c r="S1475" t="s">
        <v>59</v>
      </c>
      <c r="T1475" t="s">
        <v>101</v>
      </c>
      <c r="U1475" t="s">
        <v>4100</v>
      </c>
      <c r="V1475" s="3">
        <v>1673.52</v>
      </c>
      <c r="W1475" s="4">
        <v>8</v>
      </c>
      <c r="X1475" s="2">
        <v>0.4</v>
      </c>
      <c r="Y1475" s="3">
        <v>112.39</v>
      </c>
      <c r="Z1475" t="str">
        <f t="shared" si="278"/>
        <v>Normal</v>
      </c>
      <c r="AA1475" t="str">
        <f t="shared" si="279"/>
        <v>High</v>
      </c>
      <c r="AB1475" t="str">
        <f t="shared" ref="AB1475:AB1501" si="283">IF(Y1475&lt;0, "Loss", IF(Y1475&lt;500,"Low Profit", "High Profit"))</f>
        <v>Low Profit</v>
      </c>
      <c r="AC1475" s="3">
        <f t="shared" ref="AC1475:AC1501" si="284">Y1475/V1475</f>
        <v>6.7157846933409815E-2</v>
      </c>
      <c r="AD1475" s="3">
        <f t="shared" ref="AD1475:AD1501" si="285">V1475/W1475</f>
        <v>209.19</v>
      </c>
      <c r="AE1475" s="3">
        <f t="shared" ref="AE1475:AE1501" si="286">Y1475/W1475</f>
        <v>14.04875</v>
      </c>
      <c r="AF1475" t="str">
        <f t="shared" ref="AF1475:AF1501" si="287">IF(V1475&gt;5000,"High value", "Regular")</f>
        <v>Regular</v>
      </c>
    </row>
    <row r="1476" spans="1:32" x14ac:dyDescent="0.25">
      <c r="A1476" t="s">
        <v>1494</v>
      </c>
      <c r="B1476" s="1">
        <v>45641</v>
      </c>
      <c r="C1476" s="1">
        <v>45643</v>
      </c>
      <c r="D1476" s="4">
        <f t="shared" si="276"/>
        <v>2</v>
      </c>
      <c r="E1476" s="4" t="str">
        <f>TEXT(Table1[[#This Row],[Order_Date]],"dddd")</f>
        <v>Sunday</v>
      </c>
      <c r="F1476" s="4">
        <f t="shared" si="277"/>
        <v>12</v>
      </c>
      <c r="G1476" t="str">
        <f t="shared" si="280"/>
        <v>December</v>
      </c>
      <c r="H1476">
        <f t="shared" si="281"/>
        <v>2024</v>
      </c>
      <c r="I1476" t="str">
        <f t="shared" si="282"/>
        <v>2024-Q4</v>
      </c>
      <c r="J1476" t="s">
        <v>104</v>
      </c>
      <c r="K1476" t="s">
        <v>1495</v>
      </c>
      <c r="L1476" t="s">
        <v>1496</v>
      </c>
      <c r="M1476" t="s">
        <v>47</v>
      </c>
      <c r="N1476" t="s">
        <v>25</v>
      </c>
      <c r="O1476" t="s">
        <v>142</v>
      </c>
      <c r="P1476" t="s">
        <v>143</v>
      </c>
      <c r="Q1476" t="s">
        <v>87</v>
      </c>
      <c r="R1476" t="s">
        <v>1497</v>
      </c>
      <c r="S1476" t="s">
        <v>51</v>
      </c>
      <c r="T1476" t="s">
        <v>52</v>
      </c>
      <c r="U1476" t="s">
        <v>1498</v>
      </c>
      <c r="V1476" s="3">
        <v>652.79</v>
      </c>
      <c r="W1476" s="4">
        <v>4</v>
      </c>
      <c r="X1476" s="2">
        <v>0.1</v>
      </c>
      <c r="Y1476" s="3">
        <v>-101.89</v>
      </c>
      <c r="Z1476" t="str">
        <f t="shared" si="278"/>
        <v>Normal</v>
      </c>
      <c r="AA1476" t="str">
        <f t="shared" si="279"/>
        <v>Medium</v>
      </c>
      <c r="AB1476" t="str">
        <f t="shared" si="283"/>
        <v>Loss</v>
      </c>
      <c r="AC1476" s="3">
        <f t="shared" si="284"/>
        <v>-0.15608388608894133</v>
      </c>
      <c r="AD1476" s="3">
        <f t="shared" si="285"/>
        <v>163.19749999999999</v>
      </c>
      <c r="AE1476" s="3">
        <f t="shared" si="286"/>
        <v>-25.4725</v>
      </c>
      <c r="AF1476" t="str">
        <f t="shared" si="287"/>
        <v>Regular</v>
      </c>
    </row>
    <row r="1477" spans="1:32" x14ac:dyDescent="0.25">
      <c r="A1477" t="s">
        <v>4617</v>
      </c>
      <c r="B1477" s="1">
        <v>45642</v>
      </c>
      <c r="C1477" s="1">
        <v>45647</v>
      </c>
      <c r="D1477" s="4">
        <f t="shared" si="276"/>
        <v>5</v>
      </c>
      <c r="E1477" s="4" t="str">
        <f>TEXT(Table1[[#This Row],[Order_Date]],"dddd")</f>
        <v>Monday</v>
      </c>
      <c r="F1477" s="4">
        <f t="shared" si="277"/>
        <v>12</v>
      </c>
      <c r="G1477" t="str">
        <f t="shared" si="280"/>
        <v>December</v>
      </c>
      <c r="H1477">
        <f t="shared" si="281"/>
        <v>2024</v>
      </c>
      <c r="I1477" t="str">
        <f t="shared" si="282"/>
        <v>2024-Q4</v>
      </c>
      <c r="J1477" t="s">
        <v>55</v>
      </c>
      <c r="K1477" t="s">
        <v>4618</v>
      </c>
      <c r="L1477" t="s">
        <v>4619</v>
      </c>
      <c r="M1477" t="s">
        <v>24</v>
      </c>
      <c r="N1477" t="s">
        <v>25</v>
      </c>
      <c r="O1477" t="s">
        <v>119</v>
      </c>
      <c r="P1477" t="s">
        <v>120</v>
      </c>
      <c r="Q1477" t="s">
        <v>28</v>
      </c>
      <c r="R1477" t="s">
        <v>4620</v>
      </c>
      <c r="S1477" t="s">
        <v>59</v>
      </c>
      <c r="T1477" t="s">
        <v>277</v>
      </c>
      <c r="U1477" t="s">
        <v>4621</v>
      </c>
      <c r="V1477" s="3">
        <v>4652.93</v>
      </c>
      <c r="W1477" s="4">
        <v>3</v>
      </c>
      <c r="X1477" s="2">
        <v>0.2</v>
      </c>
      <c r="Y1477" s="3">
        <v>-552.99</v>
      </c>
      <c r="Z1477" t="str">
        <f t="shared" si="278"/>
        <v>Normal</v>
      </c>
      <c r="AA1477" t="str">
        <f t="shared" si="279"/>
        <v>High</v>
      </c>
      <c r="AB1477" t="str">
        <f t="shared" si="283"/>
        <v>Loss</v>
      </c>
      <c r="AC1477" s="3">
        <f t="shared" si="284"/>
        <v>-0.11884769381873357</v>
      </c>
      <c r="AD1477" s="3">
        <f t="shared" si="285"/>
        <v>1550.9766666666667</v>
      </c>
      <c r="AE1477" s="3">
        <f t="shared" si="286"/>
        <v>-184.33</v>
      </c>
      <c r="AF1477" t="str">
        <f t="shared" si="287"/>
        <v>Regular</v>
      </c>
    </row>
    <row r="1478" spans="1:32" x14ac:dyDescent="0.25">
      <c r="A1478" t="s">
        <v>3224</v>
      </c>
      <c r="B1478" s="1">
        <v>45642</v>
      </c>
      <c r="C1478" s="1">
        <v>45651</v>
      </c>
      <c r="D1478" s="4">
        <f t="shared" si="276"/>
        <v>9</v>
      </c>
      <c r="E1478" s="4" t="str">
        <f>TEXT(Table1[[#This Row],[Order_Date]],"dddd")</f>
        <v>Monday</v>
      </c>
      <c r="F1478" s="4">
        <f t="shared" si="277"/>
        <v>12</v>
      </c>
      <c r="G1478" t="str">
        <f t="shared" si="280"/>
        <v>December</v>
      </c>
      <c r="H1478">
        <f t="shared" si="281"/>
        <v>2024</v>
      </c>
      <c r="I1478" t="str">
        <f t="shared" si="282"/>
        <v>2024-Q4</v>
      </c>
      <c r="J1478" t="s">
        <v>55</v>
      </c>
      <c r="K1478" t="s">
        <v>3225</v>
      </c>
      <c r="L1478" t="s">
        <v>3226</v>
      </c>
      <c r="M1478" t="s">
        <v>24</v>
      </c>
      <c r="N1478" t="s">
        <v>25</v>
      </c>
      <c r="O1478" t="s">
        <v>451</v>
      </c>
      <c r="P1478" t="s">
        <v>38</v>
      </c>
      <c r="Q1478" t="s">
        <v>39</v>
      </c>
      <c r="R1478" t="s">
        <v>3227</v>
      </c>
      <c r="S1478" t="s">
        <v>51</v>
      </c>
      <c r="T1478" t="s">
        <v>94</v>
      </c>
      <c r="U1478" t="s">
        <v>3228</v>
      </c>
      <c r="V1478" s="3">
        <v>2195.2800000000002</v>
      </c>
      <c r="W1478" s="4">
        <v>7</v>
      </c>
      <c r="X1478" s="2">
        <v>0.1</v>
      </c>
      <c r="Y1478" s="3">
        <v>521.09</v>
      </c>
      <c r="Z1478" t="str">
        <f t="shared" si="278"/>
        <v>Normal</v>
      </c>
      <c r="AA1478" t="str">
        <f t="shared" si="279"/>
        <v>Medium</v>
      </c>
      <c r="AB1478" t="str">
        <f t="shared" si="283"/>
        <v>High Profit</v>
      </c>
      <c r="AC1478" s="3">
        <f t="shared" si="284"/>
        <v>0.23736835392296199</v>
      </c>
      <c r="AD1478" s="3">
        <f t="shared" si="285"/>
        <v>313.61142857142858</v>
      </c>
      <c r="AE1478" s="3">
        <f t="shared" si="286"/>
        <v>74.441428571428574</v>
      </c>
      <c r="AF1478" t="str">
        <f t="shared" si="287"/>
        <v>Regular</v>
      </c>
    </row>
    <row r="1479" spans="1:32" x14ac:dyDescent="0.25">
      <c r="A1479" t="s">
        <v>6946</v>
      </c>
      <c r="B1479" s="1">
        <v>45643</v>
      </c>
      <c r="C1479" s="1">
        <v>45645</v>
      </c>
      <c r="D1479" s="4">
        <f t="shared" si="276"/>
        <v>2</v>
      </c>
      <c r="E1479" s="4" t="str">
        <f>TEXT(Table1[[#This Row],[Order_Date]],"dddd")</f>
        <v>Tuesday</v>
      </c>
      <c r="F1479" s="4">
        <f t="shared" si="277"/>
        <v>12</v>
      </c>
      <c r="G1479" t="str">
        <f t="shared" si="280"/>
        <v>December</v>
      </c>
      <c r="H1479">
        <f t="shared" si="281"/>
        <v>2024</v>
      </c>
      <c r="I1479" t="str">
        <f t="shared" si="282"/>
        <v>2024-Q4</v>
      </c>
      <c r="J1479" t="s">
        <v>44</v>
      </c>
      <c r="K1479" t="s">
        <v>6947</v>
      </c>
      <c r="L1479" t="s">
        <v>6948</v>
      </c>
      <c r="M1479" t="s">
        <v>47</v>
      </c>
      <c r="N1479" t="s">
        <v>25</v>
      </c>
      <c r="O1479" t="s">
        <v>190</v>
      </c>
      <c r="P1479" t="s">
        <v>120</v>
      </c>
      <c r="Q1479" t="s">
        <v>39</v>
      </c>
      <c r="R1479" t="s">
        <v>6949</v>
      </c>
      <c r="S1479" t="s">
        <v>30</v>
      </c>
      <c r="T1479" t="s">
        <v>31</v>
      </c>
      <c r="U1479" t="s">
        <v>6950</v>
      </c>
      <c r="V1479" s="3">
        <v>1113.69</v>
      </c>
      <c r="W1479" s="4">
        <v>7</v>
      </c>
      <c r="X1479" s="2">
        <v>0.3</v>
      </c>
      <c r="Y1479" s="3">
        <v>255.94</v>
      </c>
      <c r="Z1479" t="str">
        <f t="shared" si="278"/>
        <v>Normal</v>
      </c>
      <c r="AA1479" t="str">
        <f t="shared" si="279"/>
        <v>High</v>
      </c>
      <c r="AB1479" t="str">
        <f t="shared" si="283"/>
        <v>Low Profit</v>
      </c>
      <c r="AC1479" s="3">
        <f t="shared" si="284"/>
        <v>0.22981260494392514</v>
      </c>
      <c r="AD1479" s="3">
        <f t="shared" si="285"/>
        <v>159.09857142857143</v>
      </c>
      <c r="AE1479" s="3">
        <f t="shared" si="286"/>
        <v>36.562857142857141</v>
      </c>
      <c r="AF1479" t="str">
        <f t="shared" si="287"/>
        <v>Regular</v>
      </c>
    </row>
    <row r="1480" spans="1:32" x14ac:dyDescent="0.25">
      <c r="A1480" t="s">
        <v>5163</v>
      </c>
      <c r="B1480" s="1">
        <v>45643</v>
      </c>
      <c r="C1480" s="1">
        <v>45652</v>
      </c>
      <c r="D1480" s="4">
        <f t="shared" si="276"/>
        <v>9</v>
      </c>
      <c r="E1480" s="4" t="str">
        <f>TEXT(Table1[[#This Row],[Order_Date]],"dddd")</f>
        <v>Tuesday</v>
      </c>
      <c r="F1480" s="4">
        <f t="shared" si="277"/>
        <v>12</v>
      </c>
      <c r="G1480" t="str">
        <f t="shared" si="280"/>
        <v>December</v>
      </c>
      <c r="H1480">
        <f t="shared" si="281"/>
        <v>2024</v>
      </c>
      <c r="I1480" t="str">
        <f t="shared" si="282"/>
        <v>2024-Q4</v>
      </c>
      <c r="J1480" t="s">
        <v>21</v>
      </c>
      <c r="K1480" t="s">
        <v>5164</v>
      </c>
      <c r="L1480" t="s">
        <v>5165</v>
      </c>
      <c r="M1480" t="s">
        <v>24</v>
      </c>
      <c r="N1480" t="s">
        <v>25</v>
      </c>
      <c r="O1480" t="s">
        <v>113</v>
      </c>
      <c r="P1480" t="s">
        <v>113</v>
      </c>
      <c r="Q1480" t="s">
        <v>28</v>
      </c>
      <c r="R1480" t="s">
        <v>5166</v>
      </c>
      <c r="S1480" t="s">
        <v>30</v>
      </c>
      <c r="T1480" t="s">
        <v>31</v>
      </c>
      <c r="U1480" t="s">
        <v>5167</v>
      </c>
      <c r="V1480" s="3">
        <v>239.99</v>
      </c>
      <c r="W1480" s="4">
        <v>1</v>
      </c>
      <c r="X1480" s="2">
        <v>0.1</v>
      </c>
      <c r="Y1480" s="3">
        <v>24.61</v>
      </c>
      <c r="Z1480" t="str">
        <f t="shared" si="278"/>
        <v>Normal</v>
      </c>
      <c r="AA1480" t="str">
        <f t="shared" si="279"/>
        <v>Medium</v>
      </c>
      <c r="AB1480" t="str">
        <f t="shared" si="283"/>
        <v>Low Profit</v>
      </c>
      <c r="AC1480" s="3">
        <f t="shared" si="284"/>
        <v>0.10254593941414225</v>
      </c>
      <c r="AD1480" s="3">
        <f t="shared" si="285"/>
        <v>239.99</v>
      </c>
      <c r="AE1480" s="3">
        <f t="shared" si="286"/>
        <v>24.61</v>
      </c>
      <c r="AF1480" t="str">
        <f t="shared" si="287"/>
        <v>Regular</v>
      </c>
    </row>
    <row r="1481" spans="1:32" x14ac:dyDescent="0.25">
      <c r="A1481" t="s">
        <v>5439</v>
      </c>
      <c r="B1481" s="1">
        <v>45644</v>
      </c>
      <c r="C1481" s="1">
        <v>45648</v>
      </c>
      <c r="D1481" s="4">
        <f t="shared" si="276"/>
        <v>4</v>
      </c>
      <c r="E1481" s="4" t="str">
        <f>TEXT(Table1[[#This Row],[Order_Date]],"dddd")</f>
        <v>Wednesday</v>
      </c>
      <c r="F1481" s="4">
        <f t="shared" si="277"/>
        <v>12</v>
      </c>
      <c r="G1481" t="str">
        <f t="shared" si="280"/>
        <v>December</v>
      </c>
      <c r="H1481">
        <f t="shared" si="281"/>
        <v>2024</v>
      </c>
      <c r="I1481" t="str">
        <f t="shared" si="282"/>
        <v>2024-Q4</v>
      </c>
      <c r="J1481" t="s">
        <v>21</v>
      </c>
      <c r="K1481" t="s">
        <v>5440</v>
      </c>
      <c r="L1481" t="s">
        <v>5441</v>
      </c>
      <c r="M1481" t="s">
        <v>24</v>
      </c>
      <c r="N1481" t="s">
        <v>25</v>
      </c>
      <c r="O1481" t="s">
        <v>142</v>
      </c>
      <c r="P1481" t="s">
        <v>143</v>
      </c>
      <c r="Q1481" t="s">
        <v>87</v>
      </c>
      <c r="R1481" t="s">
        <v>5442</v>
      </c>
      <c r="S1481" t="s">
        <v>59</v>
      </c>
      <c r="T1481" t="s">
        <v>60</v>
      </c>
      <c r="U1481" t="s">
        <v>5443</v>
      </c>
      <c r="V1481" s="3">
        <v>2515.39</v>
      </c>
      <c r="W1481" s="4">
        <v>2</v>
      </c>
      <c r="X1481" s="2">
        <v>0.2</v>
      </c>
      <c r="Y1481" s="3">
        <v>314.69</v>
      </c>
      <c r="Z1481" t="str">
        <f t="shared" si="278"/>
        <v>Normal</v>
      </c>
      <c r="AA1481" t="str">
        <f t="shared" si="279"/>
        <v>High</v>
      </c>
      <c r="AB1481" t="str">
        <f t="shared" si="283"/>
        <v>Low Profit</v>
      </c>
      <c r="AC1481" s="3">
        <f t="shared" si="284"/>
        <v>0.12510584839726643</v>
      </c>
      <c r="AD1481" s="3">
        <f t="shared" si="285"/>
        <v>1257.6949999999999</v>
      </c>
      <c r="AE1481" s="3">
        <f t="shared" si="286"/>
        <v>157.345</v>
      </c>
      <c r="AF1481" t="str">
        <f t="shared" si="287"/>
        <v>Regular</v>
      </c>
    </row>
    <row r="1482" spans="1:32" x14ac:dyDescent="0.25">
      <c r="A1482" t="s">
        <v>6748</v>
      </c>
      <c r="B1482" s="1">
        <v>45644</v>
      </c>
      <c r="C1482" s="1">
        <v>45649</v>
      </c>
      <c r="D1482" s="4">
        <f t="shared" si="276"/>
        <v>5</v>
      </c>
      <c r="E1482" s="4" t="str">
        <f>TEXT(Table1[[#This Row],[Order_Date]],"dddd")</f>
        <v>Wednesday</v>
      </c>
      <c r="F1482" s="4">
        <f t="shared" si="277"/>
        <v>12</v>
      </c>
      <c r="G1482" t="str">
        <f t="shared" si="280"/>
        <v>December</v>
      </c>
      <c r="H1482">
        <f t="shared" si="281"/>
        <v>2024</v>
      </c>
      <c r="I1482" t="str">
        <f t="shared" si="282"/>
        <v>2024-Q4</v>
      </c>
      <c r="J1482" t="s">
        <v>44</v>
      </c>
      <c r="K1482" t="s">
        <v>6749</v>
      </c>
      <c r="L1482" t="s">
        <v>6750</v>
      </c>
      <c r="M1482" t="s">
        <v>24</v>
      </c>
      <c r="N1482" t="s">
        <v>25</v>
      </c>
      <c r="O1482" t="s">
        <v>142</v>
      </c>
      <c r="P1482" t="s">
        <v>143</v>
      </c>
      <c r="Q1482" t="s">
        <v>66</v>
      </c>
      <c r="R1482" t="s">
        <v>6751</v>
      </c>
      <c r="S1482" t="s">
        <v>30</v>
      </c>
      <c r="T1482" t="s">
        <v>82</v>
      </c>
      <c r="U1482" t="s">
        <v>6752</v>
      </c>
      <c r="V1482" s="3">
        <v>1103.4100000000001</v>
      </c>
      <c r="W1482" s="4">
        <v>2</v>
      </c>
      <c r="X1482" s="2">
        <v>0.4</v>
      </c>
      <c r="Y1482" s="3">
        <v>68.28</v>
      </c>
      <c r="Z1482" t="str">
        <f t="shared" si="278"/>
        <v>Normal</v>
      </c>
      <c r="AA1482" t="str">
        <f t="shared" si="279"/>
        <v>High</v>
      </c>
      <c r="AB1482" t="str">
        <f t="shared" si="283"/>
        <v>Low Profit</v>
      </c>
      <c r="AC1482" s="3">
        <f t="shared" si="284"/>
        <v>6.1880896493597119E-2</v>
      </c>
      <c r="AD1482" s="3">
        <f t="shared" si="285"/>
        <v>551.70500000000004</v>
      </c>
      <c r="AE1482" s="3">
        <f t="shared" si="286"/>
        <v>34.14</v>
      </c>
      <c r="AF1482" t="str">
        <f t="shared" si="287"/>
        <v>Regular</v>
      </c>
    </row>
    <row r="1483" spans="1:32" x14ac:dyDescent="0.25">
      <c r="A1483" t="s">
        <v>5263</v>
      </c>
      <c r="B1483" s="1">
        <v>45644</v>
      </c>
      <c r="C1483" s="1">
        <v>45653</v>
      </c>
      <c r="D1483" s="4">
        <f t="shared" si="276"/>
        <v>9</v>
      </c>
      <c r="E1483" s="4" t="str">
        <f>TEXT(Table1[[#This Row],[Order_Date]],"dddd")</f>
        <v>Wednesday</v>
      </c>
      <c r="F1483" s="4">
        <f t="shared" si="277"/>
        <v>12</v>
      </c>
      <c r="G1483" t="str">
        <f t="shared" si="280"/>
        <v>December</v>
      </c>
      <c r="H1483">
        <f t="shared" si="281"/>
        <v>2024</v>
      </c>
      <c r="I1483" t="str">
        <f t="shared" si="282"/>
        <v>2024-Q4</v>
      </c>
      <c r="J1483" t="s">
        <v>104</v>
      </c>
      <c r="K1483" t="s">
        <v>5264</v>
      </c>
      <c r="L1483" t="s">
        <v>5265</v>
      </c>
      <c r="M1483" t="s">
        <v>24</v>
      </c>
      <c r="N1483" t="s">
        <v>25</v>
      </c>
      <c r="O1483" t="s">
        <v>80</v>
      </c>
      <c r="P1483" t="s">
        <v>49</v>
      </c>
      <c r="Q1483" t="s">
        <v>39</v>
      </c>
      <c r="R1483" t="s">
        <v>5266</v>
      </c>
      <c r="S1483" t="s">
        <v>59</v>
      </c>
      <c r="T1483" t="s">
        <v>101</v>
      </c>
      <c r="U1483" t="s">
        <v>5267</v>
      </c>
      <c r="V1483" s="3">
        <v>3511.62</v>
      </c>
      <c r="W1483" s="4">
        <v>7</v>
      </c>
      <c r="X1483" s="2">
        <v>0</v>
      </c>
      <c r="Y1483" s="3">
        <v>-514.97</v>
      </c>
      <c r="Z1483" t="str">
        <f t="shared" si="278"/>
        <v>Normal</v>
      </c>
      <c r="AA1483" t="str">
        <f t="shared" si="279"/>
        <v>Low</v>
      </c>
      <c r="AB1483" t="str">
        <f t="shared" si="283"/>
        <v>Loss</v>
      </c>
      <c r="AC1483" s="3">
        <f t="shared" si="284"/>
        <v>-0.14664741629219563</v>
      </c>
      <c r="AD1483" s="3">
        <f t="shared" si="285"/>
        <v>501.65999999999997</v>
      </c>
      <c r="AE1483" s="3">
        <f t="shared" si="286"/>
        <v>-73.567142857142855</v>
      </c>
      <c r="AF1483" t="str">
        <f t="shared" si="287"/>
        <v>Regular</v>
      </c>
    </row>
    <row r="1484" spans="1:32" x14ac:dyDescent="0.25">
      <c r="A1484" t="s">
        <v>6402</v>
      </c>
      <c r="B1484" s="1">
        <v>45645</v>
      </c>
      <c r="C1484" s="1">
        <v>45647</v>
      </c>
      <c r="D1484" s="4">
        <f t="shared" si="276"/>
        <v>2</v>
      </c>
      <c r="E1484" s="4" t="str">
        <f>TEXT(Table1[[#This Row],[Order_Date]],"dddd")</f>
        <v>Thursday</v>
      </c>
      <c r="F1484" s="4">
        <f t="shared" si="277"/>
        <v>12</v>
      </c>
      <c r="G1484" t="str">
        <f t="shared" si="280"/>
        <v>December</v>
      </c>
      <c r="H1484">
        <f t="shared" si="281"/>
        <v>2024</v>
      </c>
      <c r="I1484" t="str">
        <f t="shared" si="282"/>
        <v>2024-Q4</v>
      </c>
      <c r="J1484" t="s">
        <v>104</v>
      </c>
      <c r="K1484" t="s">
        <v>6403</v>
      </c>
      <c r="L1484" t="s">
        <v>6404</v>
      </c>
      <c r="M1484" t="s">
        <v>36</v>
      </c>
      <c r="N1484" t="s">
        <v>25</v>
      </c>
      <c r="O1484" t="s">
        <v>201</v>
      </c>
      <c r="P1484" t="s">
        <v>113</v>
      </c>
      <c r="Q1484" t="s">
        <v>28</v>
      </c>
      <c r="R1484" t="s">
        <v>6405</v>
      </c>
      <c r="S1484" t="s">
        <v>30</v>
      </c>
      <c r="T1484" t="s">
        <v>68</v>
      </c>
      <c r="U1484" t="s">
        <v>6406</v>
      </c>
      <c r="V1484" s="3">
        <v>2321.87</v>
      </c>
      <c r="W1484" s="4">
        <v>5</v>
      </c>
      <c r="X1484" s="2">
        <v>0.1</v>
      </c>
      <c r="Y1484" s="3">
        <v>62.73</v>
      </c>
      <c r="Z1484" t="str">
        <f t="shared" si="278"/>
        <v>Normal</v>
      </c>
      <c r="AA1484" t="str">
        <f t="shared" si="279"/>
        <v>Medium</v>
      </c>
      <c r="AB1484" t="str">
        <f t="shared" si="283"/>
        <v>Low Profit</v>
      </c>
      <c r="AC1484" s="3">
        <f t="shared" si="284"/>
        <v>2.7017016456563028E-2</v>
      </c>
      <c r="AD1484" s="3">
        <f t="shared" si="285"/>
        <v>464.37399999999997</v>
      </c>
      <c r="AE1484" s="3">
        <f t="shared" si="286"/>
        <v>12.545999999999999</v>
      </c>
      <c r="AF1484" t="str">
        <f t="shared" si="287"/>
        <v>Regular</v>
      </c>
    </row>
    <row r="1485" spans="1:32" x14ac:dyDescent="0.25">
      <c r="A1485" t="s">
        <v>1474</v>
      </c>
      <c r="B1485" s="1">
        <v>45645</v>
      </c>
      <c r="C1485" s="1">
        <v>45649</v>
      </c>
      <c r="D1485" s="4">
        <f t="shared" si="276"/>
        <v>4</v>
      </c>
      <c r="E1485" s="4" t="str">
        <f>TEXT(Table1[[#This Row],[Order_Date]],"dddd")</f>
        <v>Thursday</v>
      </c>
      <c r="F1485" s="4">
        <f t="shared" si="277"/>
        <v>12</v>
      </c>
      <c r="G1485" t="str">
        <f t="shared" si="280"/>
        <v>December</v>
      </c>
      <c r="H1485">
        <f t="shared" si="281"/>
        <v>2024</v>
      </c>
      <c r="I1485" t="str">
        <f t="shared" si="282"/>
        <v>2024-Q4</v>
      </c>
      <c r="J1485" t="s">
        <v>44</v>
      </c>
      <c r="K1485" t="s">
        <v>1475</v>
      </c>
      <c r="L1485" t="s">
        <v>1476</v>
      </c>
      <c r="M1485" t="s">
        <v>36</v>
      </c>
      <c r="N1485" t="s">
        <v>25</v>
      </c>
      <c r="O1485" t="s">
        <v>227</v>
      </c>
      <c r="P1485" t="s">
        <v>49</v>
      </c>
      <c r="Q1485" t="s">
        <v>66</v>
      </c>
      <c r="R1485" t="s">
        <v>1477</v>
      </c>
      <c r="S1485" t="s">
        <v>59</v>
      </c>
      <c r="T1485" t="s">
        <v>101</v>
      </c>
      <c r="U1485" t="s">
        <v>1478</v>
      </c>
      <c r="V1485" s="3">
        <v>3482.82</v>
      </c>
      <c r="W1485" s="4">
        <v>5</v>
      </c>
      <c r="X1485" s="2">
        <v>0.1</v>
      </c>
      <c r="Y1485" s="3">
        <v>-331.27</v>
      </c>
      <c r="Z1485" t="str">
        <f t="shared" si="278"/>
        <v>Normal</v>
      </c>
      <c r="AA1485" t="str">
        <f t="shared" si="279"/>
        <v>Medium</v>
      </c>
      <c r="AB1485" t="str">
        <f t="shared" si="283"/>
        <v>Loss</v>
      </c>
      <c r="AC1485" s="3">
        <f t="shared" si="284"/>
        <v>-9.5115452420739502E-2</v>
      </c>
      <c r="AD1485" s="3">
        <f t="shared" si="285"/>
        <v>696.56400000000008</v>
      </c>
      <c r="AE1485" s="3">
        <f t="shared" si="286"/>
        <v>-66.253999999999991</v>
      </c>
      <c r="AF1485" t="str">
        <f t="shared" si="287"/>
        <v>Regular</v>
      </c>
    </row>
    <row r="1486" spans="1:32" x14ac:dyDescent="0.25">
      <c r="A1486" t="s">
        <v>2666</v>
      </c>
      <c r="B1486" s="1">
        <v>45646</v>
      </c>
      <c r="C1486" s="1">
        <v>45651</v>
      </c>
      <c r="D1486" s="4">
        <f t="shared" si="276"/>
        <v>5</v>
      </c>
      <c r="E1486" s="4" t="str">
        <f>TEXT(Table1[[#This Row],[Order_Date]],"dddd")</f>
        <v>Friday</v>
      </c>
      <c r="F1486" s="4">
        <f t="shared" si="277"/>
        <v>12</v>
      </c>
      <c r="G1486" t="str">
        <f t="shared" si="280"/>
        <v>December</v>
      </c>
      <c r="H1486">
        <f t="shared" si="281"/>
        <v>2024</v>
      </c>
      <c r="I1486" t="str">
        <f t="shared" si="282"/>
        <v>2024-Q4</v>
      </c>
      <c r="J1486" t="s">
        <v>104</v>
      </c>
      <c r="K1486" t="s">
        <v>2667</v>
      </c>
      <c r="L1486" t="s">
        <v>2668</v>
      </c>
      <c r="M1486" t="s">
        <v>47</v>
      </c>
      <c r="N1486" t="s">
        <v>25</v>
      </c>
      <c r="O1486" t="s">
        <v>201</v>
      </c>
      <c r="P1486" t="s">
        <v>113</v>
      </c>
      <c r="Q1486" t="s">
        <v>39</v>
      </c>
      <c r="R1486" t="s">
        <v>2669</v>
      </c>
      <c r="S1486" t="s">
        <v>59</v>
      </c>
      <c r="T1486" t="s">
        <v>277</v>
      </c>
      <c r="U1486" t="s">
        <v>2670</v>
      </c>
      <c r="V1486" s="3">
        <v>898.21</v>
      </c>
      <c r="W1486" s="4">
        <v>10</v>
      </c>
      <c r="X1486" s="2">
        <v>0</v>
      </c>
      <c r="Y1486" s="3">
        <v>109.41</v>
      </c>
      <c r="Z1486" t="str">
        <f t="shared" si="278"/>
        <v>Normal</v>
      </c>
      <c r="AA1486" t="str">
        <f t="shared" si="279"/>
        <v>Low</v>
      </c>
      <c r="AB1486" t="str">
        <f t="shared" si="283"/>
        <v>Low Profit</v>
      </c>
      <c r="AC1486" s="3">
        <f t="shared" si="284"/>
        <v>0.1218089310962915</v>
      </c>
      <c r="AD1486" s="3">
        <f t="shared" si="285"/>
        <v>89.820999999999998</v>
      </c>
      <c r="AE1486" s="3">
        <f t="shared" si="286"/>
        <v>10.940999999999999</v>
      </c>
      <c r="AF1486" t="str">
        <f t="shared" si="287"/>
        <v>Regular</v>
      </c>
    </row>
    <row r="1487" spans="1:32" x14ac:dyDescent="0.25">
      <c r="A1487" t="s">
        <v>6057</v>
      </c>
      <c r="B1487" s="1">
        <v>45647</v>
      </c>
      <c r="C1487" s="1">
        <v>45653</v>
      </c>
      <c r="D1487" s="4">
        <f t="shared" si="276"/>
        <v>6</v>
      </c>
      <c r="E1487" s="4" t="str">
        <f>TEXT(Table1[[#This Row],[Order_Date]],"dddd")</f>
        <v>Saturday</v>
      </c>
      <c r="F1487" s="4">
        <f t="shared" si="277"/>
        <v>12</v>
      </c>
      <c r="G1487" t="str">
        <f t="shared" si="280"/>
        <v>December</v>
      </c>
      <c r="H1487">
        <f t="shared" si="281"/>
        <v>2024</v>
      </c>
      <c r="I1487" t="str">
        <f t="shared" si="282"/>
        <v>2024-Q4</v>
      </c>
      <c r="J1487" t="s">
        <v>55</v>
      </c>
      <c r="K1487" t="s">
        <v>6058</v>
      </c>
      <c r="L1487" t="s">
        <v>6059</v>
      </c>
      <c r="M1487" t="s">
        <v>47</v>
      </c>
      <c r="N1487" t="s">
        <v>25</v>
      </c>
      <c r="O1487" t="s">
        <v>149</v>
      </c>
      <c r="P1487" t="s">
        <v>113</v>
      </c>
      <c r="Q1487" t="s">
        <v>66</v>
      </c>
      <c r="R1487" t="s">
        <v>7403</v>
      </c>
      <c r="S1487" t="s">
        <v>59</v>
      </c>
      <c r="T1487" t="s">
        <v>101</v>
      </c>
      <c r="U1487" t="s">
        <v>6060</v>
      </c>
      <c r="V1487" s="3">
        <v>2288.8000000000002</v>
      </c>
      <c r="W1487" s="4">
        <v>4</v>
      </c>
      <c r="X1487" s="2">
        <v>0.4</v>
      </c>
      <c r="Y1487" s="3">
        <v>-344.91</v>
      </c>
      <c r="Z1487" t="str">
        <f t="shared" si="278"/>
        <v>Normal</v>
      </c>
      <c r="AA1487" t="str">
        <f t="shared" si="279"/>
        <v>High</v>
      </c>
      <c r="AB1487" t="str">
        <f t="shared" si="283"/>
        <v>Loss</v>
      </c>
      <c r="AC1487" s="3">
        <f t="shared" si="284"/>
        <v>-0.15069468717231738</v>
      </c>
      <c r="AD1487" s="3">
        <f t="shared" si="285"/>
        <v>572.20000000000005</v>
      </c>
      <c r="AE1487" s="3">
        <f t="shared" si="286"/>
        <v>-86.227500000000006</v>
      </c>
      <c r="AF1487" t="str">
        <f t="shared" si="287"/>
        <v>Regular</v>
      </c>
    </row>
    <row r="1488" spans="1:32" x14ac:dyDescent="0.25">
      <c r="A1488" t="s">
        <v>2276</v>
      </c>
      <c r="B1488" s="1">
        <v>45648</v>
      </c>
      <c r="C1488" s="1">
        <v>45651</v>
      </c>
      <c r="D1488" s="4">
        <f t="shared" si="276"/>
        <v>3</v>
      </c>
      <c r="E1488" s="4" t="str">
        <f>TEXT(Table1[[#This Row],[Order_Date]],"dddd")</f>
        <v>Sunday</v>
      </c>
      <c r="F1488" s="4">
        <f t="shared" si="277"/>
        <v>12</v>
      </c>
      <c r="G1488" t="str">
        <f t="shared" si="280"/>
        <v>December</v>
      </c>
      <c r="H1488">
        <f t="shared" si="281"/>
        <v>2024</v>
      </c>
      <c r="I1488" t="str">
        <f t="shared" si="282"/>
        <v>2024-Q4</v>
      </c>
      <c r="J1488" t="s">
        <v>55</v>
      </c>
      <c r="K1488" t="s">
        <v>2277</v>
      </c>
      <c r="L1488" t="s">
        <v>2278</v>
      </c>
      <c r="M1488" t="s">
        <v>47</v>
      </c>
      <c r="N1488" t="s">
        <v>25</v>
      </c>
      <c r="O1488" t="s">
        <v>149</v>
      </c>
      <c r="P1488" t="s">
        <v>113</v>
      </c>
      <c r="Q1488" t="s">
        <v>39</v>
      </c>
      <c r="R1488" t="s">
        <v>2279</v>
      </c>
      <c r="S1488" t="s">
        <v>30</v>
      </c>
      <c r="T1488" t="s">
        <v>41</v>
      </c>
      <c r="U1488" t="s">
        <v>2280</v>
      </c>
      <c r="V1488" s="3">
        <v>1131.8800000000001</v>
      </c>
      <c r="W1488" s="4">
        <v>4</v>
      </c>
      <c r="X1488" s="2">
        <v>0.1</v>
      </c>
      <c r="Y1488" s="3">
        <v>-141.43</v>
      </c>
      <c r="Z1488" t="str">
        <f t="shared" si="278"/>
        <v>Normal</v>
      </c>
      <c r="AA1488" t="str">
        <f t="shared" si="279"/>
        <v>Medium</v>
      </c>
      <c r="AB1488" t="str">
        <f t="shared" si="283"/>
        <v>Loss</v>
      </c>
      <c r="AC1488" s="3">
        <f t="shared" si="284"/>
        <v>-0.12495140827649573</v>
      </c>
      <c r="AD1488" s="3">
        <f t="shared" si="285"/>
        <v>282.97000000000003</v>
      </c>
      <c r="AE1488" s="3">
        <f t="shared" si="286"/>
        <v>-35.357500000000002</v>
      </c>
      <c r="AF1488" t="str">
        <f t="shared" si="287"/>
        <v>Regular</v>
      </c>
    </row>
    <row r="1489" spans="1:32" x14ac:dyDescent="0.25">
      <c r="A1489" t="s">
        <v>1247</v>
      </c>
      <c r="B1489" s="1">
        <v>45649</v>
      </c>
      <c r="C1489" s="1">
        <v>45653</v>
      </c>
      <c r="D1489" s="4">
        <f t="shared" si="276"/>
        <v>4</v>
      </c>
      <c r="E1489" s="4" t="str">
        <f>TEXT(Table1[[#This Row],[Order_Date]],"dddd")</f>
        <v>Monday</v>
      </c>
      <c r="F1489" s="4">
        <f t="shared" si="277"/>
        <v>12</v>
      </c>
      <c r="G1489" t="str">
        <f t="shared" si="280"/>
        <v>December</v>
      </c>
      <c r="H1489">
        <f t="shared" si="281"/>
        <v>2024</v>
      </c>
      <c r="I1489" t="str">
        <f t="shared" si="282"/>
        <v>2024-Q4</v>
      </c>
      <c r="J1489" t="s">
        <v>21</v>
      </c>
      <c r="K1489" t="s">
        <v>1248</v>
      </c>
      <c r="L1489" t="s">
        <v>1249</v>
      </c>
      <c r="M1489" t="s">
        <v>24</v>
      </c>
      <c r="N1489" t="s">
        <v>25</v>
      </c>
      <c r="O1489" t="s">
        <v>37</v>
      </c>
      <c r="P1489" t="s">
        <v>38</v>
      </c>
      <c r="Q1489" t="s">
        <v>66</v>
      </c>
      <c r="R1489" t="s">
        <v>1250</v>
      </c>
      <c r="S1489" t="s">
        <v>59</v>
      </c>
      <c r="T1489" t="s">
        <v>60</v>
      </c>
      <c r="U1489" t="s">
        <v>1251</v>
      </c>
      <c r="V1489" s="3">
        <v>2405.0300000000002</v>
      </c>
      <c r="W1489" s="4">
        <v>1</v>
      </c>
      <c r="X1489" s="2">
        <v>0.4</v>
      </c>
      <c r="Y1489" s="3">
        <v>477.66</v>
      </c>
      <c r="Z1489" t="str">
        <f t="shared" si="278"/>
        <v>Normal</v>
      </c>
      <c r="AA1489" t="str">
        <f t="shared" si="279"/>
        <v>High</v>
      </c>
      <c r="AB1489" t="str">
        <f t="shared" si="283"/>
        <v>Low Profit</v>
      </c>
      <c r="AC1489" s="3">
        <f t="shared" si="284"/>
        <v>0.19860874916321208</v>
      </c>
      <c r="AD1489" s="3">
        <f t="shared" si="285"/>
        <v>2405.0300000000002</v>
      </c>
      <c r="AE1489" s="3">
        <f t="shared" si="286"/>
        <v>477.66</v>
      </c>
      <c r="AF1489" t="str">
        <f t="shared" si="287"/>
        <v>Regular</v>
      </c>
    </row>
    <row r="1490" spans="1:32" x14ac:dyDescent="0.25">
      <c r="A1490" t="s">
        <v>4002</v>
      </c>
      <c r="B1490" s="1">
        <v>45650</v>
      </c>
      <c r="C1490" s="1">
        <v>45651</v>
      </c>
      <c r="D1490" s="4">
        <f t="shared" si="276"/>
        <v>1</v>
      </c>
      <c r="E1490" s="4" t="str">
        <f>TEXT(Table1[[#This Row],[Order_Date]],"dddd")</f>
        <v>Tuesday</v>
      </c>
      <c r="F1490" s="4">
        <f t="shared" si="277"/>
        <v>12</v>
      </c>
      <c r="G1490" t="str">
        <f t="shared" si="280"/>
        <v>December</v>
      </c>
      <c r="H1490">
        <f t="shared" si="281"/>
        <v>2024</v>
      </c>
      <c r="I1490" t="str">
        <f t="shared" si="282"/>
        <v>2024-Q4</v>
      </c>
      <c r="J1490" t="s">
        <v>55</v>
      </c>
      <c r="K1490" t="s">
        <v>4003</v>
      </c>
      <c r="L1490" t="s">
        <v>4004</v>
      </c>
      <c r="M1490" t="s">
        <v>47</v>
      </c>
      <c r="N1490" t="s">
        <v>25</v>
      </c>
      <c r="O1490" t="s">
        <v>149</v>
      </c>
      <c r="P1490" t="s">
        <v>113</v>
      </c>
      <c r="Q1490" t="s">
        <v>66</v>
      </c>
      <c r="R1490" t="s">
        <v>4005</v>
      </c>
      <c r="S1490" t="s">
        <v>30</v>
      </c>
      <c r="T1490" t="s">
        <v>41</v>
      </c>
      <c r="U1490" t="s">
        <v>4006</v>
      </c>
      <c r="V1490" s="3">
        <v>1615.61</v>
      </c>
      <c r="W1490" s="4">
        <v>1</v>
      </c>
      <c r="X1490" s="2">
        <v>0</v>
      </c>
      <c r="Y1490" s="3">
        <v>330.89</v>
      </c>
      <c r="Z1490" t="str">
        <f t="shared" si="278"/>
        <v>Normal</v>
      </c>
      <c r="AA1490" t="str">
        <f t="shared" si="279"/>
        <v>Low</v>
      </c>
      <c r="AB1490" t="str">
        <f t="shared" si="283"/>
        <v>Low Profit</v>
      </c>
      <c r="AC1490" s="3">
        <f t="shared" si="284"/>
        <v>0.20480809106158046</v>
      </c>
      <c r="AD1490" s="3">
        <f t="shared" si="285"/>
        <v>1615.61</v>
      </c>
      <c r="AE1490" s="3">
        <f t="shared" si="286"/>
        <v>330.89</v>
      </c>
      <c r="AF1490" t="str">
        <f t="shared" si="287"/>
        <v>Regular</v>
      </c>
    </row>
    <row r="1491" spans="1:32" x14ac:dyDescent="0.25">
      <c r="A1491" t="s">
        <v>1479</v>
      </c>
      <c r="B1491" s="1">
        <v>45651</v>
      </c>
      <c r="C1491" s="1">
        <v>45657</v>
      </c>
      <c r="D1491" s="4">
        <f t="shared" si="276"/>
        <v>6</v>
      </c>
      <c r="E1491" s="4" t="str">
        <f>TEXT(Table1[[#This Row],[Order_Date]],"dddd")</f>
        <v>Wednesday</v>
      </c>
      <c r="F1491" s="4">
        <f t="shared" si="277"/>
        <v>12</v>
      </c>
      <c r="G1491" t="str">
        <f t="shared" si="280"/>
        <v>December</v>
      </c>
      <c r="H1491">
        <f t="shared" si="281"/>
        <v>2024</v>
      </c>
      <c r="I1491" t="str">
        <f t="shared" si="282"/>
        <v>2024-Q4</v>
      </c>
      <c r="J1491" t="s">
        <v>21</v>
      </c>
      <c r="K1491" t="s">
        <v>1480</v>
      </c>
      <c r="L1491" t="s">
        <v>1481</v>
      </c>
      <c r="M1491" t="s">
        <v>36</v>
      </c>
      <c r="N1491" t="s">
        <v>25</v>
      </c>
      <c r="O1491" t="s">
        <v>113</v>
      </c>
      <c r="P1491" t="s">
        <v>113</v>
      </c>
      <c r="Q1491" t="s">
        <v>28</v>
      </c>
      <c r="R1491" t="s">
        <v>1482</v>
      </c>
      <c r="S1491" t="s">
        <v>30</v>
      </c>
      <c r="T1491" t="s">
        <v>41</v>
      </c>
      <c r="U1491" t="s">
        <v>1483</v>
      </c>
      <c r="V1491" s="3">
        <v>3253.99</v>
      </c>
      <c r="W1491" s="4">
        <v>10</v>
      </c>
      <c r="X1491" s="2">
        <v>0.3</v>
      </c>
      <c r="Y1491" s="3">
        <v>926.94</v>
      </c>
      <c r="Z1491" t="str">
        <f t="shared" si="278"/>
        <v>Normal</v>
      </c>
      <c r="AA1491" t="str">
        <f t="shared" si="279"/>
        <v>High</v>
      </c>
      <c r="AB1491" t="str">
        <f t="shared" si="283"/>
        <v>High Profit</v>
      </c>
      <c r="AC1491" s="3">
        <f t="shared" si="284"/>
        <v>0.28486258408907222</v>
      </c>
      <c r="AD1491" s="3">
        <f t="shared" si="285"/>
        <v>325.399</v>
      </c>
      <c r="AE1491" s="3">
        <f t="shared" si="286"/>
        <v>92.694000000000003</v>
      </c>
      <c r="AF1491" t="str">
        <f t="shared" si="287"/>
        <v>Regular</v>
      </c>
    </row>
    <row r="1492" spans="1:32" x14ac:dyDescent="0.25">
      <c r="A1492" t="s">
        <v>1931</v>
      </c>
      <c r="B1492" s="1">
        <v>45651</v>
      </c>
      <c r="C1492" s="1">
        <v>45661</v>
      </c>
      <c r="D1492" s="4">
        <f t="shared" si="276"/>
        <v>10</v>
      </c>
      <c r="E1492" s="4" t="str">
        <f>TEXT(Table1[[#This Row],[Order_Date]],"dddd")</f>
        <v>Wednesday</v>
      </c>
      <c r="F1492" s="4">
        <f t="shared" si="277"/>
        <v>12</v>
      </c>
      <c r="G1492" t="str">
        <f t="shared" si="280"/>
        <v>December</v>
      </c>
      <c r="H1492">
        <f t="shared" si="281"/>
        <v>2024</v>
      </c>
      <c r="I1492" t="str">
        <f t="shared" si="282"/>
        <v>2024-Q4</v>
      </c>
      <c r="J1492" t="s">
        <v>104</v>
      </c>
      <c r="K1492" t="s">
        <v>1932</v>
      </c>
      <c r="L1492" t="s">
        <v>1933</v>
      </c>
      <c r="M1492" t="s">
        <v>47</v>
      </c>
      <c r="N1492" t="s">
        <v>25</v>
      </c>
      <c r="O1492" t="s">
        <v>227</v>
      </c>
      <c r="P1492" t="s">
        <v>49</v>
      </c>
      <c r="Q1492" t="s">
        <v>39</v>
      </c>
      <c r="R1492" t="s">
        <v>1934</v>
      </c>
      <c r="S1492" t="s">
        <v>59</v>
      </c>
      <c r="T1492" t="s">
        <v>101</v>
      </c>
      <c r="U1492" t="s">
        <v>1935</v>
      </c>
      <c r="V1492" s="3">
        <v>3509.68</v>
      </c>
      <c r="W1492" s="4">
        <v>9</v>
      </c>
      <c r="X1492" s="2">
        <v>0.1</v>
      </c>
      <c r="Y1492" s="3">
        <v>-499.11</v>
      </c>
      <c r="Z1492" t="str">
        <f t="shared" si="278"/>
        <v>Normal</v>
      </c>
      <c r="AA1492" t="str">
        <f t="shared" si="279"/>
        <v>Medium</v>
      </c>
      <c r="AB1492" t="str">
        <f t="shared" si="283"/>
        <v>Loss</v>
      </c>
      <c r="AC1492" s="3">
        <f t="shared" si="284"/>
        <v>-0.14220954616945136</v>
      </c>
      <c r="AD1492" s="3">
        <f t="shared" si="285"/>
        <v>389.96444444444444</v>
      </c>
      <c r="AE1492" s="3">
        <f t="shared" si="286"/>
        <v>-55.456666666666671</v>
      </c>
      <c r="AF1492" t="str">
        <f t="shared" si="287"/>
        <v>Regular</v>
      </c>
    </row>
    <row r="1493" spans="1:32" x14ac:dyDescent="0.25">
      <c r="A1493" t="s">
        <v>5883</v>
      </c>
      <c r="B1493" s="1">
        <v>45652</v>
      </c>
      <c r="C1493" s="1">
        <f>B1493+5</f>
        <v>45657</v>
      </c>
      <c r="D1493" s="4">
        <f t="shared" si="276"/>
        <v>5</v>
      </c>
      <c r="E1493" s="4" t="str">
        <f>TEXT(Table1[[#This Row],[Order_Date]],"dddd")</f>
        <v>Thursday</v>
      </c>
      <c r="F1493" s="4">
        <f t="shared" si="277"/>
        <v>12</v>
      </c>
      <c r="G1493" t="str">
        <f t="shared" si="280"/>
        <v>December</v>
      </c>
      <c r="H1493">
        <f t="shared" si="281"/>
        <v>2024</v>
      </c>
      <c r="I1493" t="str">
        <f t="shared" si="282"/>
        <v>2024-Q4</v>
      </c>
      <c r="J1493" t="s">
        <v>104</v>
      </c>
      <c r="K1493" t="s">
        <v>5884</v>
      </c>
      <c r="L1493" t="s">
        <v>5885</v>
      </c>
      <c r="M1493" t="s">
        <v>47</v>
      </c>
      <c r="N1493" t="s">
        <v>25</v>
      </c>
      <c r="O1493" t="s">
        <v>65</v>
      </c>
      <c r="P1493" t="s">
        <v>27</v>
      </c>
      <c r="Q1493" t="s">
        <v>66</v>
      </c>
      <c r="R1493" t="s">
        <v>5886</v>
      </c>
      <c r="S1493" t="s">
        <v>51</v>
      </c>
      <c r="T1493" t="s">
        <v>52</v>
      </c>
      <c r="U1493" t="s">
        <v>5887</v>
      </c>
      <c r="V1493" s="3">
        <v>1916.19</v>
      </c>
      <c r="W1493" s="4">
        <v>3</v>
      </c>
      <c r="X1493" s="2">
        <v>0.1</v>
      </c>
      <c r="Y1493" s="3">
        <v>-356.51</v>
      </c>
      <c r="Z1493" t="str">
        <f t="shared" si="278"/>
        <v>Normal</v>
      </c>
      <c r="AA1493" t="str">
        <f t="shared" si="279"/>
        <v>Medium</v>
      </c>
      <c r="AB1493" t="str">
        <f t="shared" si="283"/>
        <v>Loss</v>
      </c>
      <c r="AC1493" s="3">
        <f t="shared" si="284"/>
        <v>-0.1860514875873478</v>
      </c>
      <c r="AD1493" s="3">
        <f t="shared" si="285"/>
        <v>638.73</v>
      </c>
      <c r="AE1493" s="3">
        <f t="shared" si="286"/>
        <v>-118.83666666666666</v>
      </c>
      <c r="AF1493" t="str">
        <f t="shared" si="287"/>
        <v>Regular</v>
      </c>
    </row>
    <row r="1494" spans="1:32" x14ac:dyDescent="0.25">
      <c r="A1494" t="s">
        <v>1499</v>
      </c>
      <c r="B1494" s="1">
        <v>45652</v>
      </c>
      <c r="C1494" s="1">
        <v>45661</v>
      </c>
      <c r="D1494" s="4">
        <f t="shared" si="276"/>
        <v>9</v>
      </c>
      <c r="E1494" s="4" t="str">
        <f>TEXT(Table1[[#This Row],[Order_Date]],"dddd")</f>
        <v>Thursday</v>
      </c>
      <c r="F1494" s="4">
        <f t="shared" si="277"/>
        <v>12</v>
      </c>
      <c r="G1494" t="str">
        <f t="shared" si="280"/>
        <v>December</v>
      </c>
      <c r="H1494">
        <f t="shared" si="281"/>
        <v>2024</v>
      </c>
      <c r="I1494" t="str">
        <f t="shared" si="282"/>
        <v>2024-Q4</v>
      </c>
      <c r="J1494" t="s">
        <v>104</v>
      </c>
      <c r="K1494" t="s">
        <v>1500</v>
      </c>
      <c r="L1494" t="s">
        <v>1501</v>
      </c>
      <c r="M1494" t="s">
        <v>47</v>
      </c>
      <c r="N1494" t="s">
        <v>25</v>
      </c>
      <c r="O1494" t="s">
        <v>80</v>
      </c>
      <c r="P1494" t="s">
        <v>49</v>
      </c>
      <c r="Q1494" t="s">
        <v>66</v>
      </c>
      <c r="R1494" t="s">
        <v>1502</v>
      </c>
      <c r="S1494" t="s">
        <v>59</v>
      </c>
      <c r="T1494" t="s">
        <v>303</v>
      </c>
      <c r="U1494" t="s">
        <v>1503</v>
      </c>
      <c r="V1494" s="3">
        <v>2889.59</v>
      </c>
      <c r="W1494" s="4">
        <v>6</v>
      </c>
      <c r="X1494" s="2">
        <v>0.4</v>
      </c>
      <c r="Y1494" s="3">
        <v>737.98</v>
      </c>
      <c r="Z1494" t="str">
        <f t="shared" si="278"/>
        <v>Normal</v>
      </c>
      <c r="AA1494" t="str">
        <f t="shared" si="279"/>
        <v>High</v>
      </c>
      <c r="AB1494" t="str">
        <f t="shared" si="283"/>
        <v>High Profit</v>
      </c>
      <c r="AC1494" s="3">
        <f t="shared" si="284"/>
        <v>0.25539263355700981</v>
      </c>
      <c r="AD1494" s="3">
        <f t="shared" si="285"/>
        <v>481.59833333333336</v>
      </c>
      <c r="AE1494" s="3">
        <f t="shared" si="286"/>
        <v>122.99666666666667</v>
      </c>
      <c r="AF1494" t="str">
        <f t="shared" si="287"/>
        <v>Regular</v>
      </c>
    </row>
    <row r="1495" spans="1:32" x14ac:dyDescent="0.25">
      <c r="A1495" t="s">
        <v>2340</v>
      </c>
      <c r="B1495" s="1">
        <v>45652</v>
      </c>
      <c r="C1495" s="1">
        <v>45656</v>
      </c>
      <c r="D1495" s="4">
        <f t="shared" si="276"/>
        <v>4</v>
      </c>
      <c r="E1495" s="4" t="str">
        <f>TEXT(Table1[[#This Row],[Order_Date]],"dddd")</f>
        <v>Thursday</v>
      </c>
      <c r="F1495" s="4">
        <f t="shared" si="277"/>
        <v>12</v>
      </c>
      <c r="G1495" t="str">
        <f t="shared" si="280"/>
        <v>December</v>
      </c>
      <c r="H1495">
        <f t="shared" si="281"/>
        <v>2024</v>
      </c>
      <c r="I1495" t="str">
        <f t="shared" si="282"/>
        <v>2024-Q4</v>
      </c>
      <c r="J1495" t="s">
        <v>55</v>
      </c>
      <c r="K1495" t="s">
        <v>2341</v>
      </c>
      <c r="L1495" t="s">
        <v>2342</v>
      </c>
      <c r="M1495" t="s">
        <v>47</v>
      </c>
      <c r="N1495" t="s">
        <v>25</v>
      </c>
      <c r="O1495" t="s">
        <v>99</v>
      </c>
      <c r="P1495" t="s">
        <v>74</v>
      </c>
      <c r="Q1495" t="s">
        <v>39</v>
      </c>
      <c r="R1495" t="s">
        <v>2343</v>
      </c>
      <c r="S1495" t="s">
        <v>30</v>
      </c>
      <c r="T1495" t="s">
        <v>68</v>
      </c>
      <c r="U1495" t="s">
        <v>2344</v>
      </c>
      <c r="V1495" s="3">
        <v>2880.37</v>
      </c>
      <c r="W1495" s="4">
        <v>8</v>
      </c>
      <c r="X1495" s="2">
        <v>0.4</v>
      </c>
      <c r="Y1495" s="3">
        <v>548.87</v>
      </c>
      <c r="Z1495" t="str">
        <f t="shared" si="278"/>
        <v>Normal</v>
      </c>
      <c r="AA1495" t="str">
        <f t="shared" si="279"/>
        <v>High</v>
      </c>
      <c r="AB1495" t="str">
        <f t="shared" si="283"/>
        <v>High Profit</v>
      </c>
      <c r="AC1495" s="3">
        <f t="shared" si="284"/>
        <v>0.19055538003798125</v>
      </c>
      <c r="AD1495" s="3">
        <f t="shared" si="285"/>
        <v>360.04624999999999</v>
      </c>
      <c r="AE1495" s="3">
        <f t="shared" si="286"/>
        <v>68.608750000000001</v>
      </c>
      <c r="AF1495" t="str">
        <f t="shared" si="287"/>
        <v>Regular</v>
      </c>
    </row>
    <row r="1496" spans="1:32" x14ac:dyDescent="0.25">
      <c r="A1496" t="s">
        <v>4858</v>
      </c>
      <c r="B1496" s="1">
        <v>45653</v>
      </c>
      <c r="C1496" s="1">
        <v>45663</v>
      </c>
      <c r="D1496" s="4">
        <f t="shared" si="276"/>
        <v>10</v>
      </c>
      <c r="E1496" s="4" t="str">
        <f>TEXT(Table1[[#This Row],[Order_Date]],"dddd")</f>
        <v>Friday</v>
      </c>
      <c r="F1496" s="4">
        <f t="shared" si="277"/>
        <v>12</v>
      </c>
      <c r="G1496" t="str">
        <f t="shared" si="280"/>
        <v>December</v>
      </c>
      <c r="H1496">
        <f t="shared" si="281"/>
        <v>2024</v>
      </c>
      <c r="I1496" t="str">
        <f t="shared" si="282"/>
        <v>2024-Q4</v>
      </c>
      <c r="J1496" t="s">
        <v>104</v>
      </c>
      <c r="K1496" t="s">
        <v>4859</v>
      </c>
      <c r="L1496" t="s">
        <v>4860</v>
      </c>
      <c r="M1496" t="s">
        <v>36</v>
      </c>
      <c r="N1496" t="s">
        <v>25</v>
      </c>
      <c r="O1496" t="s">
        <v>99</v>
      </c>
      <c r="P1496" t="s">
        <v>74</v>
      </c>
      <c r="Q1496" t="s">
        <v>87</v>
      </c>
      <c r="R1496" t="s">
        <v>4861</v>
      </c>
      <c r="S1496" t="s">
        <v>51</v>
      </c>
      <c r="T1496" t="s">
        <v>108</v>
      </c>
      <c r="U1496" t="s">
        <v>4862</v>
      </c>
      <c r="V1496" s="3">
        <v>4875.04</v>
      </c>
      <c r="W1496" s="4">
        <v>3</v>
      </c>
      <c r="X1496" s="2">
        <v>0.2</v>
      </c>
      <c r="Y1496" s="3">
        <v>293.93</v>
      </c>
      <c r="Z1496" t="str">
        <f t="shared" si="278"/>
        <v>Normal</v>
      </c>
      <c r="AA1496" t="str">
        <f t="shared" si="279"/>
        <v>High</v>
      </c>
      <c r="AB1496" t="str">
        <f t="shared" si="283"/>
        <v>Low Profit</v>
      </c>
      <c r="AC1496" s="3">
        <f t="shared" si="284"/>
        <v>6.0292838622862582E-2</v>
      </c>
      <c r="AD1496" s="3">
        <f t="shared" si="285"/>
        <v>1625.0133333333333</v>
      </c>
      <c r="AE1496" s="3">
        <f t="shared" si="286"/>
        <v>97.976666666666674</v>
      </c>
      <c r="AF1496" t="str">
        <f t="shared" si="287"/>
        <v>Regular</v>
      </c>
    </row>
    <row r="1497" spans="1:32" x14ac:dyDescent="0.25">
      <c r="A1497" t="s">
        <v>6144</v>
      </c>
      <c r="B1497" s="1">
        <v>45653</v>
      </c>
      <c r="C1497" s="1">
        <f>B1497+5</f>
        <v>45658</v>
      </c>
      <c r="D1497" s="4">
        <f t="shared" si="276"/>
        <v>5</v>
      </c>
      <c r="E1497" s="4" t="str">
        <f>TEXT(Table1[[#This Row],[Order_Date]],"dddd")</f>
        <v>Friday</v>
      </c>
      <c r="F1497" s="4">
        <f t="shared" si="277"/>
        <v>12</v>
      </c>
      <c r="G1497" t="str">
        <f t="shared" si="280"/>
        <v>December</v>
      </c>
      <c r="H1497">
        <f t="shared" si="281"/>
        <v>2024</v>
      </c>
      <c r="I1497" t="str">
        <f t="shared" si="282"/>
        <v>2024-Q4</v>
      </c>
      <c r="J1497" t="s">
        <v>44</v>
      </c>
      <c r="K1497" t="s">
        <v>6145</v>
      </c>
      <c r="L1497" t="s">
        <v>6146</v>
      </c>
      <c r="M1497" t="s">
        <v>47</v>
      </c>
      <c r="N1497" t="s">
        <v>25</v>
      </c>
      <c r="O1497" t="s">
        <v>99</v>
      </c>
      <c r="P1497" t="s">
        <v>74</v>
      </c>
      <c r="Q1497" t="s">
        <v>28</v>
      </c>
      <c r="R1497" t="s">
        <v>6147</v>
      </c>
      <c r="S1497" t="s">
        <v>30</v>
      </c>
      <c r="T1497" t="s">
        <v>82</v>
      </c>
      <c r="U1497" t="s">
        <v>6148</v>
      </c>
      <c r="V1497" s="3">
        <v>2373.44</v>
      </c>
      <c r="W1497" s="4">
        <v>10</v>
      </c>
      <c r="X1497" s="2">
        <v>0.2</v>
      </c>
      <c r="Y1497" s="3">
        <v>509.25</v>
      </c>
      <c r="Z1497" t="str">
        <f t="shared" si="278"/>
        <v>Normal</v>
      </c>
      <c r="AA1497" t="str">
        <f t="shared" si="279"/>
        <v>High</v>
      </c>
      <c r="AB1497" t="str">
        <f t="shared" si="283"/>
        <v>High Profit</v>
      </c>
      <c r="AC1497" s="3">
        <f t="shared" si="284"/>
        <v>0.21456198597815829</v>
      </c>
      <c r="AD1497" s="3">
        <f t="shared" si="285"/>
        <v>237.34399999999999</v>
      </c>
      <c r="AE1497" s="3">
        <f t="shared" si="286"/>
        <v>50.924999999999997</v>
      </c>
      <c r="AF1497" t="str">
        <f t="shared" si="287"/>
        <v>Regular</v>
      </c>
    </row>
    <row r="1498" spans="1:32" x14ac:dyDescent="0.25">
      <c r="A1498" t="s">
        <v>5898</v>
      </c>
      <c r="B1498" s="1">
        <v>45653</v>
      </c>
      <c r="C1498" s="1">
        <v>45655</v>
      </c>
      <c r="D1498" s="4">
        <f t="shared" si="276"/>
        <v>2</v>
      </c>
      <c r="E1498" s="4" t="str">
        <f>TEXT(Table1[[#This Row],[Order_Date]],"dddd")</f>
        <v>Friday</v>
      </c>
      <c r="F1498" s="4">
        <f t="shared" si="277"/>
        <v>12</v>
      </c>
      <c r="G1498" t="str">
        <f t="shared" si="280"/>
        <v>December</v>
      </c>
      <c r="H1498">
        <f t="shared" si="281"/>
        <v>2024</v>
      </c>
      <c r="I1498" t="str">
        <f t="shared" si="282"/>
        <v>2024-Q4</v>
      </c>
      <c r="J1498" t="s">
        <v>44</v>
      </c>
      <c r="K1498" t="s">
        <v>5899</v>
      </c>
      <c r="L1498" t="s">
        <v>5900</v>
      </c>
      <c r="M1498" t="s">
        <v>24</v>
      </c>
      <c r="N1498" t="s">
        <v>25</v>
      </c>
      <c r="O1498" t="s">
        <v>382</v>
      </c>
      <c r="P1498" t="s">
        <v>38</v>
      </c>
      <c r="Q1498" t="s">
        <v>87</v>
      </c>
      <c r="R1498" t="s">
        <v>5901</v>
      </c>
      <c r="S1498" t="s">
        <v>51</v>
      </c>
      <c r="T1498" t="s">
        <v>94</v>
      </c>
      <c r="U1498" t="s">
        <v>5902</v>
      </c>
      <c r="V1498" s="3">
        <v>3077.64</v>
      </c>
      <c r="W1498" s="4">
        <v>8</v>
      </c>
      <c r="X1498" s="2">
        <v>0.2</v>
      </c>
      <c r="Y1498" s="3">
        <v>-447.51</v>
      </c>
      <c r="Z1498" t="str">
        <f t="shared" si="278"/>
        <v>Normal</v>
      </c>
      <c r="AA1498" t="str">
        <f t="shared" si="279"/>
        <v>High</v>
      </c>
      <c r="AB1498" t="str">
        <f t="shared" si="283"/>
        <v>Loss</v>
      </c>
      <c r="AC1498" s="3">
        <f t="shared" si="284"/>
        <v>-0.14540687019924359</v>
      </c>
      <c r="AD1498" s="3">
        <f t="shared" si="285"/>
        <v>384.70499999999998</v>
      </c>
      <c r="AE1498" s="3">
        <f t="shared" si="286"/>
        <v>-55.938749999999999</v>
      </c>
      <c r="AF1498" t="str">
        <f t="shared" si="287"/>
        <v>Regular</v>
      </c>
    </row>
    <row r="1499" spans="1:32" x14ac:dyDescent="0.25">
      <c r="A1499" t="s">
        <v>5372</v>
      </c>
      <c r="B1499" s="1">
        <v>45654</v>
      </c>
      <c r="C1499" s="1">
        <v>45661</v>
      </c>
      <c r="D1499" s="4">
        <f t="shared" si="276"/>
        <v>7</v>
      </c>
      <c r="E1499" s="4" t="str">
        <f>TEXT(Table1[[#This Row],[Order_Date]],"dddd")</f>
        <v>Saturday</v>
      </c>
      <c r="F1499" s="4">
        <f t="shared" si="277"/>
        <v>12</v>
      </c>
      <c r="G1499" t="str">
        <f t="shared" si="280"/>
        <v>December</v>
      </c>
      <c r="H1499">
        <f t="shared" si="281"/>
        <v>2024</v>
      </c>
      <c r="I1499" t="str">
        <f t="shared" si="282"/>
        <v>2024-Q4</v>
      </c>
      <c r="J1499" t="s">
        <v>104</v>
      </c>
      <c r="K1499" t="s">
        <v>5373</v>
      </c>
      <c r="L1499" t="s">
        <v>5374</v>
      </c>
      <c r="M1499" t="s">
        <v>24</v>
      </c>
      <c r="N1499" t="s">
        <v>25</v>
      </c>
      <c r="O1499" t="s">
        <v>119</v>
      </c>
      <c r="P1499" t="s">
        <v>120</v>
      </c>
      <c r="Q1499" t="s">
        <v>87</v>
      </c>
      <c r="R1499" t="s">
        <v>5375</v>
      </c>
      <c r="S1499" t="s">
        <v>30</v>
      </c>
      <c r="T1499" t="s">
        <v>41</v>
      </c>
      <c r="U1499" t="s">
        <v>5376</v>
      </c>
      <c r="V1499" s="3">
        <v>517.36</v>
      </c>
      <c r="W1499" s="4">
        <v>3</v>
      </c>
      <c r="X1499" s="2">
        <v>0.2</v>
      </c>
      <c r="Y1499" s="3">
        <v>60.43</v>
      </c>
      <c r="Z1499" t="str">
        <f t="shared" si="278"/>
        <v>Normal</v>
      </c>
      <c r="AA1499" t="str">
        <f t="shared" si="279"/>
        <v>High</v>
      </c>
      <c r="AB1499" t="str">
        <f t="shared" si="283"/>
        <v>Low Profit</v>
      </c>
      <c r="AC1499" s="3">
        <f t="shared" si="284"/>
        <v>0.11680454615741456</v>
      </c>
      <c r="AD1499" s="3">
        <f t="shared" si="285"/>
        <v>172.45333333333335</v>
      </c>
      <c r="AE1499" s="3">
        <f t="shared" si="286"/>
        <v>20.143333333333334</v>
      </c>
      <c r="AF1499" t="str">
        <f t="shared" si="287"/>
        <v>Regular</v>
      </c>
    </row>
    <row r="1500" spans="1:32" x14ac:dyDescent="0.25">
      <c r="A1500" t="s">
        <v>5960</v>
      </c>
      <c r="B1500" s="1">
        <v>45654</v>
      </c>
      <c r="C1500" s="1">
        <v>45656</v>
      </c>
      <c r="D1500" s="4">
        <f t="shared" si="276"/>
        <v>2</v>
      </c>
      <c r="E1500" s="4" t="str">
        <f>TEXT(Table1[[#This Row],[Order_Date]],"dddd")</f>
        <v>Saturday</v>
      </c>
      <c r="F1500" s="4">
        <f t="shared" si="277"/>
        <v>12</v>
      </c>
      <c r="G1500" t="str">
        <f t="shared" si="280"/>
        <v>December</v>
      </c>
      <c r="H1500">
        <f t="shared" si="281"/>
        <v>2024</v>
      </c>
      <c r="I1500" t="str">
        <f t="shared" si="282"/>
        <v>2024-Q4</v>
      </c>
      <c r="J1500" t="s">
        <v>21</v>
      </c>
      <c r="K1500" t="s">
        <v>5961</v>
      </c>
      <c r="L1500" t="s">
        <v>5962</v>
      </c>
      <c r="M1500" t="s">
        <v>47</v>
      </c>
      <c r="N1500" t="s">
        <v>25</v>
      </c>
      <c r="O1500" t="s">
        <v>113</v>
      </c>
      <c r="P1500" t="s">
        <v>113</v>
      </c>
      <c r="Q1500" t="s">
        <v>87</v>
      </c>
      <c r="R1500" t="s">
        <v>5963</v>
      </c>
      <c r="S1500" t="s">
        <v>30</v>
      </c>
      <c r="T1500" t="s">
        <v>31</v>
      </c>
      <c r="U1500" t="s">
        <v>5964</v>
      </c>
      <c r="V1500" s="3">
        <v>4174.25</v>
      </c>
      <c r="W1500" s="4">
        <v>7</v>
      </c>
      <c r="X1500" s="2">
        <v>0.4</v>
      </c>
      <c r="Y1500" s="3">
        <v>1220.78</v>
      </c>
      <c r="Z1500" t="str">
        <f t="shared" si="278"/>
        <v>Outlier</v>
      </c>
      <c r="AA1500" t="str">
        <f t="shared" si="279"/>
        <v>High</v>
      </c>
      <c r="AB1500" t="str">
        <f t="shared" si="283"/>
        <v>High Profit</v>
      </c>
      <c r="AC1500" s="3">
        <f t="shared" si="284"/>
        <v>0.29245493202371681</v>
      </c>
      <c r="AD1500" s="3">
        <f t="shared" si="285"/>
        <v>596.32142857142856</v>
      </c>
      <c r="AE1500" s="3">
        <f t="shared" si="286"/>
        <v>174.39714285714285</v>
      </c>
      <c r="AF1500" t="str">
        <f t="shared" si="287"/>
        <v>Regular</v>
      </c>
    </row>
    <row r="1501" spans="1:32" x14ac:dyDescent="0.25">
      <c r="A1501" t="s">
        <v>2075</v>
      </c>
      <c r="B1501" s="1">
        <v>45655</v>
      </c>
      <c r="C1501" s="1">
        <v>45657</v>
      </c>
      <c r="D1501" s="4">
        <f t="shared" si="276"/>
        <v>2</v>
      </c>
      <c r="E1501" s="4" t="str">
        <f>TEXT(Table1[[#This Row],[Order_Date]],"dddd")</f>
        <v>Sunday</v>
      </c>
      <c r="F1501" s="4">
        <f t="shared" si="277"/>
        <v>12</v>
      </c>
      <c r="G1501" t="str">
        <f t="shared" si="280"/>
        <v>December</v>
      </c>
      <c r="H1501">
        <f t="shared" si="281"/>
        <v>2024</v>
      </c>
      <c r="I1501" t="str">
        <f t="shared" si="282"/>
        <v>2024-Q4</v>
      </c>
      <c r="J1501" t="s">
        <v>104</v>
      </c>
      <c r="K1501" t="s">
        <v>2076</v>
      </c>
      <c r="L1501" t="s">
        <v>2077</v>
      </c>
      <c r="M1501" t="s">
        <v>36</v>
      </c>
      <c r="N1501" t="s">
        <v>25</v>
      </c>
      <c r="O1501" t="s">
        <v>156</v>
      </c>
      <c r="P1501" t="s">
        <v>143</v>
      </c>
      <c r="Q1501" t="s">
        <v>87</v>
      </c>
      <c r="R1501" t="s">
        <v>2078</v>
      </c>
      <c r="S1501" t="s">
        <v>51</v>
      </c>
      <c r="T1501" t="s">
        <v>127</v>
      </c>
      <c r="U1501" t="s">
        <v>2079</v>
      </c>
      <c r="V1501" s="3">
        <v>2820.13</v>
      </c>
      <c r="W1501" s="4">
        <v>5</v>
      </c>
      <c r="X1501" s="2">
        <v>0.2</v>
      </c>
      <c r="Y1501" s="3">
        <v>-361.3</v>
      </c>
      <c r="Z1501" t="str">
        <f t="shared" si="278"/>
        <v>Normal</v>
      </c>
      <c r="AA1501" t="str">
        <f t="shared" si="279"/>
        <v>High</v>
      </c>
      <c r="AB1501" t="str">
        <f t="shared" si="283"/>
        <v>Loss</v>
      </c>
      <c r="AC1501" s="3">
        <f t="shared" si="284"/>
        <v>-0.12811466138085834</v>
      </c>
      <c r="AD1501" s="3">
        <f t="shared" si="285"/>
        <v>564.02600000000007</v>
      </c>
      <c r="AE1501" s="3">
        <f t="shared" si="286"/>
        <v>-72.260000000000005</v>
      </c>
      <c r="AF1501" t="str">
        <f t="shared" si="287"/>
        <v>Regular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C10" sqref="C10"/>
    </sheetView>
  </sheetViews>
  <sheetFormatPr defaultRowHeight="15" x14ac:dyDescent="0.25"/>
  <cols>
    <col min="1" max="1" width="10.140625" bestFit="1" customWidth="1"/>
    <col min="2" max="2" width="9" bestFit="1" customWidth="1"/>
    <col min="3" max="3" width="11.28515625" bestFit="1" customWidth="1"/>
    <col min="4" max="4" width="10" bestFit="1" customWidth="1"/>
    <col min="5" max="5" width="11" bestFit="1" customWidth="1"/>
    <col min="6" max="6" width="12.42578125" bestFit="1" customWidth="1"/>
    <col min="7" max="7" width="16" bestFit="1" customWidth="1"/>
    <col min="8" max="8" width="8.85546875" bestFit="1" customWidth="1"/>
    <col min="9" max="9" width="8" bestFit="1" customWidth="1"/>
    <col min="10" max="10" width="5" bestFit="1" customWidth="1"/>
    <col min="11" max="11" width="5.5703125" bestFit="1" customWidth="1"/>
    <col min="12" max="12" width="12" bestFit="1" customWidth="1"/>
    <col min="13" max="13" width="7.140625" bestFit="1" customWidth="1"/>
    <col min="14" max="14" width="10.7109375" bestFit="1" customWidth="1"/>
    <col min="15" max="15" width="8.85546875" bestFit="1" customWidth="1"/>
    <col min="16" max="16" width="13.28515625" bestFit="1" customWidth="1"/>
    <col min="17" max="17" width="14.28515625" bestFit="1" customWidth="1"/>
    <col min="18" max="18" width="8" bestFit="1" customWidth="1"/>
    <col min="19" max="20" width="8.7109375" bestFit="1" customWidth="1"/>
    <col min="21" max="21" width="8" bestFit="1" customWidth="1"/>
  </cols>
  <sheetData>
    <row r="1" spans="1:21" x14ac:dyDescent="0.25">
      <c r="A1" t="s">
        <v>7401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5">
      <c r="A2" t="s">
        <v>7397</v>
      </c>
      <c r="B2">
        <v>1500</v>
      </c>
      <c r="C2">
        <v>1500</v>
      </c>
      <c r="D2">
        <v>1474</v>
      </c>
      <c r="E2">
        <v>1500</v>
      </c>
      <c r="F2">
        <v>1470</v>
      </c>
      <c r="G2">
        <v>1500</v>
      </c>
      <c r="H2">
        <v>1500</v>
      </c>
      <c r="I2">
        <v>1500</v>
      </c>
      <c r="J2">
        <v>1500</v>
      </c>
      <c r="K2">
        <v>1500</v>
      </c>
      <c r="L2">
        <v>1500</v>
      </c>
      <c r="M2">
        <v>1500</v>
      </c>
      <c r="N2">
        <v>1466</v>
      </c>
      <c r="O2">
        <v>1500</v>
      </c>
      <c r="P2">
        <v>1500</v>
      </c>
      <c r="Q2">
        <v>1500</v>
      </c>
      <c r="R2">
        <v>1489</v>
      </c>
      <c r="S2">
        <v>1485</v>
      </c>
      <c r="T2">
        <v>1482</v>
      </c>
      <c r="U2">
        <v>1488</v>
      </c>
    </row>
    <row r="3" spans="1:21" x14ac:dyDescent="0.25">
      <c r="A3" t="s">
        <v>7398</v>
      </c>
      <c r="B3">
        <v>0</v>
      </c>
      <c r="C3">
        <v>0</v>
      </c>
      <c r="D3">
        <v>26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34</v>
      </c>
      <c r="O3">
        <v>0</v>
      </c>
      <c r="P3">
        <v>0</v>
      </c>
      <c r="Q3">
        <v>0</v>
      </c>
      <c r="R3">
        <v>11</v>
      </c>
      <c r="S3">
        <v>15</v>
      </c>
      <c r="T3">
        <v>18</v>
      </c>
      <c r="U3">
        <v>12</v>
      </c>
    </row>
    <row r="4" spans="1:21" x14ac:dyDescent="0.25">
      <c r="A4" t="s">
        <v>7399</v>
      </c>
      <c r="B4">
        <v>0</v>
      </c>
      <c r="C4" s="1">
        <v>44927</v>
      </c>
      <c r="D4" s="1">
        <v>44931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13.43</v>
      </c>
      <c r="S4">
        <v>1</v>
      </c>
      <c r="T4">
        <v>0</v>
      </c>
      <c r="U4">
        <v>-966.15</v>
      </c>
    </row>
    <row r="5" spans="1:21" x14ac:dyDescent="0.25">
      <c r="A5" t="s">
        <v>7400</v>
      </c>
      <c r="B5">
        <v>0</v>
      </c>
      <c r="C5" s="1">
        <v>45655</v>
      </c>
      <c r="D5" s="1">
        <v>45663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4999.87</v>
      </c>
      <c r="S5">
        <v>10</v>
      </c>
      <c r="T5">
        <v>0.4</v>
      </c>
      <c r="U5">
        <v>1473.63</v>
      </c>
    </row>
    <row r="6" spans="1:21" x14ac:dyDescent="0.25">
      <c r="A6" t="s">
        <v>7405</v>
      </c>
      <c r="R6">
        <v>2513.1101533333353</v>
      </c>
      <c r="S6">
        <v>5.480666666666667</v>
      </c>
      <c r="T6">
        <v>0.19878542510121464</v>
      </c>
      <c r="U6">
        <v>126.22007392473138</v>
      </c>
    </row>
    <row r="7" spans="1:21" x14ac:dyDescent="0.25">
      <c r="A7" t="s">
        <v>7404</v>
      </c>
      <c r="R7">
        <v>2514.16</v>
      </c>
      <c r="S7">
        <v>5</v>
      </c>
      <c r="T7">
        <v>0.2</v>
      </c>
      <c r="U7">
        <v>59.17</v>
      </c>
    </row>
    <row r="9" spans="1:21" x14ac:dyDescent="0.25">
      <c r="A9" t="s">
        <v>7406</v>
      </c>
      <c r="C9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761A8B-CAED-45F8-821D-92CC00CA1E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2025-10-04T09:57:12Z</dcterms:created>
  <dcterms:modified xsi:type="dcterms:W3CDTF">2025-10-04T14:54:42Z</dcterms:modified>
</cp:coreProperties>
</file>